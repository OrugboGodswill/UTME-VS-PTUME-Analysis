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iefIT\Desktop\New folder\"/>
    </mc:Choice>
  </mc:AlternateContent>
  <xr:revisionPtr revIDLastSave="0" documentId="13_ncr:1_{4408B6A5-384C-4F24-9488-6453A7374177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2 (2)" sheetId="8" r:id="rId1"/>
    <sheet name="Sheet2" sheetId="7" r:id="rId2"/>
  </sheets>
  <definedNames>
    <definedName name="solver_adj" localSheetId="1" hidden="1">Sheet2!$AD$68:$AD$70</definedName>
    <definedName name="solver_adj" localSheetId="0" hidden="1">'Sheet2 (2)'!$AD$68:$AD$70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Sheet2!$L$436</definedName>
    <definedName name="solver_opt" localSheetId="0" hidden="1">'Sheet2 (2)'!$L$436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35" i="8" l="1"/>
  <c r="P435" i="8"/>
  <c r="F435" i="8"/>
  <c r="E435" i="8"/>
  <c r="D435" i="8"/>
  <c r="Q434" i="8"/>
  <c r="P434" i="8"/>
  <c r="J434" i="8"/>
  <c r="F434" i="8"/>
  <c r="E434" i="8"/>
  <c r="D434" i="8"/>
  <c r="Q433" i="8"/>
  <c r="P433" i="8"/>
  <c r="J433" i="8"/>
  <c r="F433" i="8"/>
  <c r="E433" i="8"/>
  <c r="D433" i="8"/>
  <c r="Q432" i="8"/>
  <c r="P432" i="8"/>
  <c r="J432" i="8"/>
  <c r="F432" i="8"/>
  <c r="E432" i="8"/>
  <c r="D432" i="8"/>
  <c r="Q431" i="8"/>
  <c r="P431" i="8"/>
  <c r="J431" i="8"/>
  <c r="F431" i="8"/>
  <c r="E431" i="8"/>
  <c r="D431" i="8"/>
  <c r="Q430" i="8"/>
  <c r="P430" i="8"/>
  <c r="J430" i="8"/>
  <c r="F430" i="8"/>
  <c r="E430" i="8"/>
  <c r="D430" i="8"/>
  <c r="Q429" i="8"/>
  <c r="P429" i="8"/>
  <c r="J429" i="8"/>
  <c r="F429" i="8"/>
  <c r="E429" i="8"/>
  <c r="D429" i="8"/>
  <c r="Q428" i="8"/>
  <c r="P428" i="8"/>
  <c r="J428" i="8"/>
  <c r="F428" i="8"/>
  <c r="E428" i="8"/>
  <c r="D428" i="8"/>
  <c r="Q427" i="8"/>
  <c r="P427" i="8"/>
  <c r="J427" i="8"/>
  <c r="F427" i="8"/>
  <c r="E427" i="8"/>
  <c r="D427" i="8"/>
  <c r="Q426" i="8"/>
  <c r="P426" i="8"/>
  <c r="J426" i="8"/>
  <c r="F426" i="8"/>
  <c r="E426" i="8"/>
  <c r="D426" i="8"/>
  <c r="Q425" i="8"/>
  <c r="P425" i="8"/>
  <c r="J425" i="8"/>
  <c r="F425" i="8"/>
  <c r="E425" i="8"/>
  <c r="D425" i="8"/>
  <c r="Q424" i="8"/>
  <c r="P424" i="8"/>
  <c r="J424" i="8"/>
  <c r="F424" i="8"/>
  <c r="E424" i="8"/>
  <c r="D424" i="8"/>
  <c r="Q423" i="8"/>
  <c r="P423" i="8"/>
  <c r="J423" i="8"/>
  <c r="F423" i="8"/>
  <c r="E423" i="8"/>
  <c r="D423" i="8"/>
  <c r="Q422" i="8"/>
  <c r="P422" i="8"/>
  <c r="J422" i="8"/>
  <c r="F422" i="8"/>
  <c r="E422" i="8"/>
  <c r="D422" i="8"/>
  <c r="Q421" i="8"/>
  <c r="P421" i="8"/>
  <c r="J421" i="8"/>
  <c r="F421" i="8"/>
  <c r="E421" i="8"/>
  <c r="D421" i="8"/>
  <c r="Q420" i="8"/>
  <c r="P420" i="8"/>
  <c r="J420" i="8"/>
  <c r="F420" i="8"/>
  <c r="E420" i="8"/>
  <c r="D420" i="8"/>
  <c r="Q419" i="8"/>
  <c r="P419" i="8"/>
  <c r="J419" i="8"/>
  <c r="F419" i="8"/>
  <c r="E419" i="8"/>
  <c r="D419" i="8"/>
  <c r="Q418" i="8"/>
  <c r="P418" i="8"/>
  <c r="J418" i="8"/>
  <c r="F418" i="8"/>
  <c r="E418" i="8"/>
  <c r="D418" i="8"/>
  <c r="Q417" i="8"/>
  <c r="P417" i="8"/>
  <c r="J417" i="8"/>
  <c r="F417" i="8"/>
  <c r="E417" i="8"/>
  <c r="D417" i="8"/>
  <c r="Q416" i="8"/>
  <c r="P416" i="8"/>
  <c r="J416" i="8"/>
  <c r="F416" i="8"/>
  <c r="E416" i="8"/>
  <c r="D416" i="8"/>
  <c r="Q415" i="8"/>
  <c r="P415" i="8"/>
  <c r="J415" i="8"/>
  <c r="F415" i="8"/>
  <c r="E415" i="8"/>
  <c r="D415" i="8"/>
  <c r="Q414" i="8"/>
  <c r="P414" i="8"/>
  <c r="J414" i="8"/>
  <c r="F414" i="8"/>
  <c r="E414" i="8"/>
  <c r="D414" i="8"/>
  <c r="Q413" i="8"/>
  <c r="P413" i="8"/>
  <c r="J413" i="8"/>
  <c r="F413" i="8"/>
  <c r="E413" i="8"/>
  <c r="D413" i="8"/>
  <c r="Q412" i="8"/>
  <c r="P412" i="8"/>
  <c r="J412" i="8"/>
  <c r="F412" i="8"/>
  <c r="E412" i="8"/>
  <c r="D412" i="8"/>
  <c r="Q411" i="8"/>
  <c r="P411" i="8"/>
  <c r="J411" i="8"/>
  <c r="F411" i="8"/>
  <c r="E411" i="8"/>
  <c r="D411" i="8"/>
  <c r="Q410" i="8"/>
  <c r="P410" i="8"/>
  <c r="J410" i="8"/>
  <c r="F410" i="8"/>
  <c r="E410" i="8"/>
  <c r="D410" i="8"/>
  <c r="Q409" i="8"/>
  <c r="P409" i="8"/>
  <c r="J409" i="8"/>
  <c r="F409" i="8"/>
  <c r="E409" i="8"/>
  <c r="D409" i="8"/>
  <c r="Q408" i="8"/>
  <c r="P408" i="8"/>
  <c r="J408" i="8"/>
  <c r="F408" i="8"/>
  <c r="E408" i="8"/>
  <c r="D408" i="8"/>
  <c r="Q407" i="8"/>
  <c r="P407" i="8"/>
  <c r="J407" i="8"/>
  <c r="F407" i="8"/>
  <c r="E407" i="8"/>
  <c r="D407" i="8"/>
  <c r="Q406" i="8"/>
  <c r="P406" i="8"/>
  <c r="J406" i="8"/>
  <c r="F406" i="8"/>
  <c r="E406" i="8"/>
  <c r="D406" i="8"/>
  <c r="Q405" i="8"/>
  <c r="P405" i="8"/>
  <c r="J405" i="8"/>
  <c r="F405" i="8"/>
  <c r="E405" i="8"/>
  <c r="D405" i="8"/>
  <c r="Q404" i="8"/>
  <c r="P404" i="8"/>
  <c r="J404" i="8"/>
  <c r="F404" i="8"/>
  <c r="E404" i="8"/>
  <c r="D404" i="8"/>
  <c r="Q403" i="8"/>
  <c r="P403" i="8"/>
  <c r="J403" i="8"/>
  <c r="F403" i="8"/>
  <c r="E403" i="8"/>
  <c r="D403" i="8"/>
  <c r="Q402" i="8"/>
  <c r="P402" i="8"/>
  <c r="J402" i="8"/>
  <c r="F402" i="8"/>
  <c r="E402" i="8"/>
  <c r="D402" i="8"/>
  <c r="Q401" i="8"/>
  <c r="P401" i="8"/>
  <c r="J401" i="8"/>
  <c r="F401" i="8"/>
  <c r="E401" i="8"/>
  <c r="D401" i="8"/>
  <c r="Q400" i="8"/>
  <c r="P400" i="8"/>
  <c r="J400" i="8"/>
  <c r="F400" i="8"/>
  <c r="E400" i="8"/>
  <c r="D400" i="8"/>
  <c r="Q399" i="8"/>
  <c r="P399" i="8"/>
  <c r="J399" i="8"/>
  <c r="F399" i="8"/>
  <c r="E399" i="8"/>
  <c r="D399" i="8"/>
  <c r="Q398" i="8"/>
  <c r="P398" i="8"/>
  <c r="J398" i="8"/>
  <c r="F398" i="8"/>
  <c r="E398" i="8"/>
  <c r="D398" i="8"/>
  <c r="Q397" i="8"/>
  <c r="P397" i="8"/>
  <c r="J397" i="8"/>
  <c r="F397" i="8"/>
  <c r="E397" i="8"/>
  <c r="D397" i="8"/>
  <c r="Q396" i="8"/>
  <c r="P396" i="8"/>
  <c r="J396" i="8"/>
  <c r="F396" i="8"/>
  <c r="E396" i="8"/>
  <c r="D396" i="8"/>
  <c r="Q395" i="8"/>
  <c r="P395" i="8"/>
  <c r="J395" i="8"/>
  <c r="F395" i="8"/>
  <c r="E395" i="8"/>
  <c r="D395" i="8"/>
  <c r="Q394" i="8"/>
  <c r="P394" i="8"/>
  <c r="J394" i="8"/>
  <c r="F394" i="8"/>
  <c r="E394" i="8"/>
  <c r="D394" i="8"/>
  <c r="Q393" i="8"/>
  <c r="P393" i="8"/>
  <c r="J393" i="8"/>
  <c r="F393" i="8"/>
  <c r="E393" i="8"/>
  <c r="D393" i="8"/>
  <c r="Q392" i="8"/>
  <c r="P392" i="8"/>
  <c r="J392" i="8"/>
  <c r="F392" i="8"/>
  <c r="E392" i="8"/>
  <c r="D392" i="8"/>
  <c r="Q391" i="8"/>
  <c r="P391" i="8"/>
  <c r="J391" i="8"/>
  <c r="F391" i="8"/>
  <c r="E391" i="8"/>
  <c r="D391" i="8"/>
  <c r="Q390" i="8"/>
  <c r="P390" i="8"/>
  <c r="J390" i="8"/>
  <c r="F390" i="8"/>
  <c r="E390" i="8"/>
  <c r="D390" i="8"/>
  <c r="Q389" i="8"/>
  <c r="P389" i="8"/>
  <c r="J389" i="8"/>
  <c r="F389" i="8"/>
  <c r="E389" i="8"/>
  <c r="D389" i="8"/>
  <c r="Q388" i="8"/>
  <c r="P388" i="8"/>
  <c r="J388" i="8"/>
  <c r="F388" i="8"/>
  <c r="E388" i="8"/>
  <c r="D388" i="8"/>
  <c r="Q387" i="8"/>
  <c r="P387" i="8"/>
  <c r="J387" i="8"/>
  <c r="F387" i="8"/>
  <c r="E387" i="8"/>
  <c r="D387" i="8"/>
  <c r="Q386" i="8"/>
  <c r="P386" i="8"/>
  <c r="J386" i="8"/>
  <c r="F386" i="8"/>
  <c r="E386" i="8"/>
  <c r="D386" i="8"/>
  <c r="Q385" i="8"/>
  <c r="P385" i="8"/>
  <c r="J385" i="8"/>
  <c r="F385" i="8"/>
  <c r="E385" i="8"/>
  <c r="D385" i="8"/>
  <c r="Q384" i="8"/>
  <c r="P384" i="8"/>
  <c r="J384" i="8"/>
  <c r="F384" i="8"/>
  <c r="E384" i="8"/>
  <c r="D384" i="8"/>
  <c r="Q383" i="8"/>
  <c r="P383" i="8"/>
  <c r="J383" i="8"/>
  <c r="F383" i="8"/>
  <c r="E383" i="8"/>
  <c r="D383" i="8"/>
  <c r="Q382" i="8"/>
  <c r="P382" i="8"/>
  <c r="J382" i="8"/>
  <c r="F382" i="8"/>
  <c r="E382" i="8"/>
  <c r="D382" i="8"/>
  <c r="Q381" i="8"/>
  <c r="P381" i="8"/>
  <c r="J381" i="8"/>
  <c r="F381" i="8"/>
  <c r="E381" i="8"/>
  <c r="D381" i="8"/>
  <c r="Q380" i="8"/>
  <c r="P380" i="8"/>
  <c r="J380" i="8"/>
  <c r="F380" i="8"/>
  <c r="E380" i="8"/>
  <c r="D380" i="8"/>
  <c r="Q379" i="8"/>
  <c r="P379" i="8"/>
  <c r="J379" i="8"/>
  <c r="F379" i="8"/>
  <c r="E379" i="8"/>
  <c r="D379" i="8"/>
  <c r="Q378" i="8"/>
  <c r="P378" i="8"/>
  <c r="J378" i="8"/>
  <c r="F378" i="8"/>
  <c r="E378" i="8"/>
  <c r="D378" i="8"/>
  <c r="Q377" i="8"/>
  <c r="P377" i="8"/>
  <c r="J377" i="8"/>
  <c r="F377" i="8"/>
  <c r="E377" i="8"/>
  <c r="D377" i="8"/>
  <c r="Q376" i="8"/>
  <c r="P376" i="8"/>
  <c r="J376" i="8"/>
  <c r="F376" i="8"/>
  <c r="E376" i="8"/>
  <c r="D376" i="8"/>
  <c r="Q375" i="8"/>
  <c r="P375" i="8"/>
  <c r="J375" i="8"/>
  <c r="F375" i="8"/>
  <c r="E375" i="8"/>
  <c r="D375" i="8"/>
  <c r="Q374" i="8"/>
  <c r="P374" i="8"/>
  <c r="J374" i="8"/>
  <c r="F374" i="8"/>
  <c r="E374" i="8"/>
  <c r="D374" i="8"/>
  <c r="Q373" i="8"/>
  <c r="P373" i="8"/>
  <c r="J373" i="8"/>
  <c r="F373" i="8"/>
  <c r="E373" i="8"/>
  <c r="D373" i="8"/>
  <c r="Q372" i="8"/>
  <c r="P372" i="8"/>
  <c r="J372" i="8"/>
  <c r="F372" i="8"/>
  <c r="E372" i="8"/>
  <c r="D372" i="8"/>
  <c r="Q371" i="8"/>
  <c r="P371" i="8"/>
  <c r="J371" i="8"/>
  <c r="F371" i="8"/>
  <c r="E371" i="8"/>
  <c r="D371" i="8"/>
  <c r="Q370" i="8"/>
  <c r="P370" i="8"/>
  <c r="J370" i="8"/>
  <c r="F370" i="8"/>
  <c r="E370" i="8"/>
  <c r="D370" i="8"/>
  <c r="Q369" i="8"/>
  <c r="P369" i="8"/>
  <c r="J369" i="8"/>
  <c r="F369" i="8"/>
  <c r="E369" i="8"/>
  <c r="D369" i="8"/>
  <c r="Q368" i="8"/>
  <c r="P368" i="8"/>
  <c r="J368" i="8"/>
  <c r="F368" i="8"/>
  <c r="E368" i="8"/>
  <c r="D368" i="8"/>
  <c r="Q367" i="8"/>
  <c r="P367" i="8"/>
  <c r="J367" i="8"/>
  <c r="F367" i="8"/>
  <c r="E367" i="8"/>
  <c r="D367" i="8"/>
  <c r="Q366" i="8"/>
  <c r="P366" i="8"/>
  <c r="J366" i="8"/>
  <c r="F366" i="8"/>
  <c r="E366" i="8"/>
  <c r="D366" i="8"/>
  <c r="Q365" i="8"/>
  <c r="P365" i="8"/>
  <c r="J365" i="8"/>
  <c r="F365" i="8"/>
  <c r="E365" i="8"/>
  <c r="D365" i="8"/>
  <c r="Q364" i="8"/>
  <c r="P364" i="8"/>
  <c r="J364" i="8"/>
  <c r="F364" i="8"/>
  <c r="E364" i="8"/>
  <c r="D364" i="8"/>
  <c r="Q363" i="8"/>
  <c r="P363" i="8"/>
  <c r="J363" i="8"/>
  <c r="F363" i="8"/>
  <c r="E363" i="8"/>
  <c r="D363" i="8"/>
  <c r="Q362" i="8"/>
  <c r="P362" i="8"/>
  <c r="J362" i="8"/>
  <c r="F362" i="8"/>
  <c r="E362" i="8"/>
  <c r="D362" i="8"/>
  <c r="Q361" i="8"/>
  <c r="P361" i="8"/>
  <c r="J361" i="8"/>
  <c r="F361" i="8"/>
  <c r="E361" i="8"/>
  <c r="D361" i="8"/>
  <c r="Q360" i="8"/>
  <c r="P360" i="8"/>
  <c r="J360" i="8"/>
  <c r="F360" i="8"/>
  <c r="E360" i="8"/>
  <c r="D360" i="8"/>
  <c r="Q359" i="8"/>
  <c r="P359" i="8"/>
  <c r="J359" i="8"/>
  <c r="F359" i="8"/>
  <c r="E359" i="8"/>
  <c r="D359" i="8"/>
  <c r="Q358" i="8"/>
  <c r="P358" i="8"/>
  <c r="J358" i="8"/>
  <c r="F358" i="8"/>
  <c r="E358" i="8"/>
  <c r="D358" i="8"/>
  <c r="Q357" i="8"/>
  <c r="P357" i="8"/>
  <c r="J357" i="8"/>
  <c r="F357" i="8"/>
  <c r="E357" i="8"/>
  <c r="D357" i="8"/>
  <c r="Q356" i="8"/>
  <c r="P356" i="8"/>
  <c r="J356" i="8"/>
  <c r="F356" i="8"/>
  <c r="E356" i="8"/>
  <c r="D356" i="8"/>
  <c r="Q355" i="8"/>
  <c r="P355" i="8"/>
  <c r="J355" i="8"/>
  <c r="F355" i="8"/>
  <c r="E355" i="8"/>
  <c r="D355" i="8"/>
  <c r="Q354" i="8"/>
  <c r="P354" i="8"/>
  <c r="J354" i="8"/>
  <c r="F354" i="8"/>
  <c r="E354" i="8"/>
  <c r="D354" i="8"/>
  <c r="Q353" i="8"/>
  <c r="P353" i="8"/>
  <c r="J353" i="8"/>
  <c r="F353" i="8"/>
  <c r="E353" i="8"/>
  <c r="D353" i="8"/>
  <c r="Q352" i="8"/>
  <c r="P352" i="8"/>
  <c r="J352" i="8"/>
  <c r="F352" i="8"/>
  <c r="E352" i="8"/>
  <c r="D352" i="8"/>
  <c r="Q351" i="8"/>
  <c r="P351" i="8"/>
  <c r="J351" i="8"/>
  <c r="F351" i="8"/>
  <c r="E351" i="8"/>
  <c r="D351" i="8"/>
  <c r="Q350" i="8"/>
  <c r="P350" i="8"/>
  <c r="J350" i="8"/>
  <c r="F350" i="8"/>
  <c r="E350" i="8"/>
  <c r="D350" i="8"/>
  <c r="Q349" i="8"/>
  <c r="P349" i="8"/>
  <c r="J349" i="8"/>
  <c r="F349" i="8"/>
  <c r="E349" i="8"/>
  <c r="D349" i="8"/>
  <c r="Q348" i="8"/>
  <c r="P348" i="8"/>
  <c r="J348" i="8"/>
  <c r="F348" i="8"/>
  <c r="E348" i="8"/>
  <c r="D348" i="8"/>
  <c r="Q347" i="8"/>
  <c r="P347" i="8"/>
  <c r="J347" i="8"/>
  <c r="F347" i="8"/>
  <c r="E347" i="8"/>
  <c r="D347" i="8"/>
  <c r="Q346" i="8"/>
  <c r="P346" i="8"/>
  <c r="J346" i="8"/>
  <c r="F346" i="8"/>
  <c r="E346" i="8"/>
  <c r="D346" i="8"/>
  <c r="Q345" i="8"/>
  <c r="P345" i="8"/>
  <c r="J345" i="8"/>
  <c r="F345" i="8"/>
  <c r="E345" i="8"/>
  <c r="D345" i="8"/>
  <c r="Q344" i="8"/>
  <c r="P344" i="8"/>
  <c r="J344" i="8"/>
  <c r="F344" i="8"/>
  <c r="E344" i="8"/>
  <c r="D344" i="8"/>
  <c r="Q343" i="8"/>
  <c r="P343" i="8"/>
  <c r="J343" i="8"/>
  <c r="F343" i="8"/>
  <c r="E343" i="8"/>
  <c r="D343" i="8"/>
  <c r="Q342" i="8"/>
  <c r="P342" i="8"/>
  <c r="J342" i="8"/>
  <c r="F342" i="8"/>
  <c r="E342" i="8"/>
  <c r="D342" i="8"/>
  <c r="Q341" i="8"/>
  <c r="P341" i="8"/>
  <c r="J341" i="8"/>
  <c r="F341" i="8"/>
  <c r="E341" i="8"/>
  <c r="D341" i="8"/>
  <c r="Q340" i="8"/>
  <c r="P340" i="8"/>
  <c r="J340" i="8"/>
  <c r="F340" i="8"/>
  <c r="E340" i="8"/>
  <c r="D340" i="8"/>
  <c r="Q339" i="8"/>
  <c r="P339" i="8"/>
  <c r="J339" i="8"/>
  <c r="F339" i="8"/>
  <c r="E339" i="8"/>
  <c r="D339" i="8"/>
  <c r="Q338" i="8"/>
  <c r="P338" i="8"/>
  <c r="J338" i="8"/>
  <c r="F338" i="8"/>
  <c r="E338" i="8"/>
  <c r="D338" i="8"/>
  <c r="Q337" i="8"/>
  <c r="P337" i="8"/>
  <c r="J337" i="8"/>
  <c r="F337" i="8"/>
  <c r="E337" i="8"/>
  <c r="D337" i="8"/>
  <c r="Q336" i="8"/>
  <c r="P336" i="8"/>
  <c r="J336" i="8"/>
  <c r="F336" i="8"/>
  <c r="E336" i="8"/>
  <c r="D336" i="8"/>
  <c r="Q335" i="8"/>
  <c r="P335" i="8"/>
  <c r="J335" i="8"/>
  <c r="F335" i="8"/>
  <c r="E335" i="8"/>
  <c r="D335" i="8"/>
  <c r="Q334" i="8"/>
  <c r="P334" i="8"/>
  <c r="J334" i="8"/>
  <c r="F334" i="8"/>
  <c r="E334" i="8"/>
  <c r="D334" i="8"/>
  <c r="Q333" i="8"/>
  <c r="P333" i="8"/>
  <c r="J333" i="8"/>
  <c r="F333" i="8"/>
  <c r="E333" i="8"/>
  <c r="D333" i="8"/>
  <c r="Q332" i="8"/>
  <c r="P332" i="8"/>
  <c r="J332" i="8"/>
  <c r="F332" i="8"/>
  <c r="E332" i="8"/>
  <c r="D332" i="8"/>
  <c r="Q331" i="8"/>
  <c r="P331" i="8"/>
  <c r="J331" i="8"/>
  <c r="F331" i="8"/>
  <c r="E331" i="8"/>
  <c r="D331" i="8"/>
  <c r="Q330" i="8"/>
  <c r="P330" i="8"/>
  <c r="J330" i="8"/>
  <c r="F330" i="8"/>
  <c r="E330" i="8"/>
  <c r="D330" i="8"/>
  <c r="Q329" i="8"/>
  <c r="P329" i="8"/>
  <c r="J329" i="8"/>
  <c r="F329" i="8"/>
  <c r="E329" i="8"/>
  <c r="D329" i="8"/>
  <c r="Q328" i="8"/>
  <c r="P328" i="8"/>
  <c r="J328" i="8"/>
  <c r="F328" i="8"/>
  <c r="E328" i="8"/>
  <c r="D328" i="8"/>
  <c r="Q327" i="8"/>
  <c r="P327" i="8"/>
  <c r="J327" i="8"/>
  <c r="F327" i="8"/>
  <c r="E327" i="8"/>
  <c r="D327" i="8"/>
  <c r="Q326" i="8"/>
  <c r="P326" i="8"/>
  <c r="J326" i="8"/>
  <c r="F326" i="8"/>
  <c r="E326" i="8"/>
  <c r="D326" i="8"/>
  <c r="Q325" i="8"/>
  <c r="P325" i="8"/>
  <c r="J325" i="8"/>
  <c r="F325" i="8"/>
  <c r="E325" i="8"/>
  <c r="D325" i="8"/>
  <c r="Q324" i="8"/>
  <c r="P324" i="8"/>
  <c r="J324" i="8"/>
  <c r="F324" i="8"/>
  <c r="E324" i="8"/>
  <c r="D324" i="8"/>
  <c r="Q323" i="8"/>
  <c r="P323" i="8"/>
  <c r="J323" i="8"/>
  <c r="F323" i="8"/>
  <c r="E323" i="8"/>
  <c r="D323" i="8"/>
  <c r="Q322" i="8"/>
  <c r="P322" i="8"/>
  <c r="J322" i="8"/>
  <c r="F322" i="8"/>
  <c r="E322" i="8"/>
  <c r="D322" i="8"/>
  <c r="Q321" i="8"/>
  <c r="P321" i="8"/>
  <c r="J321" i="8"/>
  <c r="F321" i="8"/>
  <c r="E321" i="8"/>
  <c r="D321" i="8"/>
  <c r="Q320" i="8"/>
  <c r="P320" i="8"/>
  <c r="J320" i="8"/>
  <c r="F320" i="8"/>
  <c r="E320" i="8"/>
  <c r="D320" i="8"/>
  <c r="Q319" i="8"/>
  <c r="P319" i="8"/>
  <c r="J319" i="8"/>
  <c r="F319" i="8"/>
  <c r="E319" i="8"/>
  <c r="D319" i="8"/>
  <c r="Q318" i="8"/>
  <c r="P318" i="8"/>
  <c r="J318" i="8"/>
  <c r="F318" i="8"/>
  <c r="E318" i="8"/>
  <c r="D318" i="8"/>
  <c r="Q317" i="8"/>
  <c r="P317" i="8"/>
  <c r="J317" i="8"/>
  <c r="F317" i="8"/>
  <c r="E317" i="8"/>
  <c r="D317" i="8"/>
  <c r="Q316" i="8"/>
  <c r="P316" i="8"/>
  <c r="J316" i="8"/>
  <c r="F316" i="8"/>
  <c r="E316" i="8"/>
  <c r="D316" i="8"/>
  <c r="Q315" i="8"/>
  <c r="P315" i="8"/>
  <c r="J315" i="8"/>
  <c r="F315" i="8"/>
  <c r="E315" i="8"/>
  <c r="D315" i="8"/>
  <c r="Q314" i="8"/>
  <c r="P314" i="8"/>
  <c r="J314" i="8"/>
  <c r="F314" i="8"/>
  <c r="E314" i="8"/>
  <c r="D314" i="8"/>
  <c r="Q313" i="8"/>
  <c r="P313" i="8"/>
  <c r="J313" i="8"/>
  <c r="F313" i="8"/>
  <c r="E313" i="8"/>
  <c r="D313" i="8"/>
  <c r="Q312" i="8"/>
  <c r="P312" i="8"/>
  <c r="J312" i="8"/>
  <c r="F312" i="8"/>
  <c r="E312" i="8"/>
  <c r="D312" i="8"/>
  <c r="Q311" i="8"/>
  <c r="P311" i="8"/>
  <c r="J311" i="8"/>
  <c r="F311" i="8"/>
  <c r="E311" i="8"/>
  <c r="D311" i="8"/>
  <c r="Q310" i="8"/>
  <c r="P310" i="8"/>
  <c r="J310" i="8"/>
  <c r="F310" i="8"/>
  <c r="E310" i="8"/>
  <c r="D310" i="8"/>
  <c r="Q309" i="8"/>
  <c r="P309" i="8"/>
  <c r="J309" i="8"/>
  <c r="F309" i="8"/>
  <c r="E309" i="8"/>
  <c r="D309" i="8"/>
  <c r="Q308" i="8"/>
  <c r="P308" i="8"/>
  <c r="J308" i="8"/>
  <c r="F308" i="8"/>
  <c r="E308" i="8"/>
  <c r="D308" i="8"/>
  <c r="Q307" i="8"/>
  <c r="P307" i="8"/>
  <c r="J307" i="8"/>
  <c r="F307" i="8"/>
  <c r="E307" i="8"/>
  <c r="D307" i="8"/>
  <c r="Q306" i="8"/>
  <c r="P306" i="8"/>
  <c r="J306" i="8"/>
  <c r="F306" i="8"/>
  <c r="E306" i="8"/>
  <c r="D306" i="8"/>
  <c r="Q305" i="8"/>
  <c r="P305" i="8"/>
  <c r="J305" i="8"/>
  <c r="F305" i="8"/>
  <c r="E305" i="8"/>
  <c r="D305" i="8"/>
  <c r="Q304" i="8"/>
  <c r="P304" i="8"/>
  <c r="J304" i="8"/>
  <c r="F304" i="8"/>
  <c r="E304" i="8"/>
  <c r="D304" i="8"/>
  <c r="Q303" i="8"/>
  <c r="P303" i="8"/>
  <c r="J303" i="8"/>
  <c r="F303" i="8"/>
  <c r="E303" i="8"/>
  <c r="D303" i="8"/>
  <c r="Q302" i="8"/>
  <c r="P302" i="8"/>
  <c r="J302" i="8"/>
  <c r="F302" i="8"/>
  <c r="E302" i="8"/>
  <c r="D302" i="8"/>
  <c r="Q301" i="8"/>
  <c r="P301" i="8"/>
  <c r="J301" i="8"/>
  <c r="F301" i="8"/>
  <c r="E301" i="8"/>
  <c r="D301" i="8"/>
  <c r="Q300" i="8"/>
  <c r="P300" i="8"/>
  <c r="J300" i="8"/>
  <c r="F300" i="8"/>
  <c r="E300" i="8"/>
  <c r="D300" i="8"/>
  <c r="Q299" i="8"/>
  <c r="P299" i="8"/>
  <c r="J299" i="8"/>
  <c r="F299" i="8"/>
  <c r="E299" i="8"/>
  <c r="D299" i="8"/>
  <c r="Q298" i="8"/>
  <c r="P298" i="8"/>
  <c r="J298" i="8"/>
  <c r="F298" i="8"/>
  <c r="E298" i="8"/>
  <c r="D298" i="8"/>
  <c r="Q297" i="8"/>
  <c r="P297" i="8"/>
  <c r="J297" i="8"/>
  <c r="F297" i="8"/>
  <c r="E297" i="8"/>
  <c r="D297" i="8"/>
  <c r="Q296" i="8"/>
  <c r="P296" i="8"/>
  <c r="J296" i="8"/>
  <c r="F296" i="8"/>
  <c r="E296" i="8"/>
  <c r="D296" i="8"/>
  <c r="Q295" i="8"/>
  <c r="P295" i="8"/>
  <c r="J295" i="8"/>
  <c r="F295" i="8"/>
  <c r="E295" i="8"/>
  <c r="D295" i="8"/>
  <c r="Q294" i="8"/>
  <c r="P294" i="8"/>
  <c r="J294" i="8"/>
  <c r="F294" i="8"/>
  <c r="E294" i="8"/>
  <c r="D294" i="8"/>
  <c r="Q293" i="8"/>
  <c r="P293" i="8"/>
  <c r="J293" i="8"/>
  <c r="F293" i="8"/>
  <c r="E293" i="8"/>
  <c r="D293" i="8"/>
  <c r="Q292" i="8"/>
  <c r="P292" i="8"/>
  <c r="J292" i="8"/>
  <c r="F292" i="8"/>
  <c r="E292" i="8"/>
  <c r="D292" i="8"/>
  <c r="Q291" i="8"/>
  <c r="P291" i="8"/>
  <c r="J291" i="8"/>
  <c r="F291" i="8"/>
  <c r="E291" i="8"/>
  <c r="D291" i="8"/>
  <c r="Q290" i="8"/>
  <c r="P290" i="8"/>
  <c r="J290" i="8"/>
  <c r="F290" i="8"/>
  <c r="E290" i="8"/>
  <c r="D290" i="8"/>
  <c r="Q289" i="8"/>
  <c r="P289" i="8"/>
  <c r="J289" i="8"/>
  <c r="F289" i="8"/>
  <c r="E289" i="8"/>
  <c r="D289" i="8"/>
  <c r="Q288" i="8"/>
  <c r="P288" i="8"/>
  <c r="J288" i="8"/>
  <c r="F288" i="8"/>
  <c r="E288" i="8"/>
  <c r="D288" i="8"/>
  <c r="Q287" i="8"/>
  <c r="P287" i="8"/>
  <c r="J287" i="8"/>
  <c r="F287" i="8"/>
  <c r="E287" i="8"/>
  <c r="D287" i="8"/>
  <c r="Q286" i="8"/>
  <c r="P286" i="8"/>
  <c r="J286" i="8"/>
  <c r="F286" i="8"/>
  <c r="E286" i="8"/>
  <c r="D286" i="8"/>
  <c r="Q285" i="8"/>
  <c r="P285" i="8"/>
  <c r="J285" i="8"/>
  <c r="F285" i="8"/>
  <c r="E285" i="8"/>
  <c r="D285" i="8"/>
  <c r="Q284" i="8"/>
  <c r="P284" i="8"/>
  <c r="J284" i="8"/>
  <c r="F284" i="8"/>
  <c r="E284" i="8"/>
  <c r="D284" i="8"/>
  <c r="Q283" i="8"/>
  <c r="P283" i="8"/>
  <c r="J283" i="8"/>
  <c r="F283" i="8"/>
  <c r="E283" i="8"/>
  <c r="D283" i="8"/>
  <c r="Q282" i="8"/>
  <c r="P282" i="8"/>
  <c r="J282" i="8"/>
  <c r="F282" i="8"/>
  <c r="E282" i="8"/>
  <c r="D282" i="8"/>
  <c r="Q281" i="8"/>
  <c r="P281" i="8"/>
  <c r="J281" i="8"/>
  <c r="F281" i="8"/>
  <c r="E281" i="8"/>
  <c r="D281" i="8"/>
  <c r="Q280" i="8"/>
  <c r="P280" i="8"/>
  <c r="J280" i="8"/>
  <c r="F280" i="8"/>
  <c r="E280" i="8"/>
  <c r="D280" i="8"/>
  <c r="Q279" i="8"/>
  <c r="P279" i="8"/>
  <c r="J279" i="8"/>
  <c r="F279" i="8"/>
  <c r="E279" i="8"/>
  <c r="D279" i="8"/>
  <c r="Q278" i="8"/>
  <c r="P278" i="8"/>
  <c r="J278" i="8"/>
  <c r="F278" i="8"/>
  <c r="E278" i="8"/>
  <c r="D278" i="8"/>
  <c r="Q277" i="8"/>
  <c r="P277" i="8"/>
  <c r="J277" i="8"/>
  <c r="F277" i="8"/>
  <c r="E277" i="8"/>
  <c r="D277" i="8"/>
  <c r="Q276" i="8"/>
  <c r="P276" i="8"/>
  <c r="J276" i="8"/>
  <c r="F276" i="8"/>
  <c r="E276" i="8"/>
  <c r="D276" i="8"/>
  <c r="Q275" i="8"/>
  <c r="P275" i="8"/>
  <c r="J275" i="8"/>
  <c r="F275" i="8"/>
  <c r="E275" i="8"/>
  <c r="D275" i="8"/>
  <c r="Q274" i="8"/>
  <c r="P274" i="8"/>
  <c r="J274" i="8"/>
  <c r="F274" i="8"/>
  <c r="E274" i="8"/>
  <c r="D274" i="8"/>
  <c r="Q273" i="8"/>
  <c r="P273" i="8"/>
  <c r="J273" i="8"/>
  <c r="F273" i="8"/>
  <c r="E273" i="8"/>
  <c r="D273" i="8"/>
  <c r="Q272" i="8"/>
  <c r="P272" i="8"/>
  <c r="J272" i="8"/>
  <c r="F272" i="8"/>
  <c r="E272" i="8"/>
  <c r="D272" i="8"/>
  <c r="Q271" i="8"/>
  <c r="P271" i="8"/>
  <c r="J271" i="8"/>
  <c r="F271" i="8"/>
  <c r="E271" i="8"/>
  <c r="D271" i="8"/>
  <c r="Q270" i="8"/>
  <c r="P270" i="8"/>
  <c r="J270" i="8"/>
  <c r="F270" i="8"/>
  <c r="E270" i="8"/>
  <c r="D270" i="8"/>
  <c r="Q269" i="8"/>
  <c r="P269" i="8"/>
  <c r="J269" i="8"/>
  <c r="F269" i="8"/>
  <c r="E269" i="8"/>
  <c r="D269" i="8"/>
  <c r="Q268" i="8"/>
  <c r="P268" i="8"/>
  <c r="J268" i="8"/>
  <c r="F268" i="8"/>
  <c r="E268" i="8"/>
  <c r="D268" i="8"/>
  <c r="Q267" i="8"/>
  <c r="P267" i="8"/>
  <c r="J267" i="8"/>
  <c r="F267" i="8"/>
  <c r="E267" i="8"/>
  <c r="D267" i="8"/>
  <c r="Q266" i="8"/>
  <c r="P266" i="8"/>
  <c r="J266" i="8"/>
  <c r="F266" i="8"/>
  <c r="E266" i="8"/>
  <c r="D266" i="8"/>
  <c r="Q265" i="8"/>
  <c r="P265" i="8"/>
  <c r="J265" i="8"/>
  <c r="F265" i="8"/>
  <c r="E265" i="8"/>
  <c r="D265" i="8"/>
  <c r="Q264" i="8"/>
  <c r="P264" i="8"/>
  <c r="J264" i="8"/>
  <c r="F264" i="8"/>
  <c r="E264" i="8"/>
  <c r="D264" i="8"/>
  <c r="Q263" i="8"/>
  <c r="P263" i="8"/>
  <c r="J263" i="8"/>
  <c r="F263" i="8"/>
  <c r="E263" i="8"/>
  <c r="D263" i="8"/>
  <c r="Q262" i="8"/>
  <c r="P262" i="8"/>
  <c r="J262" i="8"/>
  <c r="F262" i="8"/>
  <c r="E262" i="8"/>
  <c r="D262" i="8"/>
  <c r="Q261" i="8"/>
  <c r="P261" i="8"/>
  <c r="J261" i="8"/>
  <c r="F261" i="8"/>
  <c r="E261" i="8"/>
  <c r="D261" i="8"/>
  <c r="Q260" i="8"/>
  <c r="P260" i="8"/>
  <c r="J260" i="8"/>
  <c r="F260" i="8"/>
  <c r="E260" i="8"/>
  <c r="D260" i="8"/>
  <c r="Q259" i="8"/>
  <c r="P259" i="8"/>
  <c r="J259" i="8"/>
  <c r="F259" i="8"/>
  <c r="E259" i="8"/>
  <c r="D259" i="8"/>
  <c r="Q258" i="8"/>
  <c r="P258" i="8"/>
  <c r="J258" i="8"/>
  <c r="F258" i="8"/>
  <c r="E258" i="8"/>
  <c r="D258" i="8"/>
  <c r="Q257" i="8"/>
  <c r="P257" i="8"/>
  <c r="J257" i="8"/>
  <c r="F257" i="8"/>
  <c r="E257" i="8"/>
  <c r="D257" i="8"/>
  <c r="Q256" i="8"/>
  <c r="P256" i="8"/>
  <c r="J256" i="8"/>
  <c r="F256" i="8"/>
  <c r="E256" i="8"/>
  <c r="D256" i="8"/>
  <c r="Q255" i="8"/>
  <c r="P255" i="8"/>
  <c r="J255" i="8"/>
  <c r="F255" i="8"/>
  <c r="E255" i="8"/>
  <c r="D255" i="8"/>
  <c r="Q254" i="8"/>
  <c r="P254" i="8"/>
  <c r="J254" i="8"/>
  <c r="F254" i="8"/>
  <c r="E254" i="8"/>
  <c r="D254" i="8"/>
  <c r="Q253" i="8"/>
  <c r="P253" i="8"/>
  <c r="J253" i="8"/>
  <c r="F253" i="8"/>
  <c r="E253" i="8"/>
  <c r="D253" i="8"/>
  <c r="Q252" i="8"/>
  <c r="P252" i="8"/>
  <c r="J252" i="8"/>
  <c r="F252" i="8"/>
  <c r="E252" i="8"/>
  <c r="D252" i="8"/>
  <c r="Q251" i="8"/>
  <c r="P251" i="8"/>
  <c r="J251" i="8"/>
  <c r="F251" i="8"/>
  <c r="E251" i="8"/>
  <c r="D251" i="8"/>
  <c r="Q250" i="8"/>
  <c r="P250" i="8"/>
  <c r="J250" i="8"/>
  <c r="F250" i="8"/>
  <c r="E250" i="8"/>
  <c r="D250" i="8"/>
  <c r="Q249" i="8"/>
  <c r="P249" i="8"/>
  <c r="J249" i="8"/>
  <c r="F249" i="8"/>
  <c r="E249" i="8"/>
  <c r="D249" i="8"/>
  <c r="Q248" i="8"/>
  <c r="P248" i="8"/>
  <c r="J248" i="8"/>
  <c r="F248" i="8"/>
  <c r="E248" i="8"/>
  <c r="D248" i="8"/>
  <c r="Q247" i="8"/>
  <c r="P247" i="8"/>
  <c r="J247" i="8"/>
  <c r="F247" i="8"/>
  <c r="E247" i="8"/>
  <c r="D247" i="8"/>
  <c r="Q246" i="8"/>
  <c r="P246" i="8"/>
  <c r="J246" i="8"/>
  <c r="F246" i="8"/>
  <c r="E246" i="8"/>
  <c r="D246" i="8"/>
  <c r="Q245" i="8"/>
  <c r="P245" i="8"/>
  <c r="J245" i="8"/>
  <c r="F245" i="8"/>
  <c r="E245" i="8"/>
  <c r="D245" i="8"/>
  <c r="Q244" i="8"/>
  <c r="P244" i="8"/>
  <c r="J244" i="8"/>
  <c r="F244" i="8"/>
  <c r="E244" i="8"/>
  <c r="D244" i="8"/>
  <c r="Q243" i="8"/>
  <c r="P243" i="8"/>
  <c r="J243" i="8"/>
  <c r="F243" i="8"/>
  <c r="E243" i="8"/>
  <c r="D243" i="8"/>
  <c r="Q242" i="8"/>
  <c r="P242" i="8"/>
  <c r="J242" i="8"/>
  <c r="F242" i="8"/>
  <c r="E242" i="8"/>
  <c r="D242" i="8"/>
  <c r="Q241" i="8"/>
  <c r="P241" i="8"/>
  <c r="J241" i="8"/>
  <c r="F241" i="8"/>
  <c r="E241" i="8"/>
  <c r="D241" i="8"/>
  <c r="Q240" i="8"/>
  <c r="P240" i="8"/>
  <c r="J240" i="8"/>
  <c r="F240" i="8"/>
  <c r="E240" i="8"/>
  <c r="D240" i="8"/>
  <c r="Q239" i="8"/>
  <c r="P239" i="8"/>
  <c r="J239" i="8"/>
  <c r="F239" i="8"/>
  <c r="E239" i="8"/>
  <c r="D239" i="8"/>
  <c r="Q238" i="8"/>
  <c r="P238" i="8"/>
  <c r="J238" i="8"/>
  <c r="F238" i="8"/>
  <c r="E238" i="8"/>
  <c r="D238" i="8"/>
  <c r="Q237" i="8"/>
  <c r="P237" i="8"/>
  <c r="J237" i="8"/>
  <c r="F237" i="8"/>
  <c r="E237" i="8"/>
  <c r="D237" i="8"/>
  <c r="Q236" i="8"/>
  <c r="P236" i="8"/>
  <c r="J236" i="8"/>
  <c r="F236" i="8"/>
  <c r="E236" i="8"/>
  <c r="D236" i="8"/>
  <c r="Q235" i="8"/>
  <c r="P235" i="8"/>
  <c r="J235" i="8"/>
  <c r="F235" i="8"/>
  <c r="E235" i="8"/>
  <c r="D235" i="8"/>
  <c r="Q234" i="8"/>
  <c r="P234" i="8"/>
  <c r="J234" i="8"/>
  <c r="F234" i="8"/>
  <c r="E234" i="8"/>
  <c r="D234" i="8"/>
  <c r="Q233" i="8"/>
  <c r="P233" i="8"/>
  <c r="J233" i="8"/>
  <c r="F233" i="8"/>
  <c r="E233" i="8"/>
  <c r="D233" i="8"/>
  <c r="Q232" i="8"/>
  <c r="P232" i="8"/>
  <c r="J232" i="8"/>
  <c r="F232" i="8"/>
  <c r="E232" i="8"/>
  <c r="D232" i="8"/>
  <c r="Q231" i="8"/>
  <c r="P231" i="8"/>
  <c r="J231" i="8"/>
  <c r="F231" i="8"/>
  <c r="E231" i="8"/>
  <c r="D231" i="8"/>
  <c r="Q230" i="8"/>
  <c r="P230" i="8"/>
  <c r="J230" i="8"/>
  <c r="F230" i="8"/>
  <c r="E230" i="8"/>
  <c r="D230" i="8"/>
  <c r="Q229" i="8"/>
  <c r="P229" i="8"/>
  <c r="J229" i="8"/>
  <c r="F229" i="8"/>
  <c r="E229" i="8"/>
  <c r="D229" i="8"/>
  <c r="Q228" i="8"/>
  <c r="P228" i="8"/>
  <c r="J228" i="8"/>
  <c r="F228" i="8"/>
  <c r="E228" i="8"/>
  <c r="D228" i="8"/>
  <c r="Q227" i="8"/>
  <c r="P227" i="8"/>
  <c r="J227" i="8"/>
  <c r="F227" i="8"/>
  <c r="E227" i="8"/>
  <c r="D227" i="8"/>
  <c r="Q226" i="8"/>
  <c r="P226" i="8"/>
  <c r="J226" i="8"/>
  <c r="F226" i="8"/>
  <c r="E226" i="8"/>
  <c r="D226" i="8"/>
  <c r="Q225" i="8"/>
  <c r="P225" i="8"/>
  <c r="J225" i="8"/>
  <c r="F225" i="8"/>
  <c r="E225" i="8"/>
  <c r="D225" i="8"/>
  <c r="Q224" i="8"/>
  <c r="P224" i="8"/>
  <c r="J224" i="8"/>
  <c r="F224" i="8"/>
  <c r="E224" i="8"/>
  <c r="D224" i="8"/>
  <c r="Q223" i="8"/>
  <c r="P223" i="8"/>
  <c r="J223" i="8"/>
  <c r="F223" i="8"/>
  <c r="E223" i="8"/>
  <c r="D223" i="8"/>
  <c r="Q222" i="8"/>
  <c r="P222" i="8"/>
  <c r="J222" i="8"/>
  <c r="F222" i="8"/>
  <c r="E222" i="8"/>
  <c r="D222" i="8"/>
  <c r="Q221" i="8"/>
  <c r="P221" i="8"/>
  <c r="J221" i="8"/>
  <c r="F221" i="8"/>
  <c r="E221" i="8"/>
  <c r="D221" i="8"/>
  <c r="Q220" i="8"/>
  <c r="P220" i="8"/>
  <c r="J220" i="8"/>
  <c r="F220" i="8"/>
  <c r="E220" i="8"/>
  <c r="D220" i="8"/>
  <c r="Q219" i="8"/>
  <c r="P219" i="8"/>
  <c r="J219" i="8"/>
  <c r="F219" i="8"/>
  <c r="E219" i="8"/>
  <c r="D219" i="8"/>
  <c r="Q218" i="8"/>
  <c r="P218" i="8"/>
  <c r="J218" i="8"/>
  <c r="F218" i="8"/>
  <c r="E218" i="8"/>
  <c r="D218" i="8"/>
  <c r="Q217" i="8"/>
  <c r="P217" i="8"/>
  <c r="J217" i="8"/>
  <c r="F217" i="8"/>
  <c r="E217" i="8"/>
  <c r="D217" i="8"/>
  <c r="Q216" i="8"/>
  <c r="P216" i="8"/>
  <c r="J216" i="8"/>
  <c r="F216" i="8"/>
  <c r="E216" i="8"/>
  <c r="D216" i="8"/>
  <c r="Q215" i="8"/>
  <c r="P215" i="8"/>
  <c r="J215" i="8"/>
  <c r="F215" i="8"/>
  <c r="E215" i="8"/>
  <c r="D215" i="8"/>
  <c r="Q214" i="8"/>
  <c r="P214" i="8"/>
  <c r="J214" i="8"/>
  <c r="F214" i="8"/>
  <c r="E214" i="8"/>
  <c r="D214" i="8"/>
  <c r="Q213" i="8"/>
  <c r="P213" i="8"/>
  <c r="J213" i="8"/>
  <c r="F213" i="8"/>
  <c r="E213" i="8"/>
  <c r="D213" i="8"/>
  <c r="Q212" i="8"/>
  <c r="P212" i="8"/>
  <c r="J212" i="8"/>
  <c r="F212" i="8"/>
  <c r="E212" i="8"/>
  <c r="D212" i="8"/>
  <c r="Q211" i="8"/>
  <c r="P211" i="8"/>
  <c r="J211" i="8"/>
  <c r="F211" i="8"/>
  <c r="E211" i="8"/>
  <c r="D211" i="8"/>
  <c r="Q210" i="8"/>
  <c r="P210" i="8"/>
  <c r="J210" i="8"/>
  <c r="F210" i="8"/>
  <c r="E210" i="8"/>
  <c r="D210" i="8"/>
  <c r="Q209" i="8"/>
  <c r="P209" i="8"/>
  <c r="J209" i="8"/>
  <c r="F209" i="8"/>
  <c r="E209" i="8"/>
  <c r="D209" i="8"/>
  <c r="Q208" i="8"/>
  <c r="P208" i="8"/>
  <c r="J208" i="8"/>
  <c r="F208" i="8"/>
  <c r="E208" i="8"/>
  <c r="D208" i="8"/>
  <c r="Q207" i="8"/>
  <c r="P207" i="8"/>
  <c r="J207" i="8"/>
  <c r="F207" i="8"/>
  <c r="E207" i="8"/>
  <c r="D207" i="8"/>
  <c r="Q206" i="8"/>
  <c r="P206" i="8"/>
  <c r="J206" i="8"/>
  <c r="F206" i="8"/>
  <c r="E206" i="8"/>
  <c r="D206" i="8"/>
  <c r="Q205" i="8"/>
  <c r="P205" i="8"/>
  <c r="J205" i="8"/>
  <c r="F205" i="8"/>
  <c r="E205" i="8"/>
  <c r="D205" i="8"/>
  <c r="Q204" i="8"/>
  <c r="P204" i="8"/>
  <c r="J204" i="8"/>
  <c r="F204" i="8"/>
  <c r="E204" i="8"/>
  <c r="D204" i="8"/>
  <c r="Q203" i="8"/>
  <c r="P203" i="8"/>
  <c r="J203" i="8"/>
  <c r="F203" i="8"/>
  <c r="E203" i="8"/>
  <c r="D203" i="8"/>
  <c r="Q202" i="8"/>
  <c r="P202" i="8"/>
  <c r="J202" i="8"/>
  <c r="F202" i="8"/>
  <c r="E202" i="8"/>
  <c r="D202" i="8"/>
  <c r="Q201" i="8"/>
  <c r="P201" i="8"/>
  <c r="J201" i="8"/>
  <c r="F201" i="8"/>
  <c r="E201" i="8"/>
  <c r="D201" i="8"/>
  <c r="Q200" i="8"/>
  <c r="P200" i="8"/>
  <c r="J200" i="8"/>
  <c r="F200" i="8"/>
  <c r="E200" i="8"/>
  <c r="D200" i="8"/>
  <c r="Q199" i="8"/>
  <c r="P199" i="8"/>
  <c r="J199" i="8"/>
  <c r="F199" i="8"/>
  <c r="E199" i="8"/>
  <c r="D199" i="8"/>
  <c r="Q198" i="8"/>
  <c r="P198" i="8"/>
  <c r="J198" i="8"/>
  <c r="F198" i="8"/>
  <c r="E198" i="8"/>
  <c r="D198" i="8"/>
  <c r="Q197" i="8"/>
  <c r="P197" i="8"/>
  <c r="J197" i="8"/>
  <c r="F197" i="8"/>
  <c r="E197" i="8"/>
  <c r="D197" i="8"/>
  <c r="Q196" i="8"/>
  <c r="P196" i="8"/>
  <c r="J196" i="8"/>
  <c r="F196" i="8"/>
  <c r="E196" i="8"/>
  <c r="D196" i="8"/>
  <c r="Q195" i="8"/>
  <c r="P195" i="8"/>
  <c r="J195" i="8"/>
  <c r="F195" i="8"/>
  <c r="E195" i="8"/>
  <c r="D195" i="8"/>
  <c r="Q194" i="8"/>
  <c r="P194" i="8"/>
  <c r="J194" i="8"/>
  <c r="F194" i="8"/>
  <c r="E194" i="8"/>
  <c r="D194" i="8"/>
  <c r="Q193" i="8"/>
  <c r="P193" i="8"/>
  <c r="J193" i="8"/>
  <c r="F193" i="8"/>
  <c r="E193" i="8"/>
  <c r="D193" i="8"/>
  <c r="Q192" i="8"/>
  <c r="P192" i="8"/>
  <c r="J192" i="8"/>
  <c r="F192" i="8"/>
  <c r="E192" i="8"/>
  <c r="D192" i="8"/>
  <c r="Q191" i="8"/>
  <c r="P191" i="8"/>
  <c r="J191" i="8"/>
  <c r="F191" i="8"/>
  <c r="E191" i="8"/>
  <c r="D191" i="8"/>
  <c r="Q190" i="8"/>
  <c r="P190" i="8"/>
  <c r="J190" i="8"/>
  <c r="F190" i="8"/>
  <c r="E190" i="8"/>
  <c r="D190" i="8"/>
  <c r="Q189" i="8"/>
  <c r="P189" i="8"/>
  <c r="J189" i="8"/>
  <c r="F189" i="8"/>
  <c r="E189" i="8"/>
  <c r="D189" i="8"/>
  <c r="Q188" i="8"/>
  <c r="P188" i="8"/>
  <c r="J188" i="8"/>
  <c r="F188" i="8"/>
  <c r="E188" i="8"/>
  <c r="D188" i="8"/>
  <c r="Q187" i="8"/>
  <c r="P187" i="8"/>
  <c r="J187" i="8"/>
  <c r="F187" i="8"/>
  <c r="E187" i="8"/>
  <c r="D187" i="8"/>
  <c r="Q186" i="8"/>
  <c r="P186" i="8"/>
  <c r="J186" i="8"/>
  <c r="F186" i="8"/>
  <c r="E186" i="8"/>
  <c r="D186" i="8"/>
  <c r="Q185" i="8"/>
  <c r="P185" i="8"/>
  <c r="J185" i="8"/>
  <c r="F185" i="8"/>
  <c r="E185" i="8"/>
  <c r="D185" i="8"/>
  <c r="Q184" i="8"/>
  <c r="P184" i="8"/>
  <c r="J184" i="8"/>
  <c r="F184" i="8"/>
  <c r="E184" i="8"/>
  <c r="D184" i="8"/>
  <c r="Q183" i="8"/>
  <c r="P183" i="8"/>
  <c r="J183" i="8"/>
  <c r="F183" i="8"/>
  <c r="E183" i="8"/>
  <c r="D183" i="8"/>
  <c r="Q182" i="8"/>
  <c r="P182" i="8"/>
  <c r="J182" i="8"/>
  <c r="F182" i="8"/>
  <c r="E182" i="8"/>
  <c r="D182" i="8"/>
  <c r="Q181" i="8"/>
  <c r="P181" i="8"/>
  <c r="J181" i="8"/>
  <c r="F181" i="8"/>
  <c r="E181" i="8"/>
  <c r="D181" i="8"/>
  <c r="Q180" i="8"/>
  <c r="P180" i="8"/>
  <c r="J180" i="8"/>
  <c r="F180" i="8"/>
  <c r="E180" i="8"/>
  <c r="D180" i="8"/>
  <c r="Q179" i="8"/>
  <c r="P179" i="8"/>
  <c r="J179" i="8"/>
  <c r="F179" i="8"/>
  <c r="E179" i="8"/>
  <c r="D179" i="8"/>
  <c r="Q178" i="8"/>
  <c r="P178" i="8"/>
  <c r="J178" i="8"/>
  <c r="F178" i="8"/>
  <c r="E178" i="8"/>
  <c r="D178" i="8"/>
  <c r="Q177" i="8"/>
  <c r="P177" i="8"/>
  <c r="J177" i="8"/>
  <c r="F177" i="8"/>
  <c r="E177" i="8"/>
  <c r="D177" i="8"/>
  <c r="Q176" i="8"/>
  <c r="P176" i="8"/>
  <c r="J176" i="8"/>
  <c r="F176" i="8"/>
  <c r="E176" i="8"/>
  <c r="D176" i="8"/>
  <c r="Q175" i="8"/>
  <c r="P175" i="8"/>
  <c r="J175" i="8"/>
  <c r="F175" i="8"/>
  <c r="E175" i="8"/>
  <c r="D175" i="8"/>
  <c r="Q174" i="8"/>
  <c r="P174" i="8"/>
  <c r="J174" i="8"/>
  <c r="F174" i="8"/>
  <c r="E174" i="8"/>
  <c r="D174" i="8"/>
  <c r="Q173" i="8"/>
  <c r="P173" i="8"/>
  <c r="J173" i="8"/>
  <c r="F173" i="8"/>
  <c r="E173" i="8"/>
  <c r="D173" i="8"/>
  <c r="Q172" i="8"/>
  <c r="P172" i="8"/>
  <c r="J172" i="8"/>
  <c r="F172" i="8"/>
  <c r="E172" i="8"/>
  <c r="D172" i="8"/>
  <c r="Q171" i="8"/>
  <c r="P171" i="8"/>
  <c r="J171" i="8"/>
  <c r="F171" i="8"/>
  <c r="E171" i="8"/>
  <c r="D171" i="8"/>
  <c r="Q170" i="8"/>
  <c r="P170" i="8"/>
  <c r="J170" i="8"/>
  <c r="F170" i="8"/>
  <c r="E170" i="8"/>
  <c r="D170" i="8"/>
  <c r="Q169" i="8"/>
  <c r="P169" i="8"/>
  <c r="J169" i="8"/>
  <c r="F169" i="8"/>
  <c r="E169" i="8"/>
  <c r="D169" i="8"/>
  <c r="Q168" i="8"/>
  <c r="P168" i="8"/>
  <c r="J168" i="8"/>
  <c r="F168" i="8"/>
  <c r="E168" i="8"/>
  <c r="D168" i="8"/>
  <c r="Q167" i="8"/>
  <c r="P167" i="8"/>
  <c r="J167" i="8"/>
  <c r="F167" i="8"/>
  <c r="E167" i="8"/>
  <c r="D167" i="8"/>
  <c r="Q166" i="8"/>
  <c r="P166" i="8"/>
  <c r="J166" i="8"/>
  <c r="F166" i="8"/>
  <c r="E166" i="8"/>
  <c r="D166" i="8"/>
  <c r="Q165" i="8"/>
  <c r="P165" i="8"/>
  <c r="J165" i="8"/>
  <c r="F165" i="8"/>
  <c r="E165" i="8"/>
  <c r="D165" i="8"/>
  <c r="Q164" i="8"/>
  <c r="P164" i="8"/>
  <c r="J164" i="8"/>
  <c r="F164" i="8"/>
  <c r="E164" i="8"/>
  <c r="D164" i="8"/>
  <c r="Q163" i="8"/>
  <c r="P163" i="8"/>
  <c r="J163" i="8"/>
  <c r="F163" i="8"/>
  <c r="E163" i="8"/>
  <c r="D163" i="8"/>
  <c r="Q162" i="8"/>
  <c r="P162" i="8"/>
  <c r="J162" i="8"/>
  <c r="F162" i="8"/>
  <c r="E162" i="8"/>
  <c r="D162" i="8"/>
  <c r="Q161" i="8"/>
  <c r="P161" i="8"/>
  <c r="J161" i="8"/>
  <c r="F161" i="8"/>
  <c r="E161" i="8"/>
  <c r="D161" i="8"/>
  <c r="Q160" i="8"/>
  <c r="P160" i="8"/>
  <c r="J160" i="8"/>
  <c r="F160" i="8"/>
  <c r="E160" i="8"/>
  <c r="D160" i="8"/>
  <c r="Q159" i="8"/>
  <c r="P159" i="8"/>
  <c r="J159" i="8"/>
  <c r="F159" i="8"/>
  <c r="E159" i="8"/>
  <c r="D159" i="8"/>
  <c r="Q158" i="8"/>
  <c r="P158" i="8"/>
  <c r="J158" i="8"/>
  <c r="F158" i="8"/>
  <c r="E158" i="8"/>
  <c r="D158" i="8"/>
  <c r="Q157" i="8"/>
  <c r="P157" i="8"/>
  <c r="J157" i="8"/>
  <c r="F157" i="8"/>
  <c r="E157" i="8"/>
  <c r="D157" i="8"/>
  <c r="Q156" i="8"/>
  <c r="P156" i="8"/>
  <c r="J156" i="8"/>
  <c r="F156" i="8"/>
  <c r="E156" i="8"/>
  <c r="D156" i="8"/>
  <c r="Q155" i="8"/>
  <c r="P155" i="8"/>
  <c r="J155" i="8"/>
  <c r="F155" i="8"/>
  <c r="E155" i="8"/>
  <c r="D155" i="8"/>
  <c r="Q154" i="8"/>
  <c r="P154" i="8"/>
  <c r="J154" i="8"/>
  <c r="F154" i="8"/>
  <c r="E154" i="8"/>
  <c r="D154" i="8"/>
  <c r="Q153" i="8"/>
  <c r="P153" i="8"/>
  <c r="J153" i="8"/>
  <c r="F153" i="8"/>
  <c r="E153" i="8"/>
  <c r="D153" i="8"/>
  <c r="Q152" i="8"/>
  <c r="P152" i="8"/>
  <c r="J152" i="8"/>
  <c r="F152" i="8"/>
  <c r="E152" i="8"/>
  <c r="D152" i="8"/>
  <c r="Q151" i="8"/>
  <c r="P151" i="8"/>
  <c r="J151" i="8"/>
  <c r="F151" i="8"/>
  <c r="E151" i="8"/>
  <c r="D151" i="8"/>
  <c r="Q150" i="8"/>
  <c r="P150" i="8"/>
  <c r="J150" i="8"/>
  <c r="F150" i="8"/>
  <c r="E150" i="8"/>
  <c r="D150" i="8"/>
  <c r="Q149" i="8"/>
  <c r="P149" i="8"/>
  <c r="J149" i="8"/>
  <c r="F149" i="8"/>
  <c r="E149" i="8"/>
  <c r="D149" i="8"/>
  <c r="Q148" i="8"/>
  <c r="P148" i="8"/>
  <c r="J148" i="8"/>
  <c r="F148" i="8"/>
  <c r="E148" i="8"/>
  <c r="D148" i="8"/>
  <c r="Q147" i="8"/>
  <c r="P147" i="8"/>
  <c r="J147" i="8"/>
  <c r="F147" i="8"/>
  <c r="E147" i="8"/>
  <c r="D147" i="8"/>
  <c r="Q146" i="8"/>
  <c r="P146" i="8"/>
  <c r="J146" i="8"/>
  <c r="F146" i="8"/>
  <c r="E146" i="8"/>
  <c r="D146" i="8"/>
  <c r="Q145" i="8"/>
  <c r="P145" i="8"/>
  <c r="J145" i="8"/>
  <c r="F145" i="8"/>
  <c r="E145" i="8"/>
  <c r="D145" i="8"/>
  <c r="Q144" i="8"/>
  <c r="P144" i="8"/>
  <c r="J144" i="8"/>
  <c r="F144" i="8"/>
  <c r="E144" i="8"/>
  <c r="D144" i="8"/>
  <c r="Q143" i="8"/>
  <c r="P143" i="8"/>
  <c r="J143" i="8"/>
  <c r="F143" i="8"/>
  <c r="E143" i="8"/>
  <c r="D143" i="8"/>
  <c r="Q142" i="8"/>
  <c r="P142" i="8"/>
  <c r="J142" i="8"/>
  <c r="F142" i="8"/>
  <c r="E142" i="8"/>
  <c r="D142" i="8"/>
  <c r="Q141" i="8"/>
  <c r="P141" i="8"/>
  <c r="J141" i="8"/>
  <c r="F141" i="8"/>
  <c r="E141" i="8"/>
  <c r="D141" i="8"/>
  <c r="Q140" i="8"/>
  <c r="P140" i="8"/>
  <c r="J140" i="8"/>
  <c r="F140" i="8"/>
  <c r="E140" i="8"/>
  <c r="D140" i="8"/>
  <c r="Q139" i="8"/>
  <c r="P139" i="8"/>
  <c r="J139" i="8"/>
  <c r="F139" i="8"/>
  <c r="E139" i="8"/>
  <c r="D139" i="8"/>
  <c r="Q138" i="8"/>
  <c r="P138" i="8"/>
  <c r="J138" i="8"/>
  <c r="F138" i="8"/>
  <c r="E138" i="8"/>
  <c r="D138" i="8"/>
  <c r="Q137" i="8"/>
  <c r="P137" i="8"/>
  <c r="J137" i="8"/>
  <c r="F137" i="8"/>
  <c r="E137" i="8"/>
  <c r="D137" i="8"/>
  <c r="Q136" i="8"/>
  <c r="P136" i="8"/>
  <c r="J136" i="8"/>
  <c r="F136" i="8"/>
  <c r="E136" i="8"/>
  <c r="D136" i="8"/>
  <c r="Q135" i="8"/>
  <c r="P135" i="8"/>
  <c r="J135" i="8"/>
  <c r="F135" i="8"/>
  <c r="E135" i="8"/>
  <c r="D135" i="8"/>
  <c r="Q134" i="8"/>
  <c r="P134" i="8"/>
  <c r="J134" i="8"/>
  <c r="F134" i="8"/>
  <c r="E134" i="8"/>
  <c r="D134" i="8"/>
  <c r="Q133" i="8"/>
  <c r="P133" i="8"/>
  <c r="J133" i="8"/>
  <c r="F133" i="8"/>
  <c r="E133" i="8"/>
  <c r="D133" i="8"/>
  <c r="Q132" i="8"/>
  <c r="P132" i="8"/>
  <c r="J132" i="8"/>
  <c r="F132" i="8"/>
  <c r="E132" i="8"/>
  <c r="D132" i="8"/>
  <c r="Q131" i="8"/>
  <c r="P131" i="8"/>
  <c r="J131" i="8"/>
  <c r="F131" i="8"/>
  <c r="E131" i="8"/>
  <c r="D131" i="8"/>
  <c r="Q130" i="8"/>
  <c r="P130" i="8"/>
  <c r="J130" i="8"/>
  <c r="F130" i="8"/>
  <c r="E130" i="8"/>
  <c r="D130" i="8"/>
  <c r="Q129" i="8"/>
  <c r="P129" i="8"/>
  <c r="J129" i="8"/>
  <c r="F129" i="8"/>
  <c r="E129" i="8"/>
  <c r="D129" i="8"/>
  <c r="Q128" i="8"/>
  <c r="P128" i="8"/>
  <c r="J128" i="8"/>
  <c r="F128" i="8"/>
  <c r="E128" i="8"/>
  <c r="D128" i="8"/>
  <c r="Q127" i="8"/>
  <c r="P127" i="8"/>
  <c r="J127" i="8"/>
  <c r="F127" i="8"/>
  <c r="E127" i="8"/>
  <c r="D127" i="8"/>
  <c r="Q126" i="8"/>
  <c r="P126" i="8"/>
  <c r="J126" i="8"/>
  <c r="F126" i="8"/>
  <c r="E126" i="8"/>
  <c r="D126" i="8"/>
  <c r="Q125" i="8"/>
  <c r="P125" i="8"/>
  <c r="J125" i="8"/>
  <c r="F125" i="8"/>
  <c r="E125" i="8"/>
  <c r="D125" i="8"/>
  <c r="Q124" i="8"/>
  <c r="P124" i="8"/>
  <c r="J124" i="8"/>
  <c r="F124" i="8"/>
  <c r="E124" i="8"/>
  <c r="D124" i="8"/>
  <c r="Q123" i="8"/>
  <c r="P123" i="8"/>
  <c r="J123" i="8"/>
  <c r="F123" i="8"/>
  <c r="E123" i="8"/>
  <c r="D123" i="8"/>
  <c r="Q122" i="8"/>
  <c r="P122" i="8"/>
  <c r="J122" i="8"/>
  <c r="F122" i="8"/>
  <c r="E122" i="8"/>
  <c r="D122" i="8"/>
  <c r="Q121" i="8"/>
  <c r="P121" i="8"/>
  <c r="J121" i="8"/>
  <c r="F121" i="8"/>
  <c r="E121" i="8"/>
  <c r="D121" i="8"/>
  <c r="Q120" i="8"/>
  <c r="P120" i="8"/>
  <c r="J120" i="8"/>
  <c r="F120" i="8"/>
  <c r="E120" i="8"/>
  <c r="D120" i="8"/>
  <c r="Q119" i="8"/>
  <c r="P119" i="8"/>
  <c r="J119" i="8"/>
  <c r="F119" i="8"/>
  <c r="E119" i="8"/>
  <c r="D119" i="8"/>
  <c r="Q118" i="8"/>
  <c r="P118" i="8"/>
  <c r="J118" i="8"/>
  <c r="F118" i="8"/>
  <c r="E118" i="8"/>
  <c r="D118" i="8"/>
  <c r="Q117" i="8"/>
  <c r="P117" i="8"/>
  <c r="J117" i="8"/>
  <c r="F117" i="8"/>
  <c r="E117" i="8"/>
  <c r="D117" i="8"/>
  <c r="Q116" i="8"/>
  <c r="P116" i="8"/>
  <c r="J116" i="8"/>
  <c r="F116" i="8"/>
  <c r="E116" i="8"/>
  <c r="D116" i="8"/>
  <c r="Q115" i="8"/>
  <c r="P115" i="8"/>
  <c r="J115" i="8"/>
  <c r="F115" i="8"/>
  <c r="E115" i="8"/>
  <c r="D115" i="8"/>
  <c r="Q114" i="8"/>
  <c r="P114" i="8"/>
  <c r="J114" i="8"/>
  <c r="F114" i="8"/>
  <c r="E114" i="8"/>
  <c r="D114" i="8"/>
  <c r="Q113" i="8"/>
  <c r="P113" i="8"/>
  <c r="J113" i="8"/>
  <c r="F113" i="8"/>
  <c r="E113" i="8"/>
  <c r="D113" i="8"/>
  <c r="Q112" i="8"/>
  <c r="P112" i="8"/>
  <c r="J112" i="8"/>
  <c r="F112" i="8"/>
  <c r="E112" i="8"/>
  <c r="D112" i="8"/>
  <c r="Q111" i="8"/>
  <c r="P111" i="8"/>
  <c r="J111" i="8"/>
  <c r="F111" i="8"/>
  <c r="E111" i="8"/>
  <c r="D111" i="8"/>
  <c r="Q110" i="8"/>
  <c r="P110" i="8"/>
  <c r="J110" i="8"/>
  <c r="F110" i="8"/>
  <c r="E110" i="8"/>
  <c r="D110" i="8"/>
  <c r="Q109" i="8"/>
  <c r="P109" i="8"/>
  <c r="J109" i="8"/>
  <c r="F109" i="8"/>
  <c r="E109" i="8"/>
  <c r="D109" i="8"/>
  <c r="Q108" i="8"/>
  <c r="P108" i="8"/>
  <c r="J108" i="8"/>
  <c r="F108" i="8"/>
  <c r="E108" i="8"/>
  <c r="D108" i="8"/>
  <c r="Q107" i="8"/>
  <c r="P107" i="8"/>
  <c r="J107" i="8"/>
  <c r="F107" i="8"/>
  <c r="E107" i="8"/>
  <c r="D107" i="8"/>
  <c r="Q106" i="8"/>
  <c r="P106" i="8"/>
  <c r="J106" i="8"/>
  <c r="F106" i="8"/>
  <c r="E106" i="8"/>
  <c r="D106" i="8"/>
  <c r="Q105" i="8"/>
  <c r="P105" i="8"/>
  <c r="J105" i="8"/>
  <c r="F105" i="8"/>
  <c r="E105" i="8"/>
  <c r="D105" i="8"/>
  <c r="Q104" i="8"/>
  <c r="P104" i="8"/>
  <c r="J104" i="8"/>
  <c r="F104" i="8"/>
  <c r="E104" i="8"/>
  <c r="D104" i="8"/>
  <c r="Q103" i="8"/>
  <c r="P103" i="8"/>
  <c r="J103" i="8"/>
  <c r="F103" i="8"/>
  <c r="E103" i="8"/>
  <c r="D103" i="8"/>
  <c r="Q102" i="8"/>
  <c r="P102" i="8"/>
  <c r="J102" i="8"/>
  <c r="F102" i="8"/>
  <c r="E102" i="8"/>
  <c r="D102" i="8"/>
  <c r="Q101" i="8"/>
  <c r="P101" i="8"/>
  <c r="J101" i="8"/>
  <c r="F101" i="8"/>
  <c r="E101" i="8"/>
  <c r="D101" i="8"/>
  <c r="Q100" i="8"/>
  <c r="P100" i="8"/>
  <c r="J100" i="8"/>
  <c r="F100" i="8"/>
  <c r="E100" i="8"/>
  <c r="D100" i="8"/>
  <c r="Q99" i="8"/>
  <c r="P99" i="8"/>
  <c r="J99" i="8"/>
  <c r="F99" i="8"/>
  <c r="E99" i="8"/>
  <c r="D99" i="8"/>
  <c r="Q98" i="8"/>
  <c r="P98" i="8"/>
  <c r="J98" i="8"/>
  <c r="F98" i="8"/>
  <c r="E98" i="8"/>
  <c r="D98" i="8"/>
  <c r="Q97" i="8"/>
  <c r="P97" i="8"/>
  <c r="J97" i="8"/>
  <c r="F97" i="8"/>
  <c r="E97" i="8"/>
  <c r="D97" i="8"/>
  <c r="Q96" i="8"/>
  <c r="P96" i="8"/>
  <c r="J96" i="8"/>
  <c r="F96" i="8"/>
  <c r="E96" i="8"/>
  <c r="D96" i="8"/>
  <c r="Q95" i="8"/>
  <c r="P95" i="8"/>
  <c r="J95" i="8"/>
  <c r="F95" i="8"/>
  <c r="E95" i="8"/>
  <c r="D95" i="8"/>
  <c r="Q94" i="8"/>
  <c r="P94" i="8"/>
  <c r="J94" i="8"/>
  <c r="F94" i="8"/>
  <c r="E94" i="8"/>
  <c r="D94" i="8"/>
  <c r="Q93" i="8"/>
  <c r="P93" i="8"/>
  <c r="J93" i="8"/>
  <c r="F93" i="8"/>
  <c r="E93" i="8"/>
  <c r="D93" i="8"/>
  <c r="Q92" i="8"/>
  <c r="P92" i="8"/>
  <c r="J92" i="8"/>
  <c r="F92" i="8"/>
  <c r="E92" i="8"/>
  <c r="D92" i="8"/>
  <c r="Q91" i="8"/>
  <c r="P91" i="8"/>
  <c r="J91" i="8"/>
  <c r="F91" i="8"/>
  <c r="E91" i="8"/>
  <c r="D91" i="8"/>
  <c r="Q90" i="8"/>
  <c r="P90" i="8"/>
  <c r="J90" i="8"/>
  <c r="F90" i="8"/>
  <c r="E90" i="8"/>
  <c r="D90" i="8"/>
  <c r="Q89" i="8"/>
  <c r="P89" i="8"/>
  <c r="J89" i="8"/>
  <c r="F89" i="8"/>
  <c r="E89" i="8"/>
  <c r="D89" i="8"/>
  <c r="Q88" i="8"/>
  <c r="P88" i="8"/>
  <c r="J88" i="8"/>
  <c r="F88" i="8"/>
  <c r="E88" i="8"/>
  <c r="D88" i="8"/>
  <c r="Q87" i="8"/>
  <c r="P87" i="8"/>
  <c r="J87" i="8"/>
  <c r="F87" i="8"/>
  <c r="E87" i="8"/>
  <c r="D87" i="8"/>
  <c r="Q86" i="8"/>
  <c r="P86" i="8"/>
  <c r="J86" i="8"/>
  <c r="F86" i="8"/>
  <c r="E86" i="8"/>
  <c r="D86" i="8"/>
  <c r="Q85" i="8"/>
  <c r="P85" i="8"/>
  <c r="J85" i="8"/>
  <c r="F85" i="8"/>
  <c r="E85" i="8"/>
  <c r="D85" i="8"/>
  <c r="Q84" i="8"/>
  <c r="P84" i="8"/>
  <c r="J84" i="8"/>
  <c r="F84" i="8"/>
  <c r="E84" i="8"/>
  <c r="D84" i="8"/>
  <c r="Q83" i="8"/>
  <c r="P83" i="8"/>
  <c r="J83" i="8"/>
  <c r="F83" i="8"/>
  <c r="E83" i="8"/>
  <c r="D83" i="8"/>
  <c r="Q82" i="8"/>
  <c r="P82" i="8"/>
  <c r="J82" i="8"/>
  <c r="F82" i="8"/>
  <c r="E82" i="8"/>
  <c r="D82" i="8"/>
  <c r="Q81" i="8"/>
  <c r="P81" i="8"/>
  <c r="J81" i="8"/>
  <c r="F81" i="8"/>
  <c r="E81" i="8"/>
  <c r="D81" i="8"/>
  <c r="Q80" i="8"/>
  <c r="P80" i="8"/>
  <c r="J80" i="8"/>
  <c r="F80" i="8"/>
  <c r="E80" i="8"/>
  <c r="D80" i="8"/>
  <c r="Q79" i="8"/>
  <c r="P79" i="8"/>
  <c r="J79" i="8"/>
  <c r="F79" i="8"/>
  <c r="E79" i="8"/>
  <c r="D79" i="8"/>
  <c r="Q78" i="8"/>
  <c r="P78" i="8"/>
  <c r="J78" i="8"/>
  <c r="F78" i="8"/>
  <c r="E78" i="8"/>
  <c r="D78" i="8"/>
  <c r="Q77" i="8"/>
  <c r="P77" i="8"/>
  <c r="J77" i="8"/>
  <c r="F77" i="8"/>
  <c r="E77" i="8"/>
  <c r="D77" i="8"/>
  <c r="Q76" i="8"/>
  <c r="P76" i="8"/>
  <c r="J76" i="8"/>
  <c r="F76" i="8"/>
  <c r="E76" i="8"/>
  <c r="D76" i="8"/>
  <c r="Q75" i="8"/>
  <c r="P75" i="8"/>
  <c r="J75" i="8"/>
  <c r="F75" i="8"/>
  <c r="E75" i="8"/>
  <c r="D75" i="8"/>
  <c r="Q74" i="8"/>
  <c r="P74" i="8"/>
  <c r="J74" i="8"/>
  <c r="F74" i="8"/>
  <c r="E74" i="8"/>
  <c r="D74" i="8"/>
  <c r="Q73" i="8"/>
  <c r="P73" i="8"/>
  <c r="J73" i="8"/>
  <c r="F73" i="8"/>
  <c r="E73" i="8"/>
  <c r="D73" i="8"/>
  <c r="Q72" i="8"/>
  <c r="P72" i="8"/>
  <c r="J72" i="8"/>
  <c r="F72" i="8"/>
  <c r="E72" i="8"/>
  <c r="D72" i="8"/>
  <c r="Q71" i="8"/>
  <c r="P71" i="8"/>
  <c r="J71" i="8"/>
  <c r="F71" i="8"/>
  <c r="E71" i="8"/>
  <c r="D71" i="8"/>
  <c r="Q70" i="8"/>
  <c r="P70" i="8"/>
  <c r="J70" i="8"/>
  <c r="F70" i="8"/>
  <c r="E70" i="8"/>
  <c r="D70" i="8"/>
  <c r="Q69" i="8"/>
  <c r="P69" i="8"/>
  <c r="J69" i="8"/>
  <c r="F69" i="8"/>
  <c r="E69" i="8"/>
  <c r="D69" i="8"/>
  <c r="Q68" i="8"/>
  <c r="P68" i="8"/>
  <c r="J68" i="8"/>
  <c r="F68" i="8"/>
  <c r="E68" i="8"/>
  <c r="D68" i="8"/>
  <c r="Q67" i="8"/>
  <c r="P67" i="8"/>
  <c r="J67" i="8"/>
  <c r="F67" i="8"/>
  <c r="E67" i="8"/>
  <c r="D67" i="8"/>
  <c r="Q66" i="8"/>
  <c r="P66" i="8"/>
  <c r="J66" i="8"/>
  <c r="F66" i="8"/>
  <c r="E66" i="8"/>
  <c r="D66" i="8"/>
  <c r="Q65" i="8"/>
  <c r="P65" i="8"/>
  <c r="J65" i="8"/>
  <c r="F65" i="8"/>
  <c r="E65" i="8"/>
  <c r="D65" i="8"/>
  <c r="Q64" i="8"/>
  <c r="P64" i="8"/>
  <c r="J64" i="8"/>
  <c r="F64" i="8"/>
  <c r="E64" i="8"/>
  <c r="D64" i="8"/>
  <c r="Q63" i="8"/>
  <c r="P63" i="8"/>
  <c r="J63" i="8"/>
  <c r="F63" i="8"/>
  <c r="E63" i="8"/>
  <c r="D63" i="8"/>
  <c r="Q62" i="8"/>
  <c r="P62" i="8"/>
  <c r="J62" i="8"/>
  <c r="F62" i="8"/>
  <c r="E62" i="8"/>
  <c r="D62" i="8"/>
  <c r="Q61" i="8"/>
  <c r="P61" i="8"/>
  <c r="J61" i="8"/>
  <c r="F61" i="8"/>
  <c r="E61" i="8"/>
  <c r="D61" i="8"/>
  <c r="Q60" i="8"/>
  <c r="P60" i="8"/>
  <c r="J60" i="8"/>
  <c r="F60" i="8"/>
  <c r="E60" i="8"/>
  <c r="D60" i="8"/>
  <c r="Q59" i="8"/>
  <c r="P59" i="8"/>
  <c r="J59" i="8"/>
  <c r="F59" i="8"/>
  <c r="E59" i="8"/>
  <c r="D59" i="8"/>
  <c r="Q58" i="8"/>
  <c r="P58" i="8"/>
  <c r="J58" i="8"/>
  <c r="F58" i="8"/>
  <c r="E58" i="8"/>
  <c r="D58" i="8"/>
  <c r="Q57" i="8"/>
  <c r="P57" i="8"/>
  <c r="J57" i="8"/>
  <c r="F57" i="8"/>
  <c r="E57" i="8"/>
  <c r="D57" i="8"/>
  <c r="Q56" i="8"/>
  <c r="P56" i="8"/>
  <c r="J56" i="8"/>
  <c r="F56" i="8"/>
  <c r="E56" i="8"/>
  <c r="D56" i="8"/>
  <c r="Q55" i="8"/>
  <c r="P55" i="8"/>
  <c r="J55" i="8"/>
  <c r="F55" i="8"/>
  <c r="E55" i="8"/>
  <c r="D55" i="8"/>
  <c r="Q54" i="8"/>
  <c r="P54" i="8"/>
  <c r="J54" i="8"/>
  <c r="F54" i="8"/>
  <c r="E54" i="8"/>
  <c r="D54" i="8"/>
  <c r="Q53" i="8"/>
  <c r="P53" i="8"/>
  <c r="J53" i="8"/>
  <c r="F53" i="8"/>
  <c r="E53" i="8"/>
  <c r="D53" i="8"/>
  <c r="Q52" i="8"/>
  <c r="P52" i="8"/>
  <c r="J52" i="8"/>
  <c r="F52" i="8"/>
  <c r="E52" i="8"/>
  <c r="D52" i="8"/>
  <c r="Q51" i="8"/>
  <c r="P51" i="8"/>
  <c r="J51" i="8"/>
  <c r="F51" i="8"/>
  <c r="E51" i="8"/>
  <c r="D51" i="8"/>
  <c r="Q50" i="8"/>
  <c r="P50" i="8"/>
  <c r="J50" i="8"/>
  <c r="F50" i="8"/>
  <c r="E50" i="8"/>
  <c r="D50" i="8"/>
  <c r="Q49" i="8"/>
  <c r="P49" i="8"/>
  <c r="J49" i="8"/>
  <c r="F49" i="8"/>
  <c r="E49" i="8"/>
  <c r="D49" i="8"/>
  <c r="Q48" i="8"/>
  <c r="P48" i="8"/>
  <c r="J48" i="8"/>
  <c r="F48" i="8"/>
  <c r="E48" i="8"/>
  <c r="D48" i="8"/>
  <c r="Q47" i="8"/>
  <c r="P47" i="8"/>
  <c r="J47" i="8"/>
  <c r="F47" i="8"/>
  <c r="E47" i="8"/>
  <c r="D47" i="8"/>
  <c r="Q46" i="8"/>
  <c r="P46" i="8"/>
  <c r="J46" i="8"/>
  <c r="F46" i="8"/>
  <c r="E46" i="8"/>
  <c r="D46" i="8"/>
  <c r="Q45" i="8"/>
  <c r="P45" i="8"/>
  <c r="J45" i="8"/>
  <c r="F45" i="8"/>
  <c r="E45" i="8"/>
  <c r="D45" i="8"/>
  <c r="Q44" i="8"/>
  <c r="P44" i="8"/>
  <c r="J44" i="8"/>
  <c r="F44" i="8"/>
  <c r="E44" i="8"/>
  <c r="D44" i="8"/>
  <c r="Q43" i="8"/>
  <c r="P43" i="8"/>
  <c r="J43" i="8"/>
  <c r="F43" i="8"/>
  <c r="E43" i="8"/>
  <c r="D43" i="8"/>
  <c r="Q42" i="8"/>
  <c r="P42" i="8"/>
  <c r="J42" i="8"/>
  <c r="F42" i="8"/>
  <c r="E42" i="8"/>
  <c r="D42" i="8"/>
  <c r="Q41" i="8"/>
  <c r="P41" i="8"/>
  <c r="J41" i="8"/>
  <c r="F41" i="8"/>
  <c r="E41" i="8"/>
  <c r="D41" i="8"/>
  <c r="Q40" i="8"/>
  <c r="P40" i="8"/>
  <c r="J40" i="8"/>
  <c r="F40" i="8"/>
  <c r="E40" i="8"/>
  <c r="D40" i="8"/>
  <c r="Q39" i="8"/>
  <c r="P39" i="8"/>
  <c r="J39" i="8"/>
  <c r="F39" i="8"/>
  <c r="E39" i="8"/>
  <c r="D39" i="8"/>
  <c r="Q38" i="8"/>
  <c r="P38" i="8"/>
  <c r="J38" i="8"/>
  <c r="F38" i="8"/>
  <c r="E38" i="8"/>
  <c r="D38" i="8"/>
  <c r="Q37" i="8"/>
  <c r="P37" i="8"/>
  <c r="J37" i="8"/>
  <c r="F37" i="8"/>
  <c r="E37" i="8"/>
  <c r="D37" i="8"/>
  <c r="Q36" i="8"/>
  <c r="P36" i="8"/>
  <c r="J36" i="8"/>
  <c r="F36" i="8"/>
  <c r="E36" i="8"/>
  <c r="D36" i="8"/>
  <c r="Q35" i="8"/>
  <c r="P35" i="8"/>
  <c r="J35" i="8"/>
  <c r="F35" i="8"/>
  <c r="E35" i="8"/>
  <c r="D35" i="8"/>
  <c r="Q34" i="8"/>
  <c r="P34" i="8"/>
  <c r="J34" i="8"/>
  <c r="F34" i="8"/>
  <c r="E34" i="8"/>
  <c r="D34" i="8"/>
  <c r="Q33" i="8"/>
  <c r="P33" i="8"/>
  <c r="J33" i="8"/>
  <c r="F33" i="8"/>
  <c r="E33" i="8"/>
  <c r="D33" i="8"/>
  <c r="Q32" i="8"/>
  <c r="P32" i="8"/>
  <c r="J32" i="8"/>
  <c r="F32" i="8"/>
  <c r="E32" i="8"/>
  <c r="D32" i="8"/>
  <c r="Q31" i="8"/>
  <c r="P31" i="8"/>
  <c r="J31" i="8"/>
  <c r="F31" i="8"/>
  <c r="E31" i="8"/>
  <c r="D31" i="8"/>
  <c r="Q30" i="8"/>
  <c r="P30" i="8"/>
  <c r="J30" i="8"/>
  <c r="F30" i="8"/>
  <c r="E30" i="8"/>
  <c r="D30" i="8"/>
  <c r="Q29" i="8"/>
  <c r="P29" i="8"/>
  <c r="J29" i="8"/>
  <c r="F29" i="8"/>
  <c r="E29" i="8"/>
  <c r="D29" i="8"/>
  <c r="Q28" i="8"/>
  <c r="P28" i="8"/>
  <c r="J28" i="8"/>
  <c r="F28" i="8"/>
  <c r="E28" i="8"/>
  <c r="D28" i="8"/>
  <c r="Q27" i="8"/>
  <c r="P27" i="8"/>
  <c r="J27" i="8"/>
  <c r="F27" i="8"/>
  <c r="E27" i="8"/>
  <c r="D27" i="8"/>
  <c r="Q26" i="8"/>
  <c r="P26" i="8"/>
  <c r="J26" i="8"/>
  <c r="F26" i="8"/>
  <c r="E26" i="8"/>
  <c r="D26" i="8"/>
  <c r="Q25" i="8"/>
  <c r="P25" i="8"/>
  <c r="J25" i="8"/>
  <c r="F25" i="8"/>
  <c r="E25" i="8"/>
  <c r="D25" i="8"/>
  <c r="Q24" i="8"/>
  <c r="P24" i="8"/>
  <c r="J24" i="8"/>
  <c r="F24" i="8"/>
  <c r="E24" i="8"/>
  <c r="D24" i="8"/>
  <c r="Q23" i="8"/>
  <c r="P23" i="8"/>
  <c r="J23" i="8"/>
  <c r="F23" i="8"/>
  <c r="E23" i="8"/>
  <c r="D23" i="8"/>
  <c r="Q22" i="8"/>
  <c r="P22" i="8"/>
  <c r="J22" i="8"/>
  <c r="F22" i="8"/>
  <c r="E22" i="8"/>
  <c r="D22" i="8"/>
  <c r="Q21" i="8"/>
  <c r="P21" i="8"/>
  <c r="J21" i="8"/>
  <c r="F21" i="8"/>
  <c r="E21" i="8"/>
  <c r="D21" i="8"/>
  <c r="Q20" i="8"/>
  <c r="P20" i="8"/>
  <c r="J20" i="8"/>
  <c r="F20" i="8"/>
  <c r="E20" i="8"/>
  <c r="D20" i="8"/>
  <c r="Q19" i="8"/>
  <c r="P19" i="8"/>
  <c r="J19" i="8"/>
  <c r="F19" i="8"/>
  <c r="E19" i="8"/>
  <c r="D19" i="8"/>
  <c r="Q18" i="8"/>
  <c r="P18" i="8"/>
  <c r="J18" i="8"/>
  <c r="F18" i="8"/>
  <c r="E18" i="8"/>
  <c r="D18" i="8"/>
  <c r="Q17" i="8"/>
  <c r="P17" i="8"/>
  <c r="J17" i="8"/>
  <c r="F17" i="8"/>
  <c r="E17" i="8"/>
  <c r="D17" i="8"/>
  <c r="Q16" i="8"/>
  <c r="P16" i="8"/>
  <c r="J16" i="8"/>
  <c r="F16" i="8"/>
  <c r="E16" i="8"/>
  <c r="D16" i="8"/>
  <c r="Q15" i="8"/>
  <c r="P15" i="8"/>
  <c r="J15" i="8"/>
  <c r="F15" i="8"/>
  <c r="E15" i="8"/>
  <c r="D15" i="8"/>
  <c r="Q14" i="8"/>
  <c r="P14" i="8"/>
  <c r="J14" i="8"/>
  <c r="F14" i="8"/>
  <c r="E14" i="8"/>
  <c r="D14" i="8"/>
  <c r="Q13" i="8"/>
  <c r="P13" i="8"/>
  <c r="J13" i="8"/>
  <c r="F13" i="8"/>
  <c r="E13" i="8"/>
  <c r="D13" i="8"/>
  <c r="Q12" i="8"/>
  <c r="P12" i="8"/>
  <c r="J12" i="8"/>
  <c r="F12" i="8"/>
  <c r="E12" i="8"/>
  <c r="D12" i="8"/>
  <c r="Q11" i="8"/>
  <c r="P11" i="8"/>
  <c r="J11" i="8"/>
  <c r="F11" i="8"/>
  <c r="E11" i="8"/>
  <c r="D11" i="8"/>
  <c r="Q10" i="8"/>
  <c r="P10" i="8"/>
  <c r="J10" i="8"/>
  <c r="F10" i="8"/>
  <c r="E10" i="8"/>
  <c r="D10" i="8"/>
  <c r="AE9" i="8"/>
  <c r="Q9" i="8"/>
  <c r="P9" i="8"/>
  <c r="J9" i="8"/>
  <c r="F9" i="8"/>
  <c r="E9" i="8"/>
  <c r="D9" i="8"/>
  <c r="AE8" i="8"/>
  <c r="Q8" i="8"/>
  <c r="P8" i="8"/>
  <c r="J8" i="8"/>
  <c r="F8" i="8"/>
  <c r="E8" i="8"/>
  <c r="D8" i="8"/>
  <c r="Q7" i="8"/>
  <c r="P7" i="8"/>
  <c r="J7" i="8"/>
  <c r="F7" i="8"/>
  <c r="E7" i="8"/>
  <c r="D7" i="8"/>
  <c r="Q6" i="8"/>
  <c r="P6" i="8"/>
  <c r="J6" i="8"/>
  <c r="F6" i="8"/>
  <c r="E6" i="8"/>
  <c r="D6" i="8"/>
  <c r="Q5" i="8"/>
  <c r="P5" i="8"/>
  <c r="J5" i="8"/>
  <c r="F5" i="8"/>
  <c r="E5" i="8"/>
  <c r="D5" i="8"/>
  <c r="Q4" i="8"/>
  <c r="P4" i="8"/>
  <c r="J4" i="8"/>
  <c r="F4" i="8"/>
  <c r="E4" i="8"/>
  <c r="D4" i="8"/>
  <c r="Q3" i="8"/>
  <c r="P3" i="8"/>
  <c r="J3" i="8"/>
  <c r="F3" i="8"/>
  <c r="E3" i="8"/>
  <c r="D3" i="8"/>
  <c r="Q2" i="8"/>
  <c r="P2" i="8"/>
  <c r="R2" i="8" s="1"/>
  <c r="O2" i="8"/>
  <c r="J2" i="8"/>
  <c r="F2" i="8"/>
  <c r="E2" i="8"/>
  <c r="D2" i="8"/>
  <c r="T4" i="7"/>
  <c r="O2" i="7"/>
  <c r="J435" i="8" l="1"/>
  <c r="I435" i="8"/>
  <c r="K435" i="8" s="1"/>
  <c r="G435" i="8"/>
  <c r="I434" i="8"/>
  <c r="K434" i="8" s="1"/>
  <c r="G434" i="8"/>
  <c r="I433" i="8"/>
  <c r="K433" i="8" s="1"/>
  <c r="G433" i="8"/>
  <c r="I432" i="8"/>
  <c r="K432" i="8" s="1"/>
  <c r="G432" i="8"/>
  <c r="I431" i="8"/>
  <c r="K431" i="8" s="1"/>
  <c r="G431" i="8"/>
  <c r="I430" i="8"/>
  <c r="K430" i="8" s="1"/>
  <c r="G430" i="8"/>
  <c r="I429" i="8"/>
  <c r="K429" i="8" s="1"/>
  <c r="G429" i="8"/>
  <c r="I428" i="8"/>
  <c r="K428" i="8" s="1"/>
  <c r="G428" i="8"/>
  <c r="I427" i="8"/>
  <c r="K427" i="8" s="1"/>
  <c r="G427" i="8"/>
  <c r="I426" i="8"/>
  <c r="K426" i="8" s="1"/>
  <c r="G426" i="8"/>
  <c r="I425" i="8"/>
  <c r="K425" i="8" s="1"/>
  <c r="G425" i="8"/>
  <c r="I424" i="8"/>
  <c r="K424" i="8" s="1"/>
  <c r="G424" i="8"/>
  <c r="I423" i="8"/>
  <c r="K423" i="8" s="1"/>
  <c r="G423" i="8"/>
  <c r="I422" i="8"/>
  <c r="K422" i="8" s="1"/>
  <c r="G422" i="8"/>
  <c r="I421" i="8"/>
  <c r="K421" i="8" s="1"/>
  <c r="G421" i="8"/>
  <c r="I420" i="8"/>
  <c r="K420" i="8" s="1"/>
  <c r="G420" i="8"/>
  <c r="I419" i="8"/>
  <c r="K419" i="8" s="1"/>
  <c r="G419" i="8"/>
  <c r="I418" i="8"/>
  <c r="K418" i="8" s="1"/>
  <c r="G418" i="8"/>
  <c r="I417" i="8"/>
  <c r="K417" i="8" s="1"/>
  <c r="G417" i="8"/>
  <c r="I416" i="8"/>
  <c r="K416" i="8" s="1"/>
  <c r="G416" i="8"/>
  <c r="I415" i="8"/>
  <c r="K415" i="8" s="1"/>
  <c r="G415" i="8"/>
  <c r="I414" i="8"/>
  <c r="K414" i="8" s="1"/>
  <c r="G414" i="8"/>
  <c r="I413" i="8"/>
  <c r="K413" i="8" s="1"/>
  <c r="G413" i="8"/>
  <c r="I412" i="8"/>
  <c r="K412" i="8" s="1"/>
  <c r="G412" i="8"/>
  <c r="I411" i="8"/>
  <c r="K411" i="8" s="1"/>
  <c r="G411" i="8"/>
  <c r="I410" i="8"/>
  <c r="K410" i="8" s="1"/>
  <c r="G410" i="8"/>
  <c r="I409" i="8"/>
  <c r="K409" i="8" s="1"/>
  <c r="G409" i="8"/>
  <c r="I408" i="8"/>
  <c r="K408" i="8" s="1"/>
  <c r="G408" i="8"/>
  <c r="I407" i="8"/>
  <c r="K407" i="8" s="1"/>
  <c r="G407" i="8"/>
  <c r="I406" i="8"/>
  <c r="K406" i="8" s="1"/>
  <c r="G406" i="8"/>
  <c r="I405" i="8"/>
  <c r="K405" i="8" s="1"/>
  <c r="G405" i="8"/>
  <c r="I404" i="8"/>
  <c r="K404" i="8" s="1"/>
  <c r="G404" i="8"/>
  <c r="I403" i="8"/>
  <c r="K403" i="8" s="1"/>
  <c r="G403" i="8"/>
  <c r="I402" i="8"/>
  <c r="K402" i="8" s="1"/>
  <c r="G402" i="8"/>
  <c r="I401" i="8"/>
  <c r="K401" i="8" s="1"/>
  <c r="G401" i="8"/>
  <c r="I400" i="8"/>
  <c r="K400" i="8" s="1"/>
  <c r="G400" i="8"/>
  <c r="I399" i="8"/>
  <c r="K399" i="8" s="1"/>
  <c r="G399" i="8"/>
  <c r="I398" i="8"/>
  <c r="K398" i="8" s="1"/>
  <c r="G398" i="8"/>
  <c r="I397" i="8"/>
  <c r="K397" i="8" s="1"/>
  <c r="G397" i="8"/>
  <c r="I396" i="8"/>
  <c r="K396" i="8" s="1"/>
  <c r="G396" i="8"/>
  <c r="I395" i="8"/>
  <c r="K395" i="8" s="1"/>
  <c r="G395" i="8"/>
  <c r="I394" i="8"/>
  <c r="K394" i="8" s="1"/>
  <c r="G394" i="8"/>
  <c r="I393" i="8"/>
  <c r="K393" i="8" s="1"/>
  <c r="G393" i="8"/>
  <c r="I392" i="8"/>
  <c r="K392" i="8" s="1"/>
  <c r="G392" i="8"/>
  <c r="I391" i="8"/>
  <c r="K391" i="8" s="1"/>
  <c r="G391" i="8"/>
  <c r="I390" i="8"/>
  <c r="K390" i="8" s="1"/>
  <c r="G390" i="8"/>
  <c r="I389" i="8"/>
  <c r="K389" i="8" s="1"/>
  <c r="G389" i="8"/>
  <c r="I388" i="8"/>
  <c r="K388" i="8" s="1"/>
  <c r="G388" i="8"/>
  <c r="I387" i="8"/>
  <c r="K387" i="8" s="1"/>
  <c r="G387" i="8"/>
  <c r="I386" i="8"/>
  <c r="K386" i="8" s="1"/>
  <c r="G386" i="8"/>
  <c r="I385" i="8"/>
  <c r="K385" i="8" s="1"/>
  <c r="G385" i="8"/>
  <c r="I384" i="8"/>
  <c r="K384" i="8" s="1"/>
  <c r="G384" i="8"/>
  <c r="I383" i="8"/>
  <c r="K383" i="8" s="1"/>
  <c r="G383" i="8"/>
  <c r="I382" i="8"/>
  <c r="K382" i="8" s="1"/>
  <c r="G382" i="8"/>
  <c r="I381" i="8"/>
  <c r="K381" i="8" s="1"/>
  <c r="G381" i="8"/>
  <c r="I380" i="8"/>
  <c r="K380" i="8" s="1"/>
  <c r="G380" i="8"/>
  <c r="I379" i="8"/>
  <c r="K379" i="8" s="1"/>
  <c r="G379" i="8"/>
  <c r="I378" i="8"/>
  <c r="K378" i="8" s="1"/>
  <c r="G378" i="8"/>
  <c r="I377" i="8"/>
  <c r="K377" i="8" s="1"/>
  <c r="G377" i="8"/>
  <c r="I376" i="8"/>
  <c r="K376" i="8" s="1"/>
  <c r="G376" i="8"/>
  <c r="I375" i="8"/>
  <c r="K375" i="8" s="1"/>
  <c r="G375" i="8"/>
  <c r="I374" i="8"/>
  <c r="K374" i="8" s="1"/>
  <c r="G374" i="8"/>
  <c r="I373" i="8"/>
  <c r="K373" i="8" s="1"/>
  <c r="G373" i="8"/>
  <c r="I372" i="8"/>
  <c r="K372" i="8" s="1"/>
  <c r="G372" i="8"/>
  <c r="I371" i="8"/>
  <c r="K371" i="8" s="1"/>
  <c r="G371" i="8"/>
  <c r="I370" i="8"/>
  <c r="K370" i="8" s="1"/>
  <c r="G370" i="8"/>
  <c r="I369" i="8"/>
  <c r="K369" i="8" s="1"/>
  <c r="G369" i="8"/>
  <c r="I368" i="8"/>
  <c r="K368" i="8" s="1"/>
  <c r="G368" i="8"/>
  <c r="I367" i="8"/>
  <c r="K367" i="8" s="1"/>
  <c r="G367" i="8"/>
  <c r="I366" i="8"/>
  <c r="K366" i="8" s="1"/>
  <c r="G366" i="8"/>
  <c r="I365" i="8"/>
  <c r="K365" i="8" s="1"/>
  <c r="G365" i="8"/>
  <c r="I364" i="8"/>
  <c r="K364" i="8" s="1"/>
  <c r="G364" i="8"/>
  <c r="I363" i="8"/>
  <c r="K363" i="8" s="1"/>
  <c r="G363" i="8"/>
  <c r="I362" i="8"/>
  <c r="K362" i="8" s="1"/>
  <c r="G362" i="8"/>
  <c r="I361" i="8"/>
  <c r="K361" i="8" s="1"/>
  <c r="G361" i="8"/>
  <c r="I360" i="8"/>
  <c r="K360" i="8" s="1"/>
  <c r="G360" i="8"/>
  <c r="I359" i="8"/>
  <c r="K359" i="8" s="1"/>
  <c r="G359" i="8"/>
  <c r="I358" i="8"/>
  <c r="K358" i="8" s="1"/>
  <c r="G358" i="8"/>
  <c r="I357" i="8"/>
  <c r="K357" i="8" s="1"/>
  <c r="G357" i="8"/>
  <c r="I356" i="8"/>
  <c r="K356" i="8" s="1"/>
  <c r="G356" i="8"/>
  <c r="I355" i="8"/>
  <c r="K355" i="8" s="1"/>
  <c r="G355" i="8"/>
  <c r="I354" i="8"/>
  <c r="K354" i="8" s="1"/>
  <c r="G354" i="8"/>
  <c r="I353" i="8"/>
  <c r="K353" i="8" s="1"/>
  <c r="G353" i="8"/>
  <c r="I352" i="8"/>
  <c r="K352" i="8" s="1"/>
  <c r="G352" i="8"/>
  <c r="I351" i="8"/>
  <c r="K351" i="8" s="1"/>
  <c r="G351" i="8"/>
  <c r="I350" i="8"/>
  <c r="K350" i="8" s="1"/>
  <c r="G350" i="8"/>
  <c r="G349" i="8"/>
  <c r="I349" i="8"/>
  <c r="K349" i="8" s="1"/>
  <c r="I348" i="8"/>
  <c r="K348" i="8" s="1"/>
  <c r="G348" i="8"/>
  <c r="I347" i="8"/>
  <c r="K347" i="8" s="1"/>
  <c r="G347" i="8"/>
  <c r="I346" i="8"/>
  <c r="K346" i="8" s="1"/>
  <c r="G346" i="8"/>
  <c r="I345" i="8"/>
  <c r="K345" i="8" s="1"/>
  <c r="G345" i="8"/>
  <c r="I344" i="8"/>
  <c r="K344" i="8" s="1"/>
  <c r="G344" i="8"/>
  <c r="I343" i="8"/>
  <c r="K343" i="8" s="1"/>
  <c r="G343" i="8"/>
  <c r="I342" i="8"/>
  <c r="K342" i="8" s="1"/>
  <c r="G342" i="8"/>
  <c r="I341" i="8"/>
  <c r="K341" i="8" s="1"/>
  <c r="G341" i="8"/>
  <c r="I340" i="8"/>
  <c r="K340" i="8" s="1"/>
  <c r="G340" i="8"/>
  <c r="G339" i="8"/>
  <c r="I339" i="8"/>
  <c r="K339" i="8" s="1"/>
  <c r="I338" i="8"/>
  <c r="K338" i="8" s="1"/>
  <c r="G338" i="8"/>
  <c r="G337" i="8"/>
  <c r="I337" i="8"/>
  <c r="K337" i="8" s="1"/>
  <c r="G336" i="8"/>
  <c r="I336" i="8"/>
  <c r="K336" i="8" s="1"/>
  <c r="I335" i="8"/>
  <c r="K335" i="8" s="1"/>
  <c r="G335" i="8"/>
  <c r="I334" i="8"/>
  <c r="K334" i="8" s="1"/>
  <c r="G334" i="8"/>
  <c r="G333" i="8"/>
  <c r="I333" i="8"/>
  <c r="K333" i="8" s="1"/>
  <c r="I332" i="8"/>
  <c r="K332" i="8" s="1"/>
  <c r="G332" i="8"/>
  <c r="I331" i="8"/>
  <c r="K331" i="8" s="1"/>
  <c r="G331" i="8"/>
  <c r="I330" i="8"/>
  <c r="K330" i="8" s="1"/>
  <c r="G330" i="8"/>
  <c r="I329" i="8"/>
  <c r="K329" i="8" s="1"/>
  <c r="G329" i="8"/>
  <c r="I328" i="8"/>
  <c r="K328" i="8" s="1"/>
  <c r="G328" i="8"/>
  <c r="I327" i="8"/>
  <c r="K327" i="8" s="1"/>
  <c r="G327" i="8"/>
  <c r="G326" i="8"/>
  <c r="I326" i="8"/>
  <c r="K326" i="8" s="1"/>
  <c r="I325" i="8"/>
  <c r="K325" i="8" s="1"/>
  <c r="G325" i="8"/>
  <c r="G324" i="8"/>
  <c r="I324" i="8"/>
  <c r="K324" i="8" s="1"/>
  <c r="I323" i="8"/>
  <c r="K323" i="8" s="1"/>
  <c r="G323" i="8"/>
  <c r="I322" i="8"/>
  <c r="K322" i="8" s="1"/>
  <c r="G322" i="8"/>
  <c r="G321" i="8"/>
  <c r="I321" i="8"/>
  <c r="K321" i="8" s="1"/>
  <c r="G320" i="8"/>
  <c r="I320" i="8"/>
  <c r="K320" i="8" s="1"/>
  <c r="I319" i="8"/>
  <c r="K319" i="8" s="1"/>
  <c r="G319" i="8"/>
  <c r="G318" i="8"/>
  <c r="I318" i="8"/>
  <c r="K318" i="8" s="1"/>
  <c r="I317" i="8"/>
  <c r="K317" i="8" s="1"/>
  <c r="G317" i="8"/>
  <c r="G316" i="8"/>
  <c r="I316" i="8"/>
  <c r="K316" i="8" s="1"/>
  <c r="I315" i="8"/>
  <c r="K315" i="8" s="1"/>
  <c r="G315" i="8"/>
  <c r="I314" i="8"/>
  <c r="K314" i="8" s="1"/>
  <c r="G314" i="8"/>
  <c r="I313" i="8"/>
  <c r="K313" i="8" s="1"/>
  <c r="G313" i="8"/>
  <c r="G312" i="8"/>
  <c r="I312" i="8"/>
  <c r="K312" i="8" s="1"/>
  <c r="I311" i="8"/>
  <c r="K311" i="8" s="1"/>
  <c r="G311" i="8"/>
  <c r="G310" i="8"/>
  <c r="I310" i="8"/>
  <c r="K310" i="8" s="1"/>
  <c r="I309" i="8"/>
  <c r="K309" i="8" s="1"/>
  <c r="G309" i="8"/>
  <c r="I308" i="8"/>
  <c r="K308" i="8" s="1"/>
  <c r="G308" i="8"/>
  <c r="I307" i="8"/>
  <c r="K307" i="8" s="1"/>
  <c r="G307" i="8"/>
  <c r="I306" i="8"/>
  <c r="K306" i="8" s="1"/>
  <c r="G306" i="8"/>
  <c r="G305" i="8"/>
  <c r="I305" i="8"/>
  <c r="K305" i="8" s="1"/>
  <c r="I304" i="8"/>
  <c r="K304" i="8" s="1"/>
  <c r="G304" i="8"/>
  <c r="I303" i="8"/>
  <c r="K303" i="8" s="1"/>
  <c r="G303" i="8"/>
  <c r="G302" i="8"/>
  <c r="I302" i="8"/>
  <c r="K302" i="8" s="1"/>
  <c r="G301" i="8"/>
  <c r="I301" i="8"/>
  <c r="K301" i="8" s="1"/>
  <c r="G300" i="8"/>
  <c r="I300" i="8"/>
  <c r="K300" i="8" s="1"/>
  <c r="G299" i="8"/>
  <c r="I299" i="8"/>
  <c r="K299" i="8" s="1"/>
  <c r="G298" i="8"/>
  <c r="I298" i="8"/>
  <c r="K298" i="8" s="1"/>
  <c r="I297" i="8"/>
  <c r="K297" i="8" s="1"/>
  <c r="G297" i="8"/>
  <c r="G296" i="8"/>
  <c r="I296" i="8"/>
  <c r="K296" i="8" s="1"/>
  <c r="G295" i="8"/>
  <c r="I295" i="8"/>
  <c r="K295" i="8" s="1"/>
  <c r="I294" i="8"/>
  <c r="K294" i="8" s="1"/>
  <c r="G294" i="8"/>
  <c r="G293" i="8"/>
  <c r="I293" i="8"/>
  <c r="K293" i="8" s="1"/>
  <c r="G292" i="8"/>
  <c r="I292" i="8"/>
  <c r="K292" i="8" s="1"/>
  <c r="G291" i="8"/>
  <c r="I291" i="8"/>
  <c r="K291" i="8" s="1"/>
  <c r="G290" i="8"/>
  <c r="I290" i="8"/>
  <c r="K290" i="8" s="1"/>
  <c r="I289" i="8"/>
  <c r="K289" i="8" s="1"/>
  <c r="G289" i="8"/>
  <c r="G288" i="8"/>
  <c r="I288" i="8"/>
  <c r="K288" i="8" s="1"/>
  <c r="G287" i="8"/>
  <c r="I287" i="8"/>
  <c r="K287" i="8" s="1"/>
  <c r="G286" i="8"/>
  <c r="I286" i="8"/>
  <c r="K286" i="8" s="1"/>
  <c r="I285" i="8"/>
  <c r="K285" i="8" s="1"/>
  <c r="G285" i="8"/>
  <c r="I284" i="8"/>
  <c r="K284" i="8" s="1"/>
  <c r="G284" i="8"/>
  <c r="I283" i="8"/>
  <c r="K283" i="8" s="1"/>
  <c r="G283" i="8"/>
  <c r="G282" i="8"/>
  <c r="I282" i="8"/>
  <c r="K282" i="8" s="1"/>
  <c r="I281" i="8"/>
  <c r="K281" i="8" s="1"/>
  <c r="G281" i="8"/>
  <c r="G280" i="8"/>
  <c r="I280" i="8"/>
  <c r="K280" i="8" s="1"/>
  <c r="G279" i="8"/>
  <c r="I279" i="8"/>
  <c r="K279" i="8" s="1"/>
  <c r="G278" i="8"/>
  <c r="I278" i="8"/>
  <c r="K278" i="8" s="1"/>
  <c r="I277" i="8"/>
  <c r="K277" i="8" s="1"/>
  <c r="G277" i="8"/>
  <c r="G276" i="8"/>
  <c r="I276" i="8"/>
  <c r="K276" i="8" s="1"/>
  <c r="G275" i="8"/>
  <c r="I275" i="8"/>
  <c r="K275" i="8" s="1"/>
  <c r="G274" i="8"/>
  <c r="I274" i="8"/>
  <c r="K274" i="8" s="1"/>
  <c r="G273" i="8"/>
  <c r="I273" i="8"/>
  <c r="K273" i="8" s="1"/>
  <c r="I272" i="8"/>
  <c r="K272" i="8" s="1"/>
  <c r="G272" i="8"/>
  <c r="I271" i="8"/>
  <c r="K271" i="8" s="1"/>
  <c r="G271" i="8"/>
  <c r="I270" i="8"/>
  <c r="K270" i="8" s="1"/>
  <c r="G270" i="8"/>
  <c r="I269" i="8"/>
  <c r="K269" i="8" s="1"/>
  <c r="G269" i="8"/>
  <c r="I268" i="8"/>
  <c r="K268" i="8" s="1"/>
  <c r="G268" i="8"/>
  <c r="G267" i="8"/>
  <c r="I267" i="8"/>
  <c r="K267" i="8" s="1"/>
  <c r="I266" i="8"/>
  <c r="K266" i="8" s="1"/>
  <c r="G266" i="8"/>
  <c r="I265" i="8"/>
  <c r="K265" i="8" s="1"/>
  <c r="G265" i="8"/>
  <c r="G264" i="8"/>
  <c r="I264" i="8"/>
  <c r="K264" i="8" s="1"/>
  <c r="I263" i="8"/>
  <c r="K263" i="8" s="1"/>
  <c r="G263" i="8"/>
  <c r="I262" i="8"/>
  <c r="K262" i="8" s="1"/>
  <c r="G262" i="8"/>
  <c r="I261" i="8"/>
  <c r="K261" i="8" s="1"/>
  <c r="G261" i="8"/>
  <c r="I260" i="8"/>
  <c r="K260" i="8" s="1"/>
  <c r="G260" i="8"/>
  <c r="G259" i="8"/>
  <c r="I259" i="8"/>
  <c r="K259" i="8" s="1"/>
  <c r="G258" i="8"/>
  <c r="I258" i="8"/>
  <c r="K258" i="8" s="1"/>
  <c r="G257" i="8"/>
  <c r="I257" i="8"/>
  <c r="K257" i="8" s="1"/>
  <c r="G256" i="8"/>
  <c r="I256" i="8"/>
  <c r="K256" i="8" s="1"/>
  <c r="I255" i="8"/>
  <c r="K255" i="8" s="1"/>
  <c r="G255" i="8"/>
  <c r="I254" i="8"/>
  <c r="K254" i="8" s="1"/>
  <c r="G254" i="8"/>
  <c r="G253" i="8"/>
  <c r="I253" i="8"/>
  <c r="K253" i="8" s="1"/>
  <c r="I252" i="8"/>
  <c r="K252" i="8" s="1"/>
  <c r="G252" i="8"/>
  <c r="I251" i="8"/>
  <c r="K251" i="8" s="1"/>
  <c r="G251" i="8"/>
  <c r="G250" i="8"/>
  <c r="I250" i="8"/>
  <c r="K250" i="8" s="1"/>
  <c r="G249" i="8"/>
  <c r="I249" i="8"/>
  <c r="K249" i="8" s="1"/>
  <c r="G248" i="8"/>
  <c r="I248" i="8"/>
  <c r="K248" i="8" s="1"/>
  <c r="G247" i="8"/>
  <c r="I247" i="8"/>
  <c r="K247" i="8" s="1"/>
  <c r="G246" i="8"/>
  <c r="I246" i="8"/>
  <c r="K246" i="8" s="1"/>
  <c r="G245" i="8"/>
  <c r="I245" i="8"/>
  <c r="K245" i="8" s="1"/>
  <c r="G244" i="8"/>
  <c r="I244" i="8"/>
  <c r="K244" i="8" s="1"/>
  <c r="I243" i="8"/>
  <c r="K243" i="8" s="1"/>
  <c r="G243" i="8"/>
  <c r="G242" i="8"/>
  <c r="I242" i="8"/>
  <c r="K242" i="8" s="1"/>
  <c r="G241" i="8"/>
  <c r="I241" i="8"/>
  <c r="K241" i="8" s="1"/>
  <c r="I240" i="8"/>
  <c r="K240" i="8" s="1"/>
  <c r="G240" i="8"/>
  <c r="I239" i="8"/>
  <c r="K239" i="8" s="1"/>
  <c r="G239" i="8"/>
  <c r="I238" i="8"/>
  <c r="K238" i="8" s="1"/>
  <c r="G238" i="8"/>
  <c r="I237" i="8"/>
  <c r="K237" i="8" s="1"/>
  <c r="G237" i="8"/>
  <c r="I236" i="8"/>
  <c r="K236" i="8" s="1"/>
  <c r="G236" i="8"/>
  <c r="G235" i="8"/>
  <c r="I235" i="8"/>
  <c r="K235" i="8" s="1"/>
  <c r="I234" i="8"/>
  <c r="K234" i="8" s="1"/>
  <c r="G234" i="8"/>
  <c r="I233" i="8"/>
  <c r="K233" i="8" s="1"/>
  <c r="G233" i="8"/>
  <c r="I232" i="8"/>
  <c r="K232" i="8" s="1"/>
  <c r="G232" i="8"/>
  <c r="I231" i="8"/>
  <c r="K231" i="8" s="1"/>
  <c r="G231" i="8"/>
  <c r="G230" i="8"/>
  <c r="I230" i="8"/>
  <c r="K230" i="8" s="1"/>
  <c r="I229" i="8"/>
  <c r="K229" i="8" s="1"/>
  <c r="G229" i="8"/>
  <c r="G228" i="8"/>
  <c r="I228" i="8"/>
  <c r="K228" i="8" s="1"/>
  <c r="G227" i="8"/>
  <c r="I227" i="8"/>
  <c r="K227" i="8" s="1"/>
  <c r="G226" i="8"/>
  <c r="I226" i="8"/>
  <c r="K226" i="8" s="1"/>
  <c r="G225" i="8"/>
  <c r="I225" i="8"/>
  <c r="K225" i="8" s="1"/>
  <c r="I224" i="8"/>
  <c r="K224" i="8" s="1"/>
  <c r="G224" i="8"/>
  <c r="I223" i="8"/>
  <c r="K223" i="8" s="1"/>
  <c r="G223" i="8"/>
  <c r="I222" i="8"/>
  <c r="K222" i="8" s="1"/>
  <c r="G222" i="8"/>
  <c r="G221" i="8"/>
  <c r="I221" i="8"/>
  <c r="K221" i="8" s="1"/>
  <c r="G220" i="8"/>
  <c r="I220" i="8"/>
  <c r="K220" i="8" s="1"/>
  <c r="G219" i="8"/>
  <c r="I219" i="8"/>
  <c r="K219" i="8" s="1"/>
  <c r="G218" i="8"/>
  <c r="I218" i="8"/>
  <c r="K218" i="8" s="1"/>
  <c r="G217" i="8"/>
  <c r="I217" i="8"/>
  <c r="K217" i="8" s="1"/>
  <c r="G216" i="8"/>
  <c r="I216" i="8"/>
  <c r="K216" i="8" s="1"/>
  <c r="G215" i="8"/>
  <c r="I215" i="8"/>
  <c r="K215" i="8" s="1"/>
  <c r="G214" i="8"/>
  <c r="I214" i="8"/>
  <c r="K214" i="8" s="1"/>
  <c r="G213" i="8"/>
  <c r="I213" i="8"/>
  <c r="K213" i="8" s="1"/>
  <c r="G212" i="8"/>
  <c r="I212" i="8"/>
  <c r="K212" i="8" s="1"/>
  <c r="I211" i="8"/>
  <c r="K211" i="8" s="1"/>
  <c r="G211" i="8"/>
  <c r="I210" i="8"/>
  <c r="K210" i="8" s="1"/>
  <c r="G210" i="8"/>
  <c r="G209" i="8"/>
  <c r="I209" i="8"/>
  <c r="K209" i="8" s="1"/>
  <c r="G208" i="8"/>
  <c r="I208" i="8"/>
  <c r="K208" i="8" s="1"/>
  <c r="G207" i="8"/>
  <c r="I207" i="8"/>
  <c r="K207" i="8" s="1"/>
  <c r="I206" i="8"/>
  <c r="K206" i="8" s="1"/>
  <c r="G206" i="8"/>
  <c r="I205" i="8"/>
  <c r="K205" i="8" s="1"/>
  <c r="G205" i="8"/>
  <c r="I204" i="8"/>
  <c r="K204" i="8" s="1"/>
  <c r="G204" i="8"/>
  <c r="I203" i="8"/>
  <c r="K203" i="8" s="1"/>
  <c r="G203" i="8"/>
  <c r="I202" i="8"/>
  <c r="K202" i="8" s="1"/>
  <c r="G202" i="8"/>
  <c r="I201" i="8"/>
  <c r="K201" i="8" s="1"/>
  <c r="G201" i="8"/>
  <c r="I200" i="8"/>
  <c r="K200" i="8" s="1"/>
  <c r="G200" i="8"/>
  <c r="I199" i="8"/>
  <c r="K199" i="8" s="1"/>
  <c r="G199" i="8"/>
  <c r="I198" i="8"/>
  <c r="K198" i="8" s="1"/>
  <c r="G198" i="8"/>
  <c r="I197" i="8"/>
  <c r="K197" i="8" s="1"/>
  <c r="G197" i="8"/>
  <c r="G196" i="8"/>
  <c r="I196" i="8"/>
  <c r="K196" i="8" s="1"/>
  <c r="G195" i="8"/>
  <c r="I195" i="8"/>
  <c r="K195" i="8" s="1"/>
  <c r="I194" i="8"/>
  <c r="K194" i="8" s="1"/>
  <c r="G194" i="8"/>
  <c r="I193" i="8"/>
  <c r="K193" i="8" s="1"/>
  <c r="G193" i="8"/>
  <c r="G192" i="8"/>
  <c r="I192" i="8"/>
  <c r="K192" i="8" s="1"/>
  <c r="I191" i="8"/>
  <c r="K191" i="8" s="1"/>
  <c r="G191" i="8"/>
  <c r="I190" i="8"/>
  <c r="K190" i="8" s="1"/>
  <c r="G190" i="8"/>
  <c r="G189" i="8"/>
  <c r="I189" i="8"/>
  <c r="K189" i="8" s="1"/>
  <c r="G188" i="8"/>
  <c r="I188" i="8"/>
  <c r="K188" i="8" s="1"/>
  <c r="I187" i="8"/>
  <c r="K187" i="8" s="1"/>
  <c r="G187" i="8"/>
  <c r="G186" i="8"/>
  <c r="I186" i="8"/>
  <c r="K186" i="8" s="1"/>
  <c r="G185" i="8"/>
  <c r="I185" i="8"/>
  <c r="K185" i="8" s="1"/>
  <c r="G184" i="8"/>
  <c r="I184" i="8"/>
  <c r="K184" i="8" s="1"/>
  <c r="I183" i="8"/>
  <c r="K183" i="8" s="1"/>
  <c r="G183" i="8"/>
  <c r="I182" i="8"/>
  <c r="K182" i="8" s="1"/>
  <c r="G182" i="8"/>
  <c r="G181" i="8"/>
  <c r="I181" i="8"/>
  <c r="K181" i="8" s="1"/>
  <c r="I180" i="8"/>
  <c r="K180" i="8" s="1"/>
  <c r="G180" i="8"/>
  <c r="G179" i="8"/>
  <c r="I179" i="8"/>
  <c r="K179" i="8" s="1"/>
  <c r="I178" i="8"/>
  <c r="K178" i="8" s="1"/>
  <c r="G178" i="8"/>
  <c r="G177" i="8"/>
  <c r="I177" i="8"/>
  <c r="K177" i="8" s="1"/>
  <c r="G176" i="8"/>
  <c r="I176" i="8"/>
  <c r="K176" i="8" s="1"/>
  <c r="I175" i="8"/>
  <c r="K175" i="8" s="1"/>
  <c r="G175" i="8"/>
  <c r="G174" i="8"/>
  <c r="I174" i="8"/>
  <c r="K174" i="8" s="1"/>
  <c r="I173" i="8"/>
  <c r="K173" i="8" s="1"/>
  <c r="G173" i="8"/>
  <c r="I172" i="8"/>
  <c r="K172" i="8" s="1"/>
  <c r="G172" i="8"/>
  <c r="G171" i="8"/>
  <c r="I171" i="8"/>
  <c r="K171" i="8" s="1"/>
  <c r="I170" i="8"/>
  <c r="K170" i="8" s="1"/>
  <c r="G170" i="8"/>
  <c r="I169" i="8"/>
  <c r="K169" i="8" s="1"/>
  <c r="G169" i="8"/>
  <c r="I168" i="8"/>
  <c r="K168" i="8" s="1"/>
  <c r="G168" i="8"/>
  <c r="I167" i="8"/>
  <c r="K167" i="8" s="1"/>
  <c r="G167" i="8"/>
  <c r="I166" i="8"/>
  <c r="K166" i="8" s="1"/>
  <c r="G166" i="8"/>
  <c r="I165" i="8"/>
  <c r="K165" i="8" s="1"/>
  <c r="G165" i="8"/>
  <c r="I164" i="8"/>
  <c r="K164" i="8" s="1"/>
  <c r="G164" i="8"/>
  <c r="I163" i="8"/>
  <c r="K163" i="8" s="1"/>
  <c r="G163" i="8"/>
  <c r="I162" i="8"/>
  <c r="K162" i="8" s="1"/>
  <c r="G162" i="8"/>
  <c r="I161" i="8"/>
  <c r="K161" i="8" s="1"/>
  <c r="G161" i="8"/>
  <c r="I160" i="8"/>
  <c r="K160" i="8" s="1"/>
  <c r="G160" i="8"/>
  <c r="I159" i="8"/>
  <c r="K159" i="8" s="1"/>
  <c r="G159" i="8"/>
  <c r="I158" i="8"/>
  <c r="K158" i="8" s="1"/>
  <c r="G158" i="8"/>
  <c r="I157" i="8"/>
  <c r="K157" i="8" s="1"/>
  <c r="G157" i="8"/>
  <c r="I156" i="8"/>
  <c r="K156" i="8" s="1"/>
  <c r="G156" i="8"/>
  <c r="I155" i="8"/>
  <c r="K155" i="8" s="1"/>
  <c r="G155" i="8"/>
  <c r="I154" i="8"/>
  <c r="K154" i="8" s="1"/>
  <c r="G154" i="8"/>
  <c r="I153" i="8"/>
  <c r="K153" i="8" s="1"/>
  <c r="G153" i="8"/>
  <c r="I152" i="8"/>
  <c r="K152" i="8" s="1"/>
  <c r="G152" i="8"/>
  <c r="I151" i="8"/>
  <c r="K151" i="8" s="1"/>
  <c r="G151" i="8"/>
  <c r="I150" i="8"/>
  <c r="K150" i="8" s="1"/>
  <c r="G150" i="8"/>
  <c r="I149" i="8"/>
  <c r="K149" i="8" s="1"/>
  <c r="G149" i="8"/>
  <c r="I148" i="8"/>
  <c r="K148" i="8" s="1"/>
  <c r="G148" i="8"/>
  <c r="I147" i="8"/>
  <c r="K147" i="8" s="1"/>
  <c r="G147" i="8"/>
  <c r="I146" i="8"/>
  <c r="K146" i="8" s="1"/>
  <c r="G146" i="8"/>
  <c r="I145" i="8"/>
  <c r="K145" i="8" s="1"/>
  <c r="G145" i="8"/>
  <c r="G144" i="8"/>
  <c r="I144" i="8"/>
  <c r="K144" i="8" s="1"/>
  <c r="I143" i="8"/>
  <c r="K143" i="8" s="1"/>
  <c r="G143" i="8"/>
  <c r="I142" i="8"/>
  <c r="K142" i="8" s="1"/>
  <c r="G142" i="8"/>
  <c r="I141" i="8"/>
  <c r="K141" i="8" s="1"/>
  <c r="G141" i="8"/>
  <c r="I140" i="8"/>
  <c r="K140" i="8" s="1"/>
  <c r="G140" i="8"/>
  <c r="I139" i="8"/>
  <c r="K139" i="8" s="1"/>
  <c r="G139" i="8"/>
  <c r="I138" i="8"/>
  <c r="K138" i="8" s="1"/>
  <c r="G138" i="8"/>
  <c r="I137" i="8"/>
  <c r="K137" i="8" s="1"/>
  <c r="G137" i="8"/>
  <c r="I136" i="8"/>
  <c r="K136" i="8" s="1"/>
  <c r="G136" i="8"/>
  <c r="G135" i="8"/>
  <c r="I135" i="8"/>
  <c r="K135" i="8" s="1"/>
  <c r="I134" i="8"/>
  <c r="K134" i="8" s="1"/>
  <c r="G134" i="8"/>
  <c r="I133" i="8"/>
  <c r="K133" i="8" s="1"/>
  <c r="G133" i="8"/>
  <c r="I132" i="8"/>
  <c r="K132" i="8" s="1"/>
  <c r="G132" i="8"/>
  <c r="I131" i="8"/>
  <c r="K131" i="8" s="1"/>
  <c r="G131" i="8"/>
  <c r="I130" i="8"/>
  <c r="K130" i="8" s="1"/>
  <c r="G130" i="8"/>
  <c r="G129" i="8"/>
  <c r="I129" i="8"/>
  <c r="K129" i="8" s="1"/>
  <c r="I128" i="8"/>
  <c r="K128" i="8" s="1"/>
  <c r="G128" i="8"/>
  <c r="I127" i="8"/>
  <c r="K127" i="8" s="1"/>
  <c r="G127" i="8"/>
  <c r="G126" i="8"/>
  <c r="I126" i="8"/>
  <c r="K126" i="8" s="1"/>
  <c r="G125" i="8"/>
  <c r="I125" i="8"/>
  <c r="K125" i="8" s="1"/>
  <c r="I124" i="8"/>
  <c r="K124" i="8" s="1"/>
  <c r="G124" i="8"/>
  <c r="I123" i="8"/>
  <c r="K123" i="8" s="1"/>
  <c r="G123" i="8"/>
  <c r="I122" i="8"/>
  <c r="K122" i="8" s="1"/>
  <c r="G122" i="8"/>
  <c r="G121" i="8"/>
  <c r="I121" i="8"/>
  <c r="K121" i="8" s="1"/>
  <c r="I120" i="8"/>
  <c r="K120" i="8" s="1"/>
  <c r="G120" i="8"/>
  <c r="I119" i="8"/>
  <c r="K119" i="8" s="1"/>
  <c r="G119" i="8"/>
  <c r="I118" i="8"/>
  <c r="K118" i="8" s="1"/>
  <c r="G118" i="8"/>
  <c r="I117" i="8"/>
  <c r="K117" i="8" s="1"/>
  <c r="G117" i="8"/>
  <c r="I116" i="8"/>
  <c r="K116" i="8" s="1"/>
  <c r="G116" i="8"/>
  <c r="I115" i="8"/>
  <c r="K115" i="8" s="1"/>
  <c r="G115" i="8"/>
  <c r="I114" i="8"/>
  <c r="K114" i="8" s="1"/>
  <c r="G114" i="8"/>
  <c r="I113" i="8"/>
  <c r="K113" i="8" s="1"/>
  <c r="G113" i="8"/>
  <c r="I112" i="8"/>
  <c r="K112" i="8" s="1"/>
  <c r="G112" i="8"/>
  <c r="I111" i="8"/>
  <c r="K111" i="8" s="1"/>
  <c r="G111" i="8"/>
  <c r="I110" i="8"/>
  <c r="K110" i="8" s="1"/>
  <c r="G110" i="8"/>
  <c r="I109" i="8"/>
  <c r="K109" i="8" s="1"/>
  <c r="G109" i="8"/>
  <c r="I108" i="8"/>
  <c r="K108" i="8" s="1"/>
  <c r="G108" i="8"/>
  <c r="I107" i="8"/>
  <c r="K107" i="8" s="1"/>
  <c r="G107" i="8"/>
  <c r="I106" i="8"/>
  <c r="K106" i="8" s="1"/>
  <c r="G106" i="8"/>
  <c r="G105" i="8"/>
  <c r="I105" i="8"/>
  <c r="K105" i="8" s="1"/>
  <c r="G104" i="8"/>
  <c r="I104" i="8"/>
  <c r="K104" i="8" s="1"/>
  <c r="G103" i="8"/>
  <c r="I103" i="8"/>
  <c r="K103" i="8" s="1"/>
  <c r="I102" i="8"/>
  <c r="K102" i="8" s="1"/>
  <c r="G102" i="8"/>
  <c r="I101" i="8"/>
  <c r="K101" i="8" s="1"/>
  <c r="G101" i="8"/>
  <c r="I100" i="8"/>
  <c r="K100" i="8" s="1"/>
  <c r="G100" i="8"/>
  <c r="I99" i="8"/>
  <c r="K99" i="8" s="1"/>
  <c r="G99" i="8"/>
  <c r="I98" i="8"/>
  <c r="K98" i="8" s="1"/>
  <c r="G98" i="8"/>
  <c r="G97" i="8"/>
  <c r="I97" i="8"/>
  <c r="K97" i="8" s="1"/>
  <c r="G96" i="8"/>
  <c r="I96" i="8"/>
  <c r="K96" i="8" s="1"/>
  <c r="G95" i="8"/>
  <c r="I95" i="8"/>
  <c r="K95" i="8" s="1"/>
  <c r="G94" i="8"/>
  <c r="I94" i="8"/>
  <c r="K94" i="8" s="1"/>
  <c r="G93" i="8"/>
  <c r="I93" i="8"/>
  <c r="K93" i="8" s="1"/>
  <c r="G92" i="8"/>
  <c r="I92" i="8"/>
  <c r="K92" i="8" s="1"/>
  <c r="I91" i="8"/>
  <c r="K91" i="8" s="1"/>
  <c r="G91" i="8"/>
  <c r="G90" i="8"/>
  <c r="I90" i="8"/>
  <c r="K90" i="8" s="1"/>
  <c r="I89" i="8"/>
  <c r="K89" i="8" s="1"/>
  <c r="G89" i="8"/>
  <c r="I88" i="8"/>
  <c r="K88" i="8" s="1"/>
  <c r="G88" i="8"/>
  <c r="I87" i="8"/>
  <c r="K87" i="8" s="1"/>
  <c r="G87" i="8"/>
  <c r="G86" i="8"/>
  <c r="I86" i="8"/>
  <c r="K86" i="8" s="1"/>
  <c r="G85" i="8"/>
  <c r="I85" i="8"/>
  <c r="K85" i="8" s="1"/>
  <c r="G84" i="8"/>
  <c r="I84" i="8"/>
  <c r="K84" i="8" s="1"/>
  <c r="G83" i="8"/>
  <c r="I83" i="8"/>
  <c r="K83" i="8" s="1"/>
  <c r="G82" i="8"/>
  <c r="I82" i="8"/>
  <c r="K82" i="8" s="1"/>
  <c r="I81" i="8"/>
  <c r="K81" i="8" s="1"/>
  <c r="G81" i="8"/>
  <c r="I80" i="8"/>
  <c r="K80" i="8" s="1"/>
  <c r="G80" i="8"/>
  <c r="I79" i="8"/>
  <c r="K79" i="8" s="1"/>
  <c r="G79" i="8"/>
  <c r="G78" i="8"/>
  <c r="I78" i="8"/>
  <c r="K78" i="8" s="1"/>
  <c r="I77" i="8"/>
  <c r="K77" i="8" s="1"/>
  <c r="G77" i="8"/>
  <c r="I76" i="8"/>
  <c r="K76" i="8" s="1"/>
  <c r="G76" i="8"/>
  <c r="I75" i="8"/>
  <c r="K75" i="8" s="1"/>
  <c r="G75" i="8"/>
  <c r="I74" i="8"/>
  <c r="K74" i="8" s="1"/>
  <c r="G74" i="8"/>
  <c r="I73" i="8"/>
  <c r="K73" i="8" s="1"/>
  <c r="G73" i="8"/>
  <c r="G72" i="8"/>
  <c r="I72" i="8"/>
  <c r="K72" i="8" s="1"/>
  <c r="G71" i="8"/>
  <c r="I71" i="8"/>
  <c r="K71" i="8" s="1"/>
  <c r="G70" i="8"/>
  <c r="I70" i="8"/>
  <c r="K70" i="8" s="1"/>
  <c r="I69" i="8"/>
  <c r="K69" i="8" s="1"/>
  <c r="G69" i="8"/>
  <c r="G68" i="8"/>
  <c r="I68" i="8"/>
  <c r="K68" i="8" s="1"/>
  <c r="G67" i="8"/>
  <c r="I67" i="8"/>
  <c r="K67" i="8" s="1"/>
  <c r="G66" i="8"/>
  <c r="I66" i="8"/>
  <c r="K66" i="8" s="1"/>
  <c r="G65" i="8"/>
  <c r="I65" i="8"/>
  <c r="K65" i="8" s="1"/>
  <c r="I64" i="8"/>
  <c r="K64" i="8" s="1"/>
  <c r="G64" i="8"/>
  <c r="G63" i="8"/>
  <c r="I63" i="8"/>
  <c r="K63" i="8" s="1"/>
  <c r="G62" i="8"/>
  <c r="I62" i="8"/>
  <c r="K62" i="8" s="1"/>
  <c r="I61" i="8"/>
  <c r="K61" i="8" s="1"/>
  <c r="G61" i="8"/>
  <c r="G60" i="8"/>
  <c r="I60" i="8"/>
  <c r="K60" i="8" s="1"/>
  <c r="I59" i="8"/>
  <c r="K59" i="8" s="1"/>
  <c r="G59" i="8"/>
  <c r="G58" i="8"/>
  <c r="I58" i="8"/>
  <c r="K58" i="8" s="1"/>
  <c r="I57" i="8"/>
  <c r="K57" i="8" s="1"/>
  <c r="G57" i="8"/>
  <c r="I56" i="8"/>
  <c r="K56" i="8" s="1"/>
  <c r="G56" i="8"/>
  <c r="G55" i="8"/>
  <c r="I55" i="8"/>
  <c r="K55" i="8" s="1"/>
  <c r="I54" i="8"/>
  <c r="K54" i="8" s="1"/>
  <c r="G54" i="8"/>
  <c r="I53" i="8"/>
  <c r="K53" i="8" s="1"/>
  <c r="G53" i="8"/>
  <c r="I52" i="8"/>
  <c r="K52" i="8" s="1"/>
  <c r="G52" i="8"/>
  <c r="I51" i="8"/>
  <c r="K51" i="8" s="1"/>
  <c r="G51" i="8"/>
  <c r="G50" i="8"/>
  <c r="I50" i="8"/>
  <c r="K50" i="8" s="1"/>
  <c r="I49" i="8"/>
  <c r="K49" i="8" s="1"/>
  <c r="G49" i="8"/>
  <c r="G48" i="8"/>
  <c r="I48" i="8"/>
  <c r="K48" i="8" s="1"/>
  <c r="G47" i="8"/>
  <c r="I47" i="8"/>
  <c r="K47" i="8" s="1"/>
  <c r="G46" i="8"/>
  <c r="I46" i="8"/>
  <c r="K46" i="8" s="1"/>
  <c r="G45" i="8"/>
  <c r="I45" i="8"/>
  <c r="K45" i="8" s="1"/>
  <c r="G44" i="8"/>
  <c r="I44" i="8"/>
  <c r="K44" i="8" s="1"/>
  <c r="G43" i="8"/>
  <c r="I43" i="8"/>
  <c r="K43" i="8" s="1"/>
  <c r="G42" i="8"/>
  <c r="I42" i="8"/>
  <c r="K42" i="8" s="1"/>
  <c r="G41" i="8"/>
  <c r="I41" i="8"/>
  <c r="K41" i="8" s="1"/>
  <c r="I40" i="8"/>
  <c r="K40" i="8" s="1"/>
  <c r="G40" i="8"/>
  <c r="I39" i="8"/>
  <c r="K39" i="8" s="1"/>
  <c r="G39" i="8"/>
  <c r="I38" i="8"/>
  <c r="K38" i="8" s="1"/>
  <c r="G38" i="8"/>
  <c r="G37" i="8"/>
  <c r="I37" i="8"/>
  <c r="K37" i="8" s="1"/>
  <c r="I36" i="8"/>
  <c r="K36" i="8" s="1"/>
  <c r="G36" i="8"/>
  <c r="I35" i="8"/>
  <c r="K35" i="8" s="1"/>
  <c r="G35" i="8"/>
  <c r="I34" i="8"/>
  <c r="K34" i="8" s="1"/>
  <c r="G34" i="8"/>
  <c r="G33" i="8"/>
  <c r="I33" i="8"/>
  <c r="K33" i="8" s="1"/>
  <c r="I32" i="8"/>
  <c r="K32" i="8" s="1"/>
  <c r="G32" i="8"/>
  <c r="I31" i="8"/>
  <c r="K31" i="8" s="1"/>
  <c r="G31" i="8"/>
  <c r="I30" i="8"/>
  <c r="K30" i="8" s="1"/>
  <c r="G30" i="8"/>
  <c r="I29" i="8"/>
  <c r="K29" i="8" s="1"/>
  <c r="G29" i="8"/>
  <c r="I28" i="8"/>
  <c r="K28" i="8" s="1"/>
  <c r="G28" i="8"/>
  <c r="I27" i="8"/>
  <c r="K27" i="8" s="1"/>
  <c r="G27" i="8"/>
  <c r="I26" i="8"/>
  <c r="K26" i="8" s="1"/>
  <c r="G26" i="8"/>
  <c r="I25" i="8"/>
  <c r="K25" i="8" s="1"/>
  <c r="G25" i="8"/>
  <c r="I24" i="8"/>
  <c r="K24" i="8" s="1"/>
  <c r="G24" i="8"/>
  <c r="I23" i="8"/>
  <c r="K23" i="8" s="1"/>
  <c r="G23" i="8"/>
  <c r="I22" i="8"/>
  <c r="K22" i="8" s="1"/>
  <c r="G22" i="8"/>
  <c r="I21" i="8"/>
  <c r="K21" i="8" s="1"/>
  <c r="G21" i="8"/>
  <c r="G20" i="8"/>
  <c r="I20" i="8"/>
  <c r="K20" i="8" s="1"/>
  <c r="G19" i="8"/>
  <c r="I19" i="8"/>
  <c r="K19" i="8" s="1"/>
  <c r="I18" i="8"/>
  <c r="K18" i="8" s="1"/>
  <c r="G18" i="8"/>
  <c r="I17" i="8"/>
  <c r="K17" i="8" s="1"/>
  <c r="G17" i="8"/>
  <c r="I16" i="8"/>
  <c r="K16" i="8" s="1"/>
  <c r="G16" i="8"/>
  <c r="G15" i="8"/>
  <c r="I15" i="8"/>
  <c r="K15" i="8" s="1"/>
  <c r="I14" i="8"/>
  <c r="K14" i="8" s="1"/>
  <c r="G14" i="8"/>
  <c r="G13" i="8"/>
  <c r="I13" i="8"/>
  <c r="K13" i="8" s="1"/>
  <c r="I12" i="8"/>
  <c r="K12" i="8" s="1"/>
  <c r="G12" i="8"/>
  <c r="I11" i="8"/>
  <c r="K11" i="8" s="1"/>
  <c r="G11" i="8"/>
  <c r="I10" i="8"/>
  <c r="K10" i="8" s="1"/>
  <c r="G10" i="8"/>
  <c r="I9" i="8"/>
  <c r="K9" i="8" s="1"/>
  <c r="G9" i="8"/>
  <c r="I8" i="8"/>
  <c r="K8" i="8" s="1"/>
  <c r="G8" i="8"/>
  <c r="G7" i="8"/>
  <c r="I7" i="8"/>
  <c r="K7" i="8" s="1"/>
  <c r="I6" i="8"/>
  <c r="K6" i="8" s="1"/>
  <c r="G6" i="8"/>
  <c r="I5" i="8"/>
  <c r="K5" i="8" s="1"/>
  <c r="G5" i="8"/>
  <c r="G4" i="8"/>
  <c r="I4" i="8"/>
  <c r="K4" i="8" s="1"/>
  <c r="G3" i="8"/>
  <c r="I3" i="8"/>
  <c r="K3" i="8" s="1"/>
  <c r="G2" i="8"/>
  <c r="I2" i="8"/>
  <c r="K2" i="8" s="1"/>
  <c r="R2" i="7"/>
  <c r="P2" i="7"/>
  <c r="Q2" i="7"/>
  <c r="Q3" i="7"/>
  <c r="Q9" i="7"/>
  <c r="Q4" i="7"/>
  <c r="Q5" i="7"/>
  <c r="Q6" i="7"/>
  <c r="Q7" i="7"/>
  <c r="Q8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AE8" i="7"/>
  <c r="AE9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H435" i="8" l="1"/>
  <c r="L435" i="8" s="1"/>
  <c r="M435" i="8"/>
  <c r="N435" i="8"/>
  <c r="H434" i="8"/>
  <c r="L434" i="8" s="1"/>
  <c r="M434" i="8"/>
  <c r="N434" i="8"/>
  <c r="H433" i="8"/>
  <c r="L433" i="8" s="1"/>
  <c r="M433" i="8"/>
  <c r="N433" i="8"/>
  <c r="H432" i="8"/>
  <c r="L432" i="8" s="1"/>
  <c r="M432" i="8"/>
  <c r="N432" i="8"/>
  <c r="H431" i="8"/>
  <c r="L431" i="8" s="1"/>
  <c r="M431" i="8"/>
  <c r="N431" i="8"/>
  <c r="H430" i="8"/>
  <c r="L430" i="8" s="1"/>
  <c r="M430" i="8"/>
  <c r="N430" i="8"/>
  <c r="H429" i="8"/>
  <c r="L429" i="8" s="1"/>
  <c r="M429" i="8"/>
  <c r="N429" i="8"/>
  <c r="H428" i="8"/>
  <c r="L428" i="8" s="1"/>
  <c r="M428" i="8"/>
  <c r="N428" i="8"/>
  <c r="H427" i="8"/>
  <c r="L427" i="8" s="1"/>
  <c r="M427" i="8"/>
  <c r="N427" i="8"/>
  <c r="H426" i="8"/>
  <c r="L426" i="8" s="1"/>
  <c r="M426" i="8"/>
  <c r="N426" i="8"/>
  <c r="H425" i="8"/>
  <c r="L425" i="8" s="1"/>
  <c r="M425" i="8"/>
  <c r="N425" i="8"/>
  <c r="H424" i="8"/>
  <c r="L424" i="8" s="1"/>
  <c r="M424" i="8"/>
  <c r="N424" i="8"/>
  <c r="H423" i="8"/>
  <c r="L423" i="8" s="1"/>
  <c r="M423" i="8"/>
  <c r="N423" i="8"/>
  <c r="H422" i="8"/>
  <c r="L422" i="8" s="1"/>
  <c r="M422" i="8"/>
  <c r="N422" i="8"/>
  <c r="H421" i="8"/>
  <c r="L421" i="8" s="1"/>
  <c r="M421" i="8"/>
  <c r="N421" i="8"/>
  <c r="H420" i="8"/>
  <c r="L420" i="8" s="1"/>
  <c r="M420" i="8"/>
  <c r="N420" i="8"/>
  <c r="H419" i="8"/>
  <c r="L419" i="8" s="1"/>
  <c r="M419" i="8"/>
  <c r="N419" i="8"/>
  <c r="H418" i="8"/>
  <c r="L418" i="8" s="1"/>
  <c r="M418" i="8"/>
  <c r="N418" i="8"/>
  <c r="H417" i="8"/>
  <c r="L417" i="8" s="1"/>
  <c r="M417" i="8"/>
  <c r="N417" i="8"/>
  <c r="H416" i="8"/>
  <c r="L416" i="8" s="1"/>
  <c r="M416" i="8"/>
  <c r="N416" i="8"/>
  <c r="H415" i="8"/>
  <c r="L415" i="8" s="1"/>
  <c r="M415" i="8"/>
  <c r="N415" i="8"/>
  <c r="H414" i="8"/>
  <c r="L414" i="8" s="1"/>
  <c r="M414" i="8"/>
  <c r="N414" i="8"/>
  <c r="H413" i="8"/>
  <c r="L413" i="8" s="1"/>
  <c r="M413" i="8"/>
  <c r="N413" i="8"/>
  <c r="H412" i="8"/>
  <c r="L412" i="8" s="1"/>
  <c r="M412" i="8"/>
  <c r="N412" i="8"/>
  <c r="H411" i="8"/>
  <c r="L411" i="8" s="1"/>
  <c r="M411" i="8"/>
  <c r="N411" i="8"/>
  <c r="H410" i="8"/>
  <c r="L410" i="8" s="1"/>
  <c r="M410" i="8"/>
  <c r="N410" i="8"/>
  <c r="H409" i="8"/>
  <c r="L409" i="8" s="1"/>
  <c r="M409" i="8"/>
  <c r="N409" i="8"/>
  <c r="H408" i="8"/>
  <c r="L408" i="8" s="1"/>
  <c r="M408" i="8"/>
  <c r="N408" i="8"/>
  <c r="H407" i="8"/>
  <c r="L407" i="8" s="1"/>
  <c r="M407" i="8"/>
  <c r="N407" i="8"/>
  <c r="H406" i="8"/>
  <c r="L406" i="8" s="1"/>
  <c r="M406" i="8"/>
  <c r="N406" i="8"/>
  <c r="H405" i="8"/>
  <c r="L405" i="8" s="1"/>
  <c r="M405" i="8"/>
  <c r="N405" i="8"/>
  <c r="H404" i="8"/>
  <c r="L404" i="8" s="1"/>
  <c r="M404" i="8"/>
  <c r="N404" i="8"/>
  <c r="H403" i="8"/>
  <c r="L403" i="8" s="1"/>
  <c r="M403" i="8"/>
  <c r="N403" i="8"/>
  <c r="H402" i="8"/>
  <c r="L402" i="8" s="1"/>
  <c r="M402" i="8"/>
  <c r="N402" i="8"/>
  <c r="H401" i="8"/>
  <c r="L401" i="8" s="1"/>
  <c r="M401" i="8"/>
  <c r="N401" i="8"/>
  <c r="H400" i="8"/>
  <c r="L400" i="8" s="1"/>
  <c r="M400" i="8"/>
  <c r="N400" i="8"/>
  <c r="H399" i="8"/>
  <c r="L399" i="8" s="1"/>
  <c r="M399" i="8"/>
  <c r="N399" i="8"/>
  <c r="H398" i="8"/>
  <c r="L398" i="8" s="1"/>
  <c r="M398" i="8"/>
  <c r="N398" i="8"/>
  <c r="H397" i="8"/>
  <c r="L397" i="8" s="1"/>
  <c r="M397" i="8"/>
  <c r="N397" i="8"/>
  <c r="H396" i="8"/>
  <c r="L396" i="8" s="1"/>
  <c r="M396" i="8"/>
  <c r="N396" i="8"/>
  <c r="H395" i="8"/>
  <c r="L395" i="8" s="1"/>
  <c r="M395" i="8"/>
  <c r="N395" i="8"/>
  <c r="H394" i="8"/>
  <c r="L394" i="8" s="1"/>
  <c r="M394" i="8"/>
  <c r="N394" i="8"/>
  <c r="H393" i="8"/>
  <c r="L393" i="8" s="1"/>
  <c r="M393" i="8"/>
  <c r="N393" i="8"/>
  <c r="H392" i="8"/>
  <c r="L392" i="8" s="1"/>
  <c r="M392" i="8"/>
  <c r="N392" i="8"/>
  <c r="H391" i="8"/>
  <c r="L391" i="8" s="1"/>
  <c r="M391" i="8"/>
  <c r="N391" i="8"/>
  <c r="H390" i="8"/>
  <c r="L390" i="8" s="1"/>
  <c r="M390" i="8"/>
  <c r="N390" i="8"/>
  <c r="H389" i="8"/>
  <c r="L389" i="8" s="1"/>
  <c r="M389" i="8"/>
  <c r="N389" i="8"/>
  <c r="H388" i="8"/>
  <c r="L388" i="8" s="1"/>
  <c r="M388" i="8"/>
  <c r="N388" i="8"/>
  <c r="H387" i="8"/>
  <c r="L387" i="8" s="1"/>
  <c r="M387" i="8"/>
  <c r="N387" i="8"/>
  <c r="H386" i="8"/>
  <c r="L386" i="8" s="1"/>
  <c r="M386" i="8"/>
  <c r="N386" i="8"/>
  <c r="H385" i="8"/>
  <c r="L385" i="8" s="1"/>
  <c r="M385" i="8"/>
  <c r="N385" i="8"/>
  <c r="H384" i="8"/>
  <c r="L384" i="8" s="1"/>
  <c r="M384" i="8"/>
  <c r="N384" i="8"/>
  <c r="H383" i="8"/>
  <c r="L383" i="8" s="1"/>
  <c r="M383" i="8"/>
  <c r="N383" i="8"/>
  <c r="H382" i="8"/>
  <c r="L382" i="8" s="1"/>
  <c r="M382" i="8"/>
  <c r="N382" i="8"/>
  <c r="H381" i="8"/>
  <c r="L381" i="8" s="1"/>
  <c r="M381" i="8"/>
  <c r="N381" i="8"/>
  <c r="H380" i="8"/>
  <c r="L380" i="8" s="1"/>
  <c r="M380" i="8"/>
  <c r="N380" i="8"/>
  <c r="H379" i="8"/>
  <c r="L379" i="8" s="1"/>
  <c r="M379" i="8"/>
  <c r="N379" i="8"/>
  <c r="H378" i="8"/>
  <c r="L378" i="8" s="1"/>
  <c r="M378" i="8"/>
  <c r="N378" i="8"/>
  <c r="H377" i="8"/>
  <c r="L377" i="8" s="1"/>
  <c r="M377" i="8"/>
  <c r="N377" i="8"/>
  <c r="H376" i="8"/>
  <c r="L376" i="8" s="1"/>
  <c r="M376" i="8"/>
  <c r="N376" i="8"/>
  <c r="H375" i="8"/>
  <c r="L375" i="8" s="1"/>
  <c r="M375" i="8"/>
  <c r="N375" i="8"/>
  <c r="H374" i="8"/>
  <c r="L374" i="8" s="1"/>
  <c r="M374" i="8"/>
  <c r="N374" i="8"/>
  <c r="H373" i="8"/>
  <c r="L373" i="8" s="1"/>
  <c r="M373" i="8"/>
  <c r="N373" i="8"/>
  <c r="H372" i="8"/>
  <c r="L372" i="8" s="1"/>
  <c r="M372" i="8"/>
  <c r="N372" i="8"/>
  <c r="H371" i="8"/>
  <c r="L371" i="8" s="1"/>
  <c r="M371" i="8"/>
  <c r="N371" i="8"/>
  <c r="H370" i="8"/>
  <c r="L370" i="8" s="1"/>
  <c r="M370" i="8"/>
  <c r="N370" i="8"/>
  <c r="H369" i="8"/>
  <c r="L369" i="8" s="1"/>
  <c r="M369" i="8"/>
  <c r="N369" i="8"/>
  <c r="H368" i="8"/>
  <c r="L368" i="8" s="1"/>
  <c r="M368" i="8"/>
  <c r="N368" i="8"/>
  <c r="H367" i="8"/>
  <c r="L367" i="8" s="1"/>
  <c r="M367" i="8"/>
  <c r="N367" i="8"/>
  <c r="H366" i="8"/>
  <c r="L366" i="8" s="1"/>
  <c r="M366" i="8"/>
  <c r="N366" i="8"/>
  <c r="H365" i="8"/>
  <c r="L365" i="8" s="1"/>
  <c r="M365" i="8"/>
  <c r="N365" i="8"/>
  <c r="H364" i="8"/>
  <c r="L364" i="8" s="1"/>
  <c r="M364" i="8"/>
  <c r="N364" i="8"/>
  <c r="H363" i="8"/>
  <c r="L363" i="8" s="1"/>
  <c r="M363" i="8"/>
  <c r="N363" i="8"/>
  <c r="H362" i="8"/>
  <c r="L362" i="8" s="1"/>
  <c r="M362" i="8"/>
  <c r="N362" i="8"/>
  <c r="H361" i="8"/>
  <c r="L361" i="8" s="1"/>
  <c r="M361" i="8"/>
  <c r="N361" i="8"/>
  <c r="H360" i="8"/>
  <c r="L360" i="8" s="1"/>
  <c r="M360" i="8"/>
  <c r="N360" i="8"/>
  <c r="H359" i="8"/>
  <c r="L359" i="8" s="1"/>
  <c r="M359" i="8"/>
  <c r="N359" i="8"/>
  <c r="H358" i="8"/>
  <c r="L358" i="8" s="1"/>
  <c r="M358" i="8"/>
  <c r="N358" i="8"/>
  <c r="H357" i="8"/>
  <c r="L357" i="8" s="1"/>
  <c r="M357" i="8"/>
  <c r="N357" i="8"/>
  <c r="H356" i="8"/>
  <c r="L356" i="8" s="1"/>
  <c r="M356" i="8"/>
  <c r="N356" i="8"/>
  <c r="H355" i="8"/>
  <c r="L355" i="8" s="1"/>
  <c r="M355" i="8"/>
  <c r="N355" i="8"/>
  <c r="H354" i="8"/>
  <c r="L354" i="8" s="1"/>
  <c r="M354" i="8"/>
  <c r="N354" i="8"/>
  <c r="H353" i="8"/>
  <c r="L353" i="8" s="1"/>
  <c r="M353" i="8"/>
  <c r="N353" i="8"/>
  <c r="H352" i="8"/>
  <c r="L352" i="8" s="1"/>
  <c r="M352" i="8"/>
  <c r="N352" i="8"/>
  <c r="H351" i="8"/>
  <c r="L351" i="8" s="1"/>
  <c r="M351" i="8"/>
  <c r="N351" i="8"/>
  <c r="H350" i="8"/>
  <c r="L350" i="8" s="1"/>
  <c r="M350" i="8"/>
  <c r="N350" i="8"/>
  <c r="H349" i="8"/>
  <c r="L349" i="8" s="1"/>
  <c r="M349" i="8"/>
  <c r="N349" i="8"/>
  <c r="H348" i="8"/>
  <c r="L348" i="8" s="1"/>
  <c r="M348" i="8"/>
  <c r="N348" i="8"/>
  <c r="H347" i="8"/>
  <c r="L347" i="8" s="1"/>
  <c r="M347" i="8"/>
  <c r="N347" i="8"/>
  <c r="H346" i="8"/>
  <c r="L346" i="8" s="1"/>
  <c r="M346" i="8"/>
  <c r="N346" i="8"/>
  <c r="H345" i="8"/>
  <c r="L345" i="8" s="1"/>
  <c r="M345" i="8"/>
  <c r="N345" i="8"/>
  <c r="H344" i="8"/>
  <c r="L344" i="8" s="1"/>
  <c r="M344" i="8"/>
  <c r="N344" i="8"/>
  <c r="H343" i="8"/>
  <c r="L343" i="8" s="1"/>
  <c r="M343" i="8"/>
  <c r="N343" i="8"/>
  <c r="H342" i="8"/>
  <c r="L342" i="8" s="1"/>
  <c r="M342" i="8"/>
  <c r="N342" i="8"/>
  <c r="H341" i="8"/>
  <c r="L341" i="8" s="1"/>
  <c r="M341" i="8"/>
  <c r="N341" i="8"/>
  <c r="H340" i="8"/>
  <c r="L340" i="8" s="1"/>
  <c r="M340" i="8"/>
  <c r="N340" i="8"/>
  <c r="H339" i="8"/>
  <c r="L339" i="8" s="1"/>
  <c r="M339" i="8"/>
  <c r="N339" i="8"/>
  <c r="H338" i="8"/>
  <c r="L338" i="8" s="1"/>
  <c r="M338" i="8"/>
  <c r="N338" i="8"/>
  <c r="H337" i="8"/>
  <c r="L337" i="8" s="1"/>
  <c r="M337" i="8"/>
  <c r="N337" i="8"/>
  <c r="H336" i="8"/>
  <c r="L336" i="8" s="1"/>
  <c r="M336" i="8"/>
  <c r="N336" i="8"/>
  <c r="H335" i="8"/>
  <c r="L335" i="8" s="1"/>
  <c r="M335" i="8"/>
  <c r="N335" i="8"/>
  <c r="H334" i="8"/>
  <c r="L334" i="8" s="1"/>
  <c r="M334" i="8"/>
  <c r="N334" i="8"/>
  <c r="H333" i="8"/>
  <c r="L333" i="8" s="1"/>
  <c r="M333" i="8"/>
  <c r="N333" i="8"/>
  <c r="H332" i="8"/>
  <c r="L332" i="8" s="1"/>
  <c r="M332" i="8"/>
  <c r="N332" i="8"/>
  <c r="H331" i="8"/>
  <c r="L331" i="8" s="1"/>
  <c r="M331" i="8"/>
  <c r="N331" i="8"/>
  <c r="H330" i="8"/>
  <c r="L330" i="8" s="1"/>
  <c r="M330" i="8"/>
  <c r="N330" i="8"/>
  <c r="H329" i="8"/>
  <c r="L329" i="8" s="1"/>
  <c r="M329" i="8"/>
  <c r="N329" i="8"/>
  <c r="H328" i="8"/>
  <c r="L328" i="8" s="1"/>
  <c r="M328" i="8"/>
  <c r="N328" i="8"/>
  <c r="H327" i="8"/>
  <c r="L327" i="8" s="1"/>
  <c r="M327" i="8"/>
  <c r="N327" i="8"/>
  <c r="H326" i="8"/>
  <c r="L326" i="8" s="1"/>
  <c r="M326" i="8"/>
  <c r="N326" i="8"/>
  <c r="H325" i="8"/>
  <c r="L325" i="8" s="1"/>
  <c r="M325" i="8"/>
  <c r="N325" i="8"/>
  <c r="H324" i="8"/>
  <c r="L324" i="8" s="1"/>
  <c r="M324" i="8"/>
  <c r="N324" i="8"/>
  <c r="H323" i="8"/>
  <c r="L323" i="8" s="1"/>
  <c r="M323" i="8"/>
  <c r="N323" i="8"/>
  <c r="H322" i="8"/>
  <c r="L322" i="8" s="1"/>
  <c r="M322" i="8"/>
  <c r="N322" i="8"/>
  <c r="H321" i="8"/>
  <c r="L321" i="8" s="1"/>
  <c r="M321" i="8"/>
  <c r="N321" i="8"/>
  <c r="H320" i="8"/>
  <c r="L320" i="8" s="1"/>
  <c r="M320" i="8"/>
  <c r="N320" i="8"/>
  <c r="H319" i="8"/>
  <c r="L319" i="8" s="1"/>
  <c r="M319" i="8"/>
  <c r="N319" i="8"/>
  <c r="H318" i="8"/>
  <c r="L318" i="8" s="1"/>
  <c r="M318" i="8"/>
  <c r="N318" i="8"/>
  <c r="H317" i="8"/>
  <c r="L317" i="8" s="1"/>
  <c r="M317" i="8"/>
  <c r="N317" i="8"/>
  <c r="H316" i="8"/>
  <c r="L316" i="8" s="1"/>
  <c r="M316" i="8"/>
  <c r="N316" i="8"/>
  <c r="H315" i="8"/>
  <c r="L315" i="8" s="1"/>
  <c r="M315" i="8"/>
  <c r="N315" i="8"/>
  <c r="H314" i="8"/>
  <c r="L314" i="8" s="1"/>
  <c r="M314" i="8"/>
  <c r="N314" i="8"/>
  <c r="H313" i="8"/>
  <c r="L313" i="8" s="1"/>
  <c r="M313" i="8"/>
  <c r="N313" i="8"/>
  <c r="H312" i="8"/>
  <c r="L312" i="8" s="1"/>
  <c r="M312" i="8"/>
  <c r="N312" i="8"/>
  <c r="H311" i="8"/>
  <c r="L311" i="8" s="1"/>
  <c r="M311" i="8"/>
  <c r="N311" i="8"/>
  <c r="H310" i="8"/>
  <c r="L310" i="8" s="1"/>
  <c r="M310" i="8"/>
  <c r="N310" i="8"/>
  <c r="H309" i="8"/>
  <c r="L309" i="8" s="1"/>
  <c r="M309" i="8"/>
  <c r="N309" i="8"/>
  <c r="H308" i="8"/>
  <c r="L308" i="8" s="1"/>
  <c r="M308" i="8"/>
  <c r="N308" i="8"/>
  <c r="H307" i="8"/>
  <c r="L307" i="8" s="1"/>
  <c r="M307" i="8"/>
  <c r="N307" i="8"/>
  <c r="H306" i="8"/>
  <c r="L306" i="8" s="1"/>
  <c r="M306" i="8"/>
  <c r="N306" i="8"/>
  <c r="H305" i="8"/>
  <c r="L305" i="8" s="1"/>
  <c r="M305" i="8"/>
  <c r="N305" i="8"/>
  <c r="H304" i="8"/>
  <c r="L304" i="8" s="1"/>
  <c r="M304" i="8"/>
  <c r="N304" i="8"/>
  <c r="H303" i="8"/>
  <c r="L303" i="8" s="1"/>
  <c r="M303" i="8"/>
  <c r="N303" i="8"/>
  <c r="H302" i="8"/>
  <c r="L302" i="8" s="1"/>
  <c r="M302" i="8"/>
  <c r="N302" i="8"/>
  <c r="H301" i="8"/>
  <c r="L301" i="8" s="1"/>
  <c r="M301" i="8"/>
  <c r="N301" i="8"/>
  <c r="H300" i="8"/>
  <c r="L300" i="8" s="1"/>
  <c r="M300" i="8"/>
  <c r="N300" i="8"/>
  <c r="H299" i="8"/>
  <c r="L299" i="8" s="1"/>
  <c r="M299" i="8"/>
  <c r="N299" i="8"/>
  <c r="H298" i="8"/>
  <c r="L298" i="8" s="1"/>
  <c r="M298" i="8"/>
  <c r="N298" i="8"/>
  <c r="H297" i="8"/>
  <c r="L297" i="8" s="1"/>
  <c r="M297" i="8"/>
  <c r="N297" i="8"/>
  <c r="H296" i="8"/>
  <c r="L296" i="8" s="1"/>
  <c r="M296" i="8"/>
  <c r="N296" i="8"/>
  <c r="H295" i="8"/>
  <c r="L295" i="8" s="1"/>
  <c r="M295" i="8"/>
  <c r="N295" i="8"/>
  <c r="H294" i="8"/>
  <c r="L294" i="8" s="1"/>
  <c r="M294" i="8"/>
  <c r="N294" i="8"/>
  <c r="H293" i="8"/>
  <c r="L293" i="8" s="1"/>
  <c r="M293" i="8"/>
  <c r="N293" i="8"/>
  <c r="H292" i="8"/>
  <c r="L292" i="8" s="1"/>
  <c r="M292" i="8"/>
  <c r="N292" i="8"/>
  <c r="H291" i="8"/>
  <c r="L291" i="8" s="1"/>
  <c r="M291" i="8"/>
  <c r="N291" i="8"/>
  <c r="H290" i="8"/>
  <c r="L290" i="8" s="1"/>
  <c r="M290" i="8"/>
  <c r="N290" i="8"/>
  <c r="H289" i="8"/>
  <c r="L289" i="8" s="1"/>
  <c r="M289" i="8"/>
  <c r="N289" i="8"/>
  <c r="H288" i="8"/>
  <c r="L288" i="8" s="1"/>
  <c r="M288" i="8"/>
  <c r="N288" i="8"/>
  <c r="H287" i="8"/>
  <c r="L287" i="8" s="1"/>
  <c r="M287" i="8"/>
  <c r="N287" i="8"/>
  <c r="H286" i="8"/>
  <c r="L286" i="8" s="1"/>
  <c r="M286" i="8"/>
  <c r="N286" i="8"/>
  <c r="H285" i="8"/>
  <c r="L285" i="8" s="1"/>
  <c r="M285" i="8"/>
  <c r="N285" i="8"/>
  <c r="H284" i="8"/>
  <c r="L284" i="8" s="1"/>
  <c r="M284" i="8"/>
  <c r="N284" i="8"/>
  <c r="H283" i="8"/>
  <c r="L283" i="8" s="1"/>
  <c r="M283" i="8"/>
  <c r="N283" i="8"/>
  <c r="H282" i="8"/>
  <c r="L282" i="8" s="1"/>
  <c r="M282" i="8"/>
  <c r="N282" i="8"/>
  <c r="H281" i="8"/>
  <c r="L281" i="8" s="1"/>
  <c r="M281" i="8"/>
  <c r="N281" i="8"/>
  <c r="H280" i="8"/>
  <c r="L280" i="8" s="1"/>
  <c r="M280" i="8"/>
  <c r="N280" i="8"/>
  <c r="H279" i="8"/>
  <c r="L279" i="8" s="1"/>
  <c r="M279" i="8"/>
  <c r="N279" i="8"/>
  <c r="H278" i="8"/>
  <c r="L278" i="8" s="1"/>
  <c r="M278" i="8"/>
  <c r="N278" i="8"/>
  <c r="H277" i="8"/>
  <c r="L277" i="8" s="1"/>
  <c r="M277" i="8"/>
  <c r="N277" i="8"/>
  <c r="H276" i="8"/>
  <c r="L276" i="8" s="1"/>
  <c r="M276" i="8"/>
  <c r="N276" i="8"/>
  <c r="H275" i="8"/>
  <c r="L275" i="8" s="1"/>
  <c r="M275" i="8"/>
  <c r="N275" i="8"/>
  <c r="H274" i="8"/>
  <c r="L274" i="8" s="1"/>
  <c r="M274" i="8"/>
  <c r="N274" i="8"/>
  <c r="H273" i="8"/>
  <c r="L273" i="8" s="1"/>
  <c r="M273" i="8"/>
  <c r="N273" i="8"/>
  <c r="H272" i="8"/>
  <c r="L272" i="8" s="1"/>
  <c r="M272" i="8"/>
  <c r="N272" i="8"/>
  <c r="H271" i="8"/>
  <c r="L271" i="8" s="1"/>
  <c r="M271" i="8"/>
  <c r="N271" i="8"/>
  <c r="H270" i="8"/>
  <c r="L270" i="8" s="1"/>
  <c r="M270" i="8"/>
  <c r="N270" i="8"/>
  <c r="H269" i="8"/>
  <c r="L269" i="8" s="1"/>
  <c r="M269" i="8"/>
  <c r="N269" i="8"/>
  <c r="H268" i="8"/>
  <c r="L268" i="8" s="1"/>
  <c r="M268" i="8"/>
  <c r="N268" i="8"/>
  <c r="H267" i="8"/>
  <c r="L267" i="8" s="1"/>
  <c r="M267" i="8"/>
  <c r="N267" i="8"/>
  <c r="H266" i="8"/>
  <c r="L266" i="8" s="1"/>
  <c r="M266" i="8"/>
  <c r="N266" i="8"/>
  <c r="H265" i="8"/>
  <c r="L265" i="8" s="1"/>
  <c r="M265" i="8"/>
  <c r="N265" i="8"/>
  <c r="H264" i="8"/>
  <c r="L264" i="8" s="1"/>
  <c r="M264" i="8"/>
  <c r="N264" i="8"/>
  <c r="H263" i="8"/>
  <c r="L263" i="8" s="1"/>
  <c r="M263" i="8"/>
  <c r="N263" i="8"/>
  <c r="H262" i="8"/>
  <c r="L262" i="8" s="1"/>
  <c r="M262" i="8"/>
  <c r="N262" i="8"/>
  <c r="H261" i="8"/>
  <c r="L261" i="8" s="1"/>
  <c r="M261" i="8"/>
  <c r="N261" i="8"/>
  <c r="H260" i="8"/>
  <c r="L260" i="8" s="1"/>
  <c r="M260" i="8"/>
  <c r="N260" i="8"/>
  <c r="H259" i="8"/>
  <c r="L259" i="8" s="1"/>
  <c r="M259" i="8"/>
  <c r="N259" i="8"/>
  <c r="H258" i="8"/>
  <c r="L258" i="8" s="1"/>
  <c r="M258" i="8"/>
  <c r="N258" i="8"/>
  <c r="H257" i="8"/>
  <c r="L257" i="8" s="1"/>
  <c r="M257" i="8"/>
  <c r="N257" i="8"/>
  <c r="H256" i="8"/>
  <c r="L256" i="8" s="1"/>
  <c r="M256" i="8"/>
  <c r="N256" i="8"/>
  <c r="H255" i="8"/>
  <c r="L255" i="8" s="1"/>
  <c r="M255" i="8"/>
  <c r="N255" i="8"/>
  <c r="H254" i="8"/>
  <c r="L254" i="8" s="1"/>
  <c r="M254" i="8"/>
  <c r="N254" i="8"/>
  <c r="H253" i="8"/>
  <c r="L253" i="8" s="1"/>
  <c r="M253" i="8"/>
  <c r="N253" i="8"/>
  <c r="H252" i="8"/>
  <c r="L252" i="8" s="1"/>
  <c r="M252" i="8"/>
  <c r="N252" i="8"/>
  <c r="H251" i="8"/>
  <c r="L251" i="8" s="1"/>
  <c r="M251" i="8"/>
  <c r="N251" i="8"/>
  <c r="H250" i="8"/>
  <c r="L250" i="8" s="1"/>
  <c r="M250" i="8"/>
  <c r="N250" i="8"/>
  <c r="H249" i="8"/>
  <c r="L249" i="8" s="1"/>
  <c r="M249" i="8"/>
  <c r="N249" i="8"/>
  <c r="H248" i="8"/>
  <c r="L248" i="8" s="1"/>
  <c r="M248" i="8"/>
  <c r="N248" i="8"/>
  <c r="H247" i="8"/>
  <c r="L247" i="8" s="1"/>
  <c r="M247" i="8"/>
  <c r="N247" i="8"/>
  <c r="H246" i="8"/>
  <c r="L246" i="8" s="1"/>
  <c r="M246" i="8"/>
  <c r="N246" i="8"/>
  <c r="H245" i="8"/>
  <c r="L245" i="8" s="1"/>
  <c r="M245" i="8"/>
  <c r="N245" i="8"/>
  <c r="H244" i="8"/>
  <c r="L244" i="8" s="1"/>
  <c r="M244" i="8"/>
  <c r="N244" i="8"/>
  <c r="H243" i="8"/>
  <c r="L243" i="8" s="1"/>
  <c r="M243" i="8"/>
  <c r="N243" i="8"/>
  <c r="H242" i="8"/>
  <c r="L242" i="8" s="1"/>
  <c r="M242" i="8"/>
  <c r="N242" i="8"/>
  <c r="H241" i="8"/>
  <c r="L241" i="8" s="1"/>
  <c r="M241" i="8"/>
  <c r="N241" i="8"/>
  <c r="H240" i="8"/>
  <c r="L240" i="8" s="1"/>
  <c r="M240" i="8"/>
  <c r="N240" i="8"/>
  <c r="H239" i="8"/>
  <c r="L239" i="8" s="1"/>
  <c r="M239" i="8"/>
  <c r="N239" i="8"/>
  <c r="H238" i="8"/>
  <c r="L238" i="8" s="1"/>
  <c r="M238" i="8"/>
  <c r="N238" i="8"/>
  <c r="H237" i="8"/>
  <c r="L237" i="8" s="1"/>
  <c r="M237" i="8"/>
  <c r="N237" i="8"/>
  <c r="H236" i="8"/>
  <c r="L236" i="8" s="1"/>
  <c r="M236" i="8"/>
  <c r="N236" i="8"/>
  <c r="H235" i="8"/>
  <c r="L235" i="8" s="1"/>
  <c r="M235" i="8"/>
  <c r="N235" i="8"/>
  <c r="H234" i="8"/>
  <c r="L234" i="8" s="1"/>
  <c r="M234" i="8"/>
  <c r="N234" i="8"/>
  <c r="H233" i="8"/>
  <c r="L233" i="8" s="1"/>
  <c r="M233" i="8"/>
  <c r="N233" i="8"/>
  <c r="H232" i="8"/>
  <c r="L232" i="8" s="1"/>
  <c r="M232" i="8"/>
  <c r="N232" i="8"/>
  <c r="H231" i="8"/>
  <c r="L231" i="8" s="1"/>
  <c r="M231" i="8"/>
  <c r="N231" i="8"/>
  <c r="H230" i="8"/>
  <c r="L230" i="8" s="1"/>
  <c r="M230" i="8"/>
  <c r="N230" i="8"/>
  <c r="H229" i="8"/>
  <c r="L229" i="8" s="1"/>
  <c r="M229" i="8"/>
  <c r="N229" i="8"/>
  <c r="H228" i="8"/>
  <c r="L228" i="8" s="1"/>
  <c r="M228" i="8"/>
  <c r="N228" i="8"/>
  <c r="H227" i="8"/>
  <c r="L227" i="8" s="1"/>
  <c r="M227" i="8"/>
  <c r="N227" i="8"/>
  <c r="H226" i="8"/>
  <c r="L226" i="8" s="1"/>
  <c r="M226" i="8"/>
  <c r="N226" i="8"/>
  <c r="H225" i="8"/>
  <c r="L225" i="8" s="1"/>
  <c r="M225" i="8"/>
  <c r="N225" i="8"/>
  <c r="H224" i="8"/>
  <c r="L224" i="8" s="1"/>
  <c r="M224" i="8"/>
  <c r="N224" i="8"/>
  <c r="H223" i="8"/>
  <c r="L223" i="8" s="1"/>
  <c r="M223" i="8"/>
  <c r="N223" i="8"/>
  <c r="H222" i="8"/>
  <c r="L222" i="8" s="1"/>
  <c r="M222" i="8"/>
  <c r="N222" i="8"/>
  <c r="H221" i="8"/>
  <c r="L221" i="8" s="1"/>
  <c r="M221" i="8"/>
  <c r="N221" i="8"/>
  <c r="H220" i="8"/>
  <c r="L220" i="8" s="1"/>
  <c r="M220" i="8"/>
  <c r="N220" i="8"/>
  <c r="H219" i="8"/>
  <c r="L219" i="8" s="1"/>
  <c r="M219" i="8"/>
  <c r="N219" i="8"/>
  <c r="H218" i="8"/>
  <c r="L218" i="8" s="1"/>
  <c r="M218" i="8"/>
  <c r="N218" i="8"/>
  <c r="H217" i="8"/>
  <c r="L217" i="8" s="1"/>
  <c r="M217" i="8"/>
  <c r="N217" i="8"/>
  <c r="H216" i="8"/>
  <c r="L216" i="8" s="1"/>
  <c r="M216" i="8"/>
  <c r="N216" i="8"/>
  <c r="H215" i="8"/>
  <c r="L215" i="8" s="1"/>
  <c r="M215" i="8"/>
  <c r="N215" i="8"/>
  <c r="H214" i="8"/>
  <c r="L214" i="8" s="1"/>
  <c r="M214" i="8"/>
  <c r="N214" i="8"/>
  <c r="H213" i="8"/>
  <c r="L213" i="8" s="1"/>
  <c r="M213" i="8"/>
  <c r="N213" i="8"/>
  <c r="H212" i="8"/>
  <c r="L212" i="8" s="1"/>
  <c r="M212" i="8"/>
  <c r="N212" i="8"/>
  <c r="H211" i="8"/>
  <c r="L211" i="8" s="1"/>
  <c r="M211" i="8"/>
  <c r="N211" i="8"/>
  <c r="H210" i="8"/>
  <c r="L210" i="8" s="1"/>
  <c r="M210" i="8"/>
  <c r="N210" i="8"/>
  <c r="H209" i="8"/>
  <c r="L209" i="8" s="1"/>
  <c r="M209" i="8"/>
  <c r="N209" i="8"/>
  <c r="H208" i="8"/>
  <c r="L208" i="8" s="1"/>
  <c r="M208" i="8"/>
  <c r="N208" i="8"/>
  <c r="H207" i="8"/>
  <c r="L207" i="8" s="1"/>
  <c r="M207" i="8"/>
  <c r="N207" i="8"/>
  <c r="H206" i="8"/>
  <c r="L206" i="8" s="1"/>
  <c r="M206" i="8"/>
  <c r="N206" i="8"/>
  <c r="H205" i="8"/>
  <c r="L205" i="8" s="1"/>
  <c r="M205" i="8"/>
  <c r="N205" i="8"/>
  <c r="H204" i="8"/>
  <c r="L204" i="8" s="1"/>
  <c r="M204" i="8"/>
  <c r="N204" i="8"/>
  <c r="H203" i="8"/>
  <c r="L203" i="8" s="1"/>
  <c r="M203" i="8"/>
  <c r="N203" i="8"/>
  <c r="H202" i="8"/>
  <c r="L202" i="8" s="1"/>
  <c r="M202" i="8"/>
  <c r="N202" i="8"/>
  <c r="H201" i="8"/>
  <c r="L201" i="8" s="1"/>
  <c r="M201" i="8"/>
  <c r="N201" i="8"/>
  <c r="H200" i="8"/>
  <c r="L200" i="8" s="1"/>
  <c r="M200" i="8"/>
  <c r="N200" i="8"/>
  <c r="H199" i="8"/>
  <c r="L199" i="8" s="1"/>
  <c r="M199" i="8"/>
  <c r="N199" i="8"/>
  <c r="H198" i="8"/>
  <c r="L198" i="8" s="1"/>
  <c r="M198" i="8"/>
  <c r="N198" i="8"/>
  <c r="H197" i="8"/>
  <c r="L197" i="8" s="1"/>
  <c r="M197" i="8"/>
  <c r="N197" i="8"/>
  <c r="H196" i="8"/>
  <c r="L196" i="8" s="1"/>
  <c r="M196" i="8"/>
  <c r="N196" i="8"/>
  <c r="H195" i="8"/>
  <c r="L195" i="8" s="1"/>
  <c r="M195" i="8"/>
  <c r="N195" i="8"/>
  <c r="H194" i="8"/>
  <c r="L194" i="8" s="1"/>
  <c r="M194" i="8"/>
  <c r="N194" i="8"/>
  <c r="H193" i="8"/>
  <c r="L193" i="8" s="1"/>
  <c r="M193" i="8"/>
  <c r="N193" i="8"/>
  <c r="H192" i="8"/>
  <c r="L192" i="8" s="1"/>
  <c r="M192" i="8"/>
  <c r="N192" i="8"/>
  <c r="H191" i="8"/>
  <c r="L191" i="8" s="1"/>
  <c r="M191" i="8"/>
  <c r="N191" i="8"/>
  <c r="H190" i="8"/>
  <c r="L190" i="8" s="1"/>
  <c r="M190" i="8"/>
  <c r="N190" i="8"/>
  <c r="H189" i="8"/>
  <c r="L189" i="8" s="1"/>
  <c r="M189" i="8"/>
  <c r="N189" i="8"/>
  <c r="H188" i="8"/>
  <c r="L188" i="8" s="1"/>
  <c r="M188" i="8"/>
  <c r="N188" i="8"/>
  <c r="H187" i="8"/>
  <c r="L187" i="8" s="1"/>
  <c r="M187" i="8"/>
  <c r="N187" i="8"/>
  <c r="H186" i="8"/>
  <c r="L186" i="8" s="1"/>
  <c r="M186" i="8"/>
  <c r="N186" i="8"/>
  <c r="H185" i="8"/>
  <c r="L185" i="8" s="1"/>
  <c r="M185" i="8"/>
  <c r="N185" i="8"/>
  <c r="H184" i="8"/>
  <c r="L184" i="8" s="1"/>
  <c r="M184" i="8"/>
  <c r="N184" i="8"/>
  <c r="H183" i="8"/>
  <c r="L183" i="8" s="1"/>
  <c r="M183" i="8"/>
  <c r="N183" i="8"/>
  <c r="H182" i="8"/>
  <c r="L182" i="8" s="1"/>
  <c r="M182" i="8"/>
  <c r="N182" i="8"/>
  <c r="H181" i="8"/>
  <c r="L181" i="8" s="1"/>
  <c r="M181" i="8"/>
  <c r="N181" i="8"/>
  <c r="H180" i="8"/>
  <c r="L180" i="8" s="1"/>
  <c r="M180" i="8"/>
  <c r="N180" i="8"/>
  <c r="H179" i="8"/>
  <c r="L179" i="8" s="1"/>
  <c r="M179" i="8"/>
  <c r="N179" i="8"/>
  <c r="H178" i="8"/>
  <c r="L178" i="8" s="1"/>
  <c r="M178" i="8"/>
  <c r="N178" i="8"/>
  <c r="H177" i="8"/>
  <c r="L177" i="8" s="1"/>
  <c r="M177" i="8"/>
  <c r="N177" i="8"/>
  <c r="H176" i="8"/>
  <c r="L176" i="8" s="1"/>
  <c r="M176" i="8"/>
  <c r="N176" i="8"/>
  <c r="H175" i="8"/>
  <c r="L175" i="8" s="1"/>
  <c r="M175" i="8"/>
  <c r="N175" i="8"/>
  <c r="H174" i="8"/>
  <c r="L174" i="8" s="1"/>
  <c r="M174" i="8"/>
  <c r="N174" i="8"/>
  <c r="H173" i="8"/>
  <c r="L173" i="8" s="1"/>
  <c r="M173" i="8"/>
  <c r="N173" i="8"/>
  <c r="H172" i="8"/>
  <c r="L172" i="8" s="1"/>
  <c r="M172" i="8"/>
  <c r="N172" i="8"/>
  <c r="H171" i="8"/>
  <c r="L171" i="8" s="1"/>
  <c r="M171" i="8"/>
  <c r="N171" i="8"/>
  <c r="H170" i="8"/>
  <c r="L170" i="8" s="1"/>
  <c r="M170" i="8"/>
  <c r="N170" i="8"/>
  <c r="H169" i="8"/>
  <c r="L169" i="8" s="1"/>
  <c r="M169" i="8"/>
  <c r="N169" i="8"/>
  <c r="H168" i="8"/>
  <c r="L168" i="8" s="1"/>
  <c r="M168" i="8"/>
  <c r="N168" i="8"/>
  <c r="H167" i="8"/>
  <c r="L167" i="8" s="1"/>
  <c r="M167" i="8"/>
  <c r="N167" i="8"/>
  <c r="H166" i="8"/>
  <c r="L166" i="8" s="1"/>
  <c r="M166" i="8"/>
  <c r="N166" i="8"/>
  <c r="H165" i="8"/>
  <c r="L165" i="8" s="1"/>
  <c r="M165" i="8"/>
  <c r="N165" i="8"/>
  <c r="H164" i="8"/>
  <c r="L164" i="8" s="1"/>
  <c r="M164" i="8"/>
  <c r="N164" i="8"/>
  <c r="H163" i="8"/>
  <c r="L163" i="8" s="1"/>
  <c r="M163" i="8"/>
  <c r="N163" i="8"/>
  <c r="H162" i="8"/>
  <c r="L162" i="8" s="1"/>
  <c r="M162" i="8"/>
  <c r="N162" i="8"/>
  <c r="H161" i="8"/>
  <c r="L161" i="8" s="1"/>
  <c r="M161" i="8"/>
  <c r="N161" i="8"/>
  <c r="H160" i="8"/>
  <c r="L160" i="8" s="1"/>
  <c r="M160" i="8"/>
  <c r="N160" i="8"/>
  <c r="H159" i="8"/>
  <c r="L159" i="8" s="1"/>
  <c r="M159" i="8"/>
  <c r="N159" i="8"/>
  <c r="H158" i="8"/>
  <c r="L158" i="8" s="1"/>
  <c r="M158" i="8"/>
  <c r="N158" i="8"/>
  <c r="H157" i="8"/>
  <c r="L157" i="8" s="1"/>
  <c r="M157" i="8"/>
  <c r="N157" i="8"/>
  <c r="H156" i="8"/>
  <c r="L156" i="8" s="1"/>
  <c r="M156" i="8"/>
  <c r="N156" i="8"/>
  <c r="H155" i="8"/>
  <c r="L155" i="8" s="1"/>
  <c r="M155" i="8"/>
  <c r="N155" i="8"/>
  <c r="H154" i="8"/>
  <c r="L154" i="8" s="1"/>
  <c r="M154" i="8"/>
  <c r="N154" i="8"/>
  <c r="H153" i="8"/>
  <c r="L153" i="8" s="1"/>
  <c r="M153" i="8"/>
  <c r="N153" i="8"/>
  <c r="H152" i="8"/>
  <c r="L152" i="8" s="1"/>
  <c r="M152" i="8"/>
  <c r="N152" i="8"/>
  <c r="H151" i="8"/>
  <c r="L151" i="8" s="1"/>
  <c r="M151" i="8"/>
  <c r="N151" i="8"/>
  <c r="H150" i="8"/>
  <c r="L150" i="8" s="1"/>
  <c r="M150" i="8"/>
  <c r="N150" i="8"/>
  <c r="H149" i="8"/>
  <c r="L149" i="8" s="1"/>
  <c r="M149" i="8"/>
  <c r="N149" i="8"/>
  <c r="H148" i="8"/>
  <c r="L148" i="8" s="1"/>
  <c r="M148" i="8"/>
  <c r="N148" i="8"/>
  <c r="H147" i="8"/>
  <c r="L147" i="8" s="1"/>
  <c r="M147" i="8"/>
  <c r="N147" i="8"/>
  <c r="H146" i="8"/>
  <c r="L146" i="8" s="1"/>
  <c r="M146" i="8"/>
  <c r="N146" i="8"/>
  <c r="H145" i="8"/>
  <c r="L145" i="8" s="1"/>
  <c r="M145" i="8"/>
  <c r="N145" i="8"/>
  <c r="H144" i="8"/>
  <c r="L144" i="8" s="1"/>
  <c r="M144" i="8"/>
  <c r="N144" i="8"/>
  <c r="H143" i="8"/>
  <c r="L143" i="8" s="1"/>
  <c r="M143" i="8"/>
  <c r="N143" i="8"/>
  <c r="H142" i="8"/>
  <c r="L142" i="8" s="1"/>
  <c r="M142" i="8"/>
  <c r="N142" i="8"/>
  <c r="H141" i="8"/>
  <c r="L141" i="8" s="1"/>
  <c r="M141" i="8"/>
  <c r="N141" i="8"/>
  <c r="H140" i="8"/>
  <c r="L140" i="8" s="1"/>
  <c r="M140" i="8"/>
  <c r="N140" i="8"/>
  <c r="H139" i="8"/>
  <c r="L139" i="8" s="1"/>
  <c r="M139" i="8"/>
  <c r="N139" i="8"/>
  <c r="H138" i="8"/>
  <c r="L138" i="8" s="1"/>
  <c r="M138" i="8"/>
  <c r="N138" i="8"/>
  <c r="H137" i="8"/>
  <c r="L137" i="8" s="1"/>
  <c r="M137" i="8"/>
  <c r="N137" i="8"/>
  <c r="H136" i="8"/>
  <c r="L136" i="8" s="1"/>
  <c r="M136" i="8"/>
  <c r="N136" i="8"/>
  <c r="H135" i="8"/>
  <c r="L135" i="8" s="1"/>
  <c r="M135" i="8"/>
  <c r="N135" i="8"/>
  <c r="H134" i="8"/>
  <c r="L134" i="8" s="1"/>
  <c r="M134" i="8"/>
  <c r="N134" i="8"/>
  <c r="H133" i="8"/>
  <c r="L133" i="8" s="1"/>
  <c r="M133" i="8"/>
  <c r="N133" i="8"/>
  <c r="H132" i="8"/>
  <c r="L132" i="8" s="1"/>
  <c r="M132" i="8"/>
  <c r="N132" i="8"/>
  <c r="H131" i="8"/>
  <c r="L131" i="8" s="1"/>
  <c r="M131" i="8"/>
  <c r="N131" i="8"/>
  <c r="H130" i="8"/>
  <c r="L130" i="8" s="1"/>
  <c r="M130" i="8"/>
  <c r="N130" i="8"/>
  <c r="H129" i="8"/>
  <c r="L129" i="8" s="1"/>
  <c r="M129" i="8"/>
  <c r="N129" i="8"/>
  <c r="H128" i="8"/>
  <c r="L128" i="8" s="1"/>
  <c r="M128" i="8"/>
  <c r="N128" i="8"/>
  <c r="H127" i="8"/>
  <c r="L127" i="8" s="1"/>
  <c r="M127" i="8"/>
  <c r="N127" i="8"/>
  <c r="H126" i="8"/>
  <c r="L126" i="8" s="1"/>
  <c r="M126" i="8"/>
  <c r="N126" i="8"/>
  <c r="H125" i="8"/>
  <c r="L125" i="8" s="1"/>
  <c r="M125" i="8"/>
  <c r="N125" i="8"/>
  <c r="H124" i="8"/>
  <c r="L124" i="8" s="1"/>
  <c r="M124" i="8"/>
  <c r="N124" i="8"/>
  <c r="H123" i="8"/>
  <c r="L123" i="8" s="1"/>
  <c r="M123" i="8"/>
  <c r="N123" i="8"/>
  <c r="H122" i="8"/>
  <c r="L122" i="8" s="1"/>
  <c r="M122" i="8"/>
  <c r="N122" i="8"/>
  <c r="H121" i="8"/>
  <c r="L121" i="8" s="1"/>
  <c r="M121" i="8"/>
  <c r="N121" i="8"/>
  <c r="H120" i="8"/>
  <c r="L120" i="8" s="1"/>
  <c r="M120" i="8"/>
  <c r="N120" i="8"/>
  <c r="H119" i="8"/>
  <c r="L119" i="8" s="1"/>
  <c r="M119" i="8"/>
  <c r="N119" i="8"/>
  <c r="H118" i="8"/>
  <c r="L118" i="8" s="1"/>
  <c r="M118" i="8"/>
  <c r="N118" i="8"/>
  <c r="H117" i="8"/>
  <c r="L117" i="8" s="1"/>
  <c r="M117" i="8"/>
  <c r="N117" i="8"/>
  <c r="H116" i="8"/>
  <c r="L116" i="8" s="1"/>
  <c r="M116" i="8"/>
  <c r="N116" i="8"/>
  <c r="H115" i="8"/>
  <c r="L115" i="8" s="1"/>
  <c r="M115" i="8"/>
  <c r="N115" i="8"/>
  <c r="H114" i="8"/>
  <c r="L114" i="8" s="1"/>
  <c r="M114" i="8"/>
  <c r="N114" i="8"/>
  <c r="H113" i="8"/>
  <c r="L113" i="8" s="1"/>
  <c r="M113" i="8"/>
  <c r="N113" i="8"/>
  <c r="H112" i="8"/>
  <c r="L112" i="8" s="1"/>
  <c r="M112" i="8"/>
  <c r="N112" i="8"/>
  <c r="H111" i="8"/>
  <c r="L111" i="8" s="1"/>
  <c r="M111" i="8"/>
  <c r="N111" i="8"/>
  <c r="H110" i="8"/>
  <c r="L110" i="8" s="1"/>
  <c r="M110" i="8"/>
  <c r="N110" i="8"/>
  <c r="H109" i="8"/>
  <c r="L109" i="8" s="1"/>
  <c r="M109" i="8"/>
  <c r="N109" i="8"/>
  <c r="H108" i="8"/>
  <c r="L108" i="8" s="1"/>
  <c r="M108" i="8"/>
  <c r="N108" i="8"/>
  <c r="H107" i="8"/>
  <c r="L107" i="8" s="1"/>
  <c r="M107" i="8"/>
  <c r="N107" i="8"/>
  <c r="H106" i="8"/>
  <c r="L106" i="8" s="1"/>
  <c r="M106" i="8"/>
  <c r="N106" i="8"/>
  <c r="H105" i="8"/>
  <c r="L105" i="8" s="1"/>
  <c r="M105" i="8"/>
  <c r="N105" i="8"/>
  <c r="H104" i="8"/>
  <c r="L104" i="8" s="1"/>
  <c r="M104" i="8"/>
  <c r="N104" i="8"/>
  <c r="H103" i="8"/>
  <c r="L103" i="8" s="1"/>
  <c r="M103" i="8"/>
  <c r="N103" i="8"/>
  <c r="H102" i="8"/>
  <c r="L102" i="8" s="1"/>
  <c r="M102" i="8"/>
  <c r="N102" i="8"/>
  <c r="H101" i="8"/>
  <c r="L101" i="8" s="1"/>
  <c r="M101" i="8"/>
  <c r="N101" i="8"/>
  <c r="H100" i="8"/>
  <c r="L100" i="8" s="1"/>
  <c r="M100" i="8"/>
  <c r="N100" i="8"/>
  <c r="H99" i="8"/>
  <c r="L99" i="8" s="1"/>
  <c r="M99" i="8"/>
  <c r="N99" i="8"/>
  <c r="H98" i="8"/>
  <c r="L98" i="8" s="1"/>
  <c r="M98" i="8"/>
  <c r="N98" i="8"/>
  <c r="H97" i="8"/>
  <c r="L97" i="8" s="1"/>
  <c r="M97" i="8"/>
  <c r="N97" i="8"/>
  <c r="H96" i="8"/>
  <c r="L96" i="8" s="1"/>
  <c r="M96" i="8"/>
  <c r="N96" i="8"/>
  <c r="H95" i="8"/>
  <c r="L95" i="8" s="1"/>
  <c r="M95" i="8"/>
  <c r="N95" i="8"/>
  <c r="H94" i="8"/>
  <c r="L94" i="8" s="1"/>
  <c r="M94" i="8"/>
  <c r="N94" i="8"/>
  <c r="H93" i="8"/>
  <c r="L93" i="8" s="1"/>
  <c r="M93" i="8"/>
  <c r="N93" i="8"/>
  <c r="H92" i="8"/>
  <c r="L92" i="8" s="1"/>
  <c r="M92" i="8"/>
  <c r="N92" i="8"/>
  <c r="H91" i="8"/>
  <c r="L91" i="8" s="1"/>
  <c r="M91" i="8"/>
  <c r="N91" i="8"/>
  <c r="H90" i="8"/>
  <c r="L90" i="8" s="1"/>
  <c r="M90" i="8"/>
  <c r="N90" i="8"/>
  <c r="H89" i="8"/>
  <c r="L89" i="8" s="1"/>
  <c r="M89" i="8"/>
  <c r="N89" i="8"/>
  <c r="H88" i="8"/>
  <c r="L88" i="8" s="1"/>
  <c r="M88" i="8"/>
  <c r="N88" i="8"/>
  <c r="H87" i="8"/>
  <c r="L87" i="8" s="1"/>
  <c r="M87" i="8"/>
  <c r="N87" i="8"/>
  <c r="H86" i="8"/>
  <c r="L86" i="8" s="1"/>
  <c r="M86" i="8"/>
  <c r="N86" i="8"/>
  <c r="H85" i="8"/>
  <c r="L85" i="8" s="1"/>
  <c r="M85" i="8"/>
  <c r="N85" i="8"/>
  <c r="H84" i="8"/>
  <c r="L84" i="8" s="1"/>
  <c r="M84" i="8"/>
  <c r="N84" i="8"/>
  <c r="H83" i="8"/>
  <c r="L83" i="8" s="1"/>
  <c r="M83" i="8"/>
  <c r="N83" i="8"/>
  <c r="H82" i="8"/>
  <c r="L82" i="8" s="1"/>
  <c r="M82" i="8"/>
  <c r="N82" i="8"/>
  <c r="H81" i="8"/>
  <c r="L81" i="8" s="1"/>
  <c r="M81" i="8"/>
  <c r="N81" i="8"/>
  <c r="H80" i="8"/>
  <c r="L80" i="8" s="1"/>
  <c r="M80" i="8"/>
  <c r="N80" i="8"/>
  <c r="H79" i="8"/>
  <c r="L79" i="8" s="1"/>
  <c r="M79" i="8"/>
  <c r="N79" i="8"/>
  <c r="H78" i="8"/>
  <c r="L78" i="8" s="1"/>
  <c r="M78" i="8"/>
  <c r="N78" i="8"/>
  <c r="H77" i="8"/>
  <c r="L77" i="8" s="1"/>
  <c r="M77" i="8"/>
  <c r="N77" i="8"/>
  <c r="H76" i="8"/>
  <c r="L76" i="8" s="1"/>
  <c r="M76" i="8"/>
  <c r="N76" i="8"/>
  <c r="H75" i="8"/>
  <c r="L75" i="8" s="1"/>
  <c r="M75" i="8"/>
  <c r="N75" i="8"/>
  <c r="H74" i="8"/>
  <c r="L74" i="8" s="1"/>
  <c r="M74" i="8"/>
  <c r="N74" i="8"/>
  <c r="H73" i="8"/>
  <c r="L73" i="8" s="1"/>
  <c r="M73" i="8"/>
  <c r="N73" i="8"/>
  <c r="H72" i="8"/>
  <c r="L72" i="8" s="1"/>
  <c r="M72" i="8"/>
  <c r="N72" i="8"/>
  <c r="M71" i="8"/>
  <c r="N71" i="8"/>
  <c r="H71" i="8"/>
  <c r="L71" i="8" s="1"/>
  <c r="H70" i="8"/>
  <c r="L70" i="8" s="1"/>
  <c r="M70" i="8"/>
  <c r="N70" i="8"/>
  <c r="H69" i="8"/>
  <c r="L69" i="8" s="1"/>
  <c r="M69" i="8"/>
  <c r="N69" i="8"/>
  <c r="H68" i="8"/>
  <c r="L68" i="8" s="1"/>
  <c r="M68" i="8"/>
  <c r="N68" i="8"/>
  <c r="H67" i="8"/>
  <c r="L67" i="8" s="1"/>
  <c r="M67" i="8"/>
  <c r="N67" i="8"/>
  <c r="H66" i="8"/>
  <c r="L66" i="8" s="1"/>
  <c r="M66" i="8"/>
  <c r="N66" i="8"/>
  <c r="H65" i="8"/>
  <c r="L65" i="8" s="1"/>
  <c r="M65" i="8"/>
  <c r="N65" i="8"/>
  <c r="H64" i="8"/>
  <c r="L64" i="8" s="1"/>
  <c r="M64" i="8"/>
  <c r="N64" i="8"/>
  <c r="H63" i="8"/>
  <c r="L63" i="8" s="1"/>
  <c r="M63" i="8"/>
  <c r="N63" i="8"/>
  <c r="H62" i="8"/>
  <c r="L62" i="8" s="1"/>
  <c r="M62" i="8"/>
  <c r="N62" i="8"/>
  <c r="H61" i="8"/>
  <c r="L61" i="8" s="1"/>
  <c r="M61" i="8"/>
  <c r="N61" i="8"/>
  <c r="H60" i="8"/>
  <c r="L60" i="8" s="1"/>
  <c r="M60" i="8"/>
  <c r="N60" i="8"/>
  <c r="H59" i="8"/>
  <c r="L59" i="8" s="1"/>
  <c r="M59" i="8"/>
  <c r="N59" i="8"/>
  <c r="H58" i="8"/>
  <c r="L58" i="8" s="1"/>
  <c r="M58" i="8"/>
  <c r="N58" i="8"/>
  <c r="H57" i="8"/>
  <c r="L57" i="8" s="1"/>
  <c r="M57" i="8"/>
  <c r="N57" i="8"/>
  <c r="H56" i="8"/>
  <c r="L56" i="8" s="1"/>
  <c r="M56" i="8"/>
  <c r="N56" i="8"/>
  <c r="H55" i="8"/>
  <c r="L55" i="8" s="1"/>
  <c r="M55" i="8"/>
  <c r="N55" i="8"/>
  <c r="H54" i="8"/>
  <c r="L54" i="8" s="1"/>
  <c r="M54" i="8"/>
  <c r="N54" i="8"/>
  <c r="H53" i="8"/>
  <c r="L53" i="8" s="1"/>
  <c r="M53" i="8"/>
  <c r="N53" i="8"/>
  <c r="H52" i="8"/>
  <c r="L52" i="8" s="1"/>
  <c r="M52" i="8"/>
  <c r="N52" i="8"/>
  <c r="H51" i="8"/>
  <c r="L51" i="8" s="1"/>
  <c r="M51" i="8"/>
  <c r="N51" i="8"/>
  <c r="H50" i="8"/>
  <c r="L50" i="8" s="1"/>
  <c r="M50" i="8"/>
  <c r="N50" i="8"/>
  <c r="H49" i="8"/>
  <c r="L49" i="8" s="1"/>
  <c r="M49" i="8"/>
  <c r="N49" i="8"/>
  <c r="H48" i="8"/>
  <c r="L48" i="8" s="1"/>
  <c r="M48" i="8"/>
  <c r="N48" i="8"/>
  <c r="H47" i="8"/>
  <c r="L47" i="8" s="1"/>
  <c r="M47" i="8"/>
  <c r="N47" i="8"/>
  <c r="H46" i="8"/>
  <c r="L46" i="8" s="1"/>
  <c r="M46" i="8"/>
  <c r="N46" i="8"/>
  <c r="H45" i="8"/>
  <c r="L45" i="8" s="1"/>
  <c r="M45" i="8"/>
  <c r="N45" i="8"/>
  <c r="H44" i="8"/>
  <c r="L44" i="8" s="1"/>
  <c r="M44" i="8"/>
  <c r="N44" i="8"/>
  <c r="H43" i="8"/>
  <c r="L43" i="8" s="1"/>
  <c r="M43" i="8"/>
  <c r="N43" i="8"/>
  <c r="H42" i="8"/>
  <c r="L42" i="8" s="1"/>
  <c r="M42" i="8"/>
  <c r="N42" i="8"/>
  <c r="H41" i="8"/>
  <c r="L41" i="8" s="1"/>
  <c r="M41" i="8"/>
  <c r="N41" i="8"/>
  <c r="H40" i="8"/>
  <c r="L40" i="8" s="1"/>
  <c r="M40" i="8"/>
  <c r="N40" i="8"/>
  <c r="H39" i="8"/>
  <c r="L39" i="8" s="1"/>
  <c r="M39" i="8"/>
  <c r="N39" i="8"/>
  <c r="H38" i="8"/>
  <c r="L38" i="8" s="1"/>
  <c r="M38" i="8"/>
  <c r="N38" i="8"/>
  <c r="H37" i="8"/>
  <c r="L37" i="8" s="1"/>
  <c r="M37" i="8"/>
  <c r="N37" i="8"/>
  <c r="H36" i="8"/>
  <c r="L36" i="8" s="1"/>
  <c r="M36" i="8"/>
  <c r="N36" i="8"/>
  <c r="H35" i="8"/>
  <c r="L35" i="8" s="1"/>
  <c r="M35" i="8"/>
  <c r="N35" i="8"/>
  <c r="H34" i="8"/>
  <c r="L34" i="8" s="1"/>
  <c r="M34" i="8"/>
  <c r="N34" i="8"/>
  <c r="H33" i="8"/>
  <c r="L33" i="8" s="1"/>
  <c r="M33" i="8"/>
  <c r="N33" i="8"/>
  <c r="H32" i="8"/>
  <c r="L32" i="8" s="1"/>
  <c r="M32" i="8"/>
  <c r="N32" i="8"/>
  <c r="H31" i="8"/>
  <c r="L31" i="8" s="1"/>
  <c r="M31" i="8"/>
  <c r="N31" i="8"/>
  <c r="H30" i="8"/>
  <c r="L30" i="8" s="1"/>
  <c r="M30" i="8"/>
  <c r="N30" i="8"/>
  <c r="H29" i="8"/>
  <c r="L29" i="8" s="1"/>
  <c r="M29" i="8"/>
  <c r="N29" i="8"/>
  <c r="H28" i="8"/>
  <c r="L28" i="8" s="1"/>
  <c r="M28" i="8"/>
  <c r="N28" i="8"/>
  <c r="H27" i="8"/>
  <c r="L27" i="8" s="1"/>
  <c r="M27" i="8"/>
  <c r="N27" i="8"/>
  <c r="H26" i="8"/>
  <c r="L26" i="8" s="1"/>
  <c r="M26" i="8"/>
  <c r="N26" i="8"/>
  <c r="H25" i="8"/>
  <c r="L25" i="8" s="1"/>
  <c r="M25" i="8"/>
  <c r="N25" i="8"/>
  <c r="H24" i="8"/>
  <c r="L24" i="8" s="1"/>
  <c r="M24" i="8"/>
  <c r="N24" i="8"/>
  <c r="H23" i="8"/>
  <c r="L23" i="8" s="1"/>
  <c r="M23" i="8"/>
  <c r="N23" i="8"/>
  <c r="H22" i="8"/>
  <c r="L22" i="8" s="1"/>
  <c r="M22" i="8"/>
  <c r="N22" i="8"/>
  <c r="H21" i="8"/>
  <c r="L21" i="8" s="1"/>
  <c r="M21" i="8"/>
  <c r="N21" i="8"/>
  <c r="H20" i="8"/>
  <c r="L20" i="8" s="1"/>
  <c r="M20" i="8"/>
  <c r="N20" i="8"/>
  <c r="H19" i="8"/>
  <c r="L19" i="8" s="1"/>
  <c r="M19" i="8"/>
  <c r="N19" i="8"/>
  <c r="H18" i="8"/>
  <c r="L18" i="8" s="1"/>
  <c r="M18" i="8"/>
  <c r="N18" i="8"/>
  <c r="H17" i="8"/>
  <c r="L17" i="8" s="1"/>
  <c r="M17" i="8"/>
  <c r="N17" i="8"/>
  <c r="H16" i="8"/>
  <c r="L16" i="8" s="1"/>
  <c r="M16" i="8"/>
  <c r="N16" i="8"/>
  <c r="H15" i="8"/>
  <c r="L15" i="8" s="1"/>
  <c r="M15" i="8"/>
  <c r="N15" i="8"/>
  <c r="H14" i="8"/>
  <c r="L14" i="8" s="1"/>
  <c r="M14" i="8"/>
  <c r="N14" i="8"/>
  <c r="H13" i="8"/>
  <c r="L13" i="8" s="1"/>
  <c r="M13" i="8"/>
  <c r="N13" i="8"/>
  <c r="H12" i="8"/>
  <c r="L12" i="8" s="1"/>
  <c r="M12" i="8"/>
  <c r="N12" i="8"/>
  <c r="H11" i="8"/>
  <c r="L11" i="8" s="1"/>
  <c r="M11" i="8"/>
  <c r="N11" i="8"/>
  <c r="H10" i="8"/>
  <c r="L10" i="8" s="1"/>
  <c r="M10" i="8"/>
  <c r="N10" i="8"/>
  <c r="H9" i="8"/>
  <c r="L9" i="8" s="1"/>
  <c r="M9" i="8"/>
  <c r="N9" i="8"/>
  <c r="H8" i="8"/>
  <c r="L8" i="8" s="1"/>
  <c r="M8" i="8"/>
  <c r="N8" i="8"/>
  <c r="H7" i="8"/>
  <c r="L7" i="8" s="1"/>
  <c r="M7" i="8"/>
  <c r="N7" i="8"/>
  <c r="H6" i="8"/>
  <c r="L6" i="8" s="1"/>
  <c r="M6" i="8"/>
  <c r="N6" i="8"/>
  <c r="H5" i="8"/>
  <c r="L5" i="8" s="1"/>
  <c r="M5" i="8"/>
  <c r="N5" i="8"/>
  <c r="H4" i="8"/>
  <c r="L4" i="8" s="1"/>
  <c r="M4" i="8"/>
  <c r="N4" i="8"/>
  <c r="H3" i="8"/>
  <c r="L3" i="8" s="1"/>
  <c r="M3" i="8"/>
  <c r="N3" i="8"/>
  <c r="H2" i="8"/>
  <c r="L2" i="8" s="1"/>
  <c r="M2" i="8"/>
  <c r="S4" i="8" s="1"/>
  <c r="N2" i="8"/>
  <c r="T4" i="8" s="1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D332" i="7"/>
  <c r="G332" i="7" s="1"/>
  <c r="H332" i="7" s="1"/>
  <c r="D333" i="7"/>
  <c r="D334" i="7"/>
  <c r="D335" i="7"/>
  <c r="G335" i="7" s="1"/>
  <c r="D336" i="7"/>
  <c r="G336" i="7" s="1"/>
  <c r="H336" i="7" s="1"/>
  <c r="D337" i="7"/>
  <c r="D338" i="7"/>
  <c r="D339" i="7"/>
  <c r="G339" i="7" s="1"/>
  <c r="D340" i="7"/>
  <c r="G340" i="7" s="1"/>
  <c r="H340" i="7" s="1"/>
  <c r="D341" i="7"/>
  <c r="D342" i="7"/>
  <c r="D343" i="7"/>
  <c r="G343" i="7" s="1"/>
  <c r="D344" i="7"/>
  <c r="G344" i="7" s="1"/>
  <c r="H344" i="7" s="1"/>
  <c r="D345" i="7"/>
  <c r="D346" i="7"/>
  <c r="D347" i="7"/>
  <c r="G347" i="7" s="1"/>
  <c r="D348" i="7"/>
  <c r="G348" i="7" s="1"/>
  <c r="H348" i="7" s="1"/>
  <c r="D349" i="7"/>
  <c r="D350" i="7"/>
  <c r="D351" i="7"/>
  <c r="G351" i="7" s="1"/>
  <c r="D352" i="7"/>
  <c r="G352" i="7" s="1"/>
  <c r="H352" i="7" s="1"/>
  <c r="D353" i="7"/>
  <c r="D354" i="7"/>
  <c r="D355" i="7"/>
  <c r="G355" i="7" s="1"/>
  <c r="D356" i="7"/>
  <c r="G356" i="7" s="1"/>
  <c r="H356" i="7" s="1"/>
  <c r="D357" i="7"/>
  <c r="D358" i="7"/>
  <c r="D359" i="7"/>
  <c r="G359" i="7" s="1"/>
  <c r="D360" i="7"/>
  <c r="G360" i="7" s="1"/>
  <c r="H360" i="7" s="1"/>
  <c r="D361" i="7"/>
  <c r="D362" i="7"/>
  <c r="D363" i="7"/>
  <c r="G363" i="7" s="1"/>
  <c r="D364" i="7"/>
  <c r="G364" i="7" s="1"/>
  <c r="H364" i="7" s="1"/>
  <c r="D365" i="7"/>
  <c r="D366" i="7"/>
  <c r="D367" i="7"/>
  <c r="G367" i="7" s="1"/>
  <c r="D368" i="7"/>
  <c r="G368" i="7" s="1"/>
  <c r="H368" i="7" s="1"/>
  <c r="D369" i="7"/>
  <c r="D370" i="7"/>
  <c r="D371" i="7"/>
  <c r="G371" i="7" s="1"/>
  <c r="D372" i="7"/>
  <c r="G372" i="7" s="1"/>
  <c r="H372" i="7" s="1"/>
  <c r="D373" i="7"/>
  <c r="D374" i="7"/>
  <c r="D375" i="7"/>
  <c r="G375" i="7" s="1"/>
  <c r="D376" i="7"/>
  <c r="G376" i="7" s="1"/>
  <c r="H376" i="7" s="1"/>
  <c r="D377" i="7"/>
  <c r="D378" i="7"/>
  <c r="D379" i="7"/>
  <c r="G379" i="7" s="1"/>
  <c r="D380" i="7"/>
  <c r="G380" i="7" s="1"/>
  <c r="H380" i="7" s="1"/>
  <c r="D381" i="7"/>
  <c r="D382" i="7"/>
  <c r="D383" i="7"/>
  <c r="G383" i="7" s="1"/>
  <c r="D384" i="7"/>
  <c r="G384" i="7" s="1"/>
  <c r="H384" i="7" s="1"/>
  <c r="D385" i="7"/>
  <c r="D386" i="7"/>
  <c r="D387" i="7"/>
  <c r="G387" i="7" s="1"/>
  <c r="D388" i="7"/>
  <c r="G388" i="7" s="1"/>
  <c r="H388" i="7" s="1"/>
  <c r="D389" i="7"/>
  <c r="D390" i="7"/>
  <c r="D391" i="7"/>
  <c r="G391" i="7" s="1"/>
  <c r="D392" i="7"/>
  <c r="G392" i="7" s="1"/>
  <c r="H392" i="7" s="1"/>
  <c r="D393" i="7"/>
  <c r="D394" i="7"/>
  <c r="D395" i="7"/>
  <c r="G395" i="7" s="1"/>
  <c r="D396" i="7"/>
  <c r="G396" i="7" s="1"/>
  <c r="H396" i="7" s="1"/>
  <c r="D397" i="7"/>
  <c r="D398" i="7"/>
  <c r="D399" i="7"/>
  <c r="G399" i="7" s="1"/>
  <c r="D400" i="7"/>
  <c r="G400" i="7" s="1"/>
  <c r="H400" i="7" s="1"/>
  <c r="D401" i="7"/>
  <c r="D402" i="7"/>
  <c r="D403" i="7"/>
  <c r="G403" i="7" s="1"/>
  <c r="D404" i="7"/>
  <c r="G404" i="7" s="1"/>
  <c r="H404" i="7" s="1"/>
  <c r="D405" i="7"/>
  <c r="D406" i="7"/>
  <c r="D407" i="7"/>
  <c r="G407" i="7" s="1"/>
  <c r="D408" i="7"/>
  <c r="G408" i="7" s="1"/>
  <c r="H408" i="7" s="1"/>
  <c r="D409" i="7"/>
  <c r="D410" i="7"/>
  <c r="D411" i="7"/>
  <c r="G411" i="7" s="1"/>
  <c r="D412" i="7"/>
  <c r="G412" i="7" s="1"/>
  <c r="H412" i="7" s="1"/>
  <c r="D413" i="7"/>
  <c r="D414" i="7"/>
  <c r="D415" i="7"/>
  <c r="G415" i="7" s="1"/>
  <c r="D416" i="7"/>
  <c r="G416" i="7" s="1"/>
  <c r="H416" i="7" s="1"/>
  <c r="D417" i="7"/>
  <c r="D418" i="7"/>
  <c r="D419" i="7"/>
  <c r="G419" i="7" s="1"/>
  <c r="D420" i="7"/>
  <c r="G420" i="7" s="1"/>
  <c r="H420" i="7" s="1"/>
  <c r="D421" i="7"/>
  <c r="D422" i="7"/>
  <c r="D423" i="7"/>
  <c r="G423" i="7" s="1"/>
  <c r="D424" i="7"/>
  <c r="G424" i="7" s="1"/>
  <c r="H424" i="7" s="1"/>
  <c r="D425" i="7"/>
  <c r="D426" i="7"/>
  <c r="D427" i="7"/>
  <c r="G427" i="7" s="1"/>
  <c r="D428" i="7"/>
  <c r="G428" i="7" s="1"/>
  <c r="H428" i="7" s="1"/>
  <c r="D429" i="7"/>
  <c r="D430" i="7"/>
  <c r="D431" i="7"/>
  <c r="G431" i="7" s="1"/>
  <c r="D432" i="7"/>
  <c r="G432" i="7" s="1"/>
  <c r="H432" i="7" s="1"/>
  <c r="D433" i="7"/>
  <c r="D434" i="7"/>
  <c r="D435" i="7"/>
  <c r="G435" i="7" s="1"/>
  <c r="D327" i="7"/>
  <c r="G327" i="7" s="1"/>
  <c r="D328" i="7"/>
  <c r="D329" i="7"/>
  <c r="D330" i="7"/>
  <c r="G330" i="7" s="1"/>
  <c r="D331" i="7"/>
  <c r="G331" i="7" s="1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D240" i="7"/>
  <c r="G240" i="7" s="1"/>
  <c r="H240" i="7" s="1"/>
  <c r="D241" i="7"/>
  <c r="G241" i="7" s="1"/>
  <c r="H241" i="7" s="1"/>
  <c r="D242" i="7"/>
  <c r="D243" i="7"/>
  <c r="G243" i="7" s="1"/>
  <c r="H243" i="7" s="1"/>
  <c r="D244" i="7"/>
  <c r="G244" i="7" s="1"/>
  <c r="H244" i="7" s="1"/>
  <c r="D245" i="7"/>
  <c r="G245" i="7" s="1"/>
  <c r="H245" i="7" s="1"/>
  <c r="D246" i="7"/>
  <c r="G246" i="7" s="1"/>
  <c r="H246" i="7" s="1"/>
  <c r="D247" i="7"/>
  <c r="G247" i="7" s="1"/>
  <c r="H247" i="7" s="1"/>
  <c r="D248" i="7"/>
  <c r="G248" i="7" s="1"/>
  <c r="H248" i="7" s="1"/>
  <c r="D249" i="7"/>
  <c r="G249" i="7" s="1"/>
  <c r="H249" i="7" s="1"/>
  <c r="D250" i="7"/>
  <c r="G250" i="7" s="1"/>
  <c r="H250" i="7" s="1"/>
  <c r="D251" i="7"/>
  <c r="G251" i="7" s="1"/>
  <c r="H251" i="7" s="1"/>
  <c r="D252" i="7"/>
  <c r="G252" i="7" s="1"/>
  <c r="H252" i="7" s="1"/>
  <c r="D253" i="7"/>
  <c r="G253" i="7" s="1"/>
  <c r="H253" i="7" s="1"/>
  <c r="D254" i="7"/>
  <c r="D255" i="7"/>
  <c r="G255" i="7" s="1"/>
  <c r="H255" i="7" s="1"/>
  <c r="D256" i="7"/>
  <c r="G256" i="7" s="1"/>
  <c r="H256" i="7" s="1"/>
  <c r="D257" i="7"/>
  <c r="G257" i="7" s="1"/>
  <c r="H257" i="7" s="1"/>
  <c r="D258" i="7"/>
  <c r="D259" i="7"/>
  <c r="G259" i="7" s="1"/>
  <c r="H259" i="7" s="1"/>
  <c r="D260" i="7"/>
  <c r="G260" i="7" s="1"/>
  <c r="H260" i="7" s="1"/>
  <c r="D261" i="7"/>
  <c r="G261" i="7" s="1"/>
  <c r="H261" i="7" s="1"/>
  <c r="D262" i="7"/>
  <c r="G262" i="7" s="1"/>
  <c r="H262" i="7" s="1"/>
  <c r="D263" i="7"/>
  <c r="G263" i="7" s="1"/>
  <c r="D264" i="7"/>
  <c r="G264" i="7" s="1"/>
  <c r="H264" i="7" s="1"/>
  <c r="D265" i="7"/>
  <c r="G265" i="7" s="1"/>
  <c r="H265" i="7" s="1"/>
  <c r="D266" i="7"/>
  <c r="G266" i="7" s="1"/>
  <c r="H266" i="7" s="1"/>
  <c r="D267" i="7"/>
  <c r="G267" i="7" s="1"/>
  <c r="H267" i="7" s="1"/>
  <c r="D268" i="7"/>
  <c r="G268" i="7" s="1"/>
  <c r="H268" i="7" s="1"/>
  <c r="D269" i="7"/>
  <c r="G269" i="7" s="1"/>
  <c r="H269" i="7" s="1"/>
  <c r="D270" i="7"/>
  <c r="D271" i="7"/>
  <c r="G271" i="7" s="1"/>
  <c r="H271" i="7" s="1"/>
  <c r="D272" i="7"/>
  <c r="G272" i="7" s="1"/>
  <c r="H272" i="7" s="1"/>
  <c r="D273" i="7"/>
  <c r="G273" i="7" s="1"/>
  <c r="H273" i="7" s="1"/>
  <c r="D274" i="7"/>
  <c r="G274" i="7" s="1"/>
  <c r="H274" i="7" s="1"/>
  <c r="D275" i="7"/>
  <c r="G275" i="7" s="1"/>
  <c r="H275" i="7" s="1"/>
  <c r="D276" i="7"/>
  <c r="G276" i="7" s="1"/>
  <c r="H276" i="7" s="1"/>
  <c r="D277" i="7"/>
  <c r="G277" i="7" s="1"/>
  <c r="H277" i="7" s="1"/>
  <c r="D278" i="7"/>
  <c r="G278" i="7" s="1"/>
  <c r="H278" i="7" s="1"/>
  <c r="D279" i="7"/>
  <c r="G279" i="7" s="1"/>
  <c r="D280" i="7"/>
  <c r="G280" i="7" s="1"/>
  <c r="H280" i="7" s="1"/>
  <c r="D281" i="7"/>
  <c r="G281" i="7" s="1"/>
  <c r="H281" i="7" s="1"/>
  <c r="D282" i="7"/>
  <c r="G282" i="7" s="1"/>
  <c r="H282" i="7" s="1"/>
  <c r="D283" i="7"/>
  <c r="G283" i="7" s="1"/>
  <c r="H283" i="7" s="1"/>
  <c r="D284" i="7"/>
  <c r="G284" i="7" s="1"/>
  <c r="H284" i="7" s="1"/>
  <c r="D285" i="7"/>
  <c r="G285" i="7" s="1"/>
  <c r="H285" i="7" s="1"/>
  <c r="D286" i="7"/>
  <c r="D287" i="7"/>
  <c r="G287" i="7" s="1"/>
  <c r="D288" i="7"/>
  <c r="G288" i="7" s="1"/>
  <c r="H288" i="7" s="1"/>
  <c r="D289" i="7"/>
  <c r="G289" i="7" s="1"/>
  <c r="H289" i="7" s="1"/>
  <c r="D290" i="7"/>
  <c r="G290" i="7" s="1"/>
  <c r="H290" i="7" s="1"/>
  <c r="D291" i="7"/>
  <c r="G291" i="7" s="1"/>
  <c r="H291" i="7" s="1"/>
  <c r="D292" i="7"/>
  <c r="G292" i="7" s="1"/>
  <c r="H292" i="7" s="1"/>
  <c r="D293" i="7"/>
  <c r="G293" i="7" s="1"/>
  <c r="H293" i="7" s="1"/>
  <c r="D294" i="7"/>
  <c r="G294" i="7" s="1"/>
  <c r="H294" i="7" s="1"/>
  <c r="D295" i="7"/>
  <c r="G295" i="7" s="1"/>
  <c r="H295" i="7" s="1"/>
  <c r="D296" i="7"/>
  <c r="G296" i="7" s="1"/>
  <c r="H296" i="7" s="1"/>
  <c r="D297" i="7"/>
  <c r="G297" i="7" s="1"/>
  <c r="H297" i="7" s="1"/>
  <c r="D298" i="7"/>
  <c r="G298" i="7" s="1"/>
  <c r="H298" i="7" s="1"/>
  <c r="D299" i="7"/>
  <c r="G299" i="7" s="1"/>
  <c r="H299" i="7" s="1"/>
  <c r="D300" i="7"/>
  <c r="G300" i="7" s="1"/>
  <c r="H300" i="7" s="1"/>
  <c r="D301" i="7"/>
  <c r="G301" i="7" s="1"/>
  <c r="H301" i="7" s="1"/>
  <c r="D302" i="7"/>
  <c r="D303" i="7"/>
  <c r="G303" i="7" s="1"/>
  <c r="D304" i="7"/>
  <c r="G304" i="7" s="1"/>
  <c r="H304" i="7" s="1"/>
  <c r="D305" i="7"/>
  <c r="G305" i="7" s="1"/>
  <c r="H305" i="7" s="1"/>
  <c r="D306" i="7"/>
  <c r="D307" i="7"/>
  <c r="G307" i="7" s="1"/>
  <c r="H307" i="7" s="1"/>
  <c r="D308" i="7"/>
  <c r="G308" i="7" s="1"/>
  <c r="H308" i="7" s="1"/>
  <c r="D309" i="7"/>
  <c r="G309" i="7" s="1"/>
  <c r="H309" i="7" s="1"/>
  <c r="D310" i="7"/>
  <c r="G310" i="7" s="1"/>
  <c r="H310" i="7" s="1"/>
  <c r="D311" i="7"/>
  <c r="G311" i="7" s="1"/>
  <c r="H311" i="7" s="1"/>
  <c r="D312" i="7"/>
  <c r="G312" i="7" s="1"/>
  <c r="H312" i="7" s="1"/>
  <c r="D313" i="7"/>
  <c r="G313" i="7" s="1"/>
  <c r="H313" i="7" s="1"/>
  <c r="D314" i="7"/>
  <c r="G314" i="7" s="1"/>
  <c r="H314" i="7" s="1"/>
  <c r="D315" i="7"/>
  <c r="G315" i="7" s="1"/>
  <c r="H315" i="7" s="1"/>
  <c r="D316" i="7"/>
  <c r="G316" i="7" s="1"/>
  <c r="H316" i="7" s="1"/>
  <c r="D317" i="7"/>
  <c r="G317" i="7" s="1"/>
  <c r="H317" i="7" s="1"/>
  <c r="D318" i="7"/>
  <c r="D319" i="7"/>
  <c r="G319" i="7" s="1"/>
  <c r="H319" i="7" s="1"/>
  <c r="D320" i="7"/>
  <c r="G320" i="7" s="1"/>
  <c r="H320" i="7" s="1"/>
  <c r="D321" i="7"/>
  <c r="G321" i="7" s="1"/>
  <c r="H321" i="7" s="1"/>
  <c r="D322" i="7"/>
  <c r="G322" i="7" s="1"/>
  <c r="H322" i="7" s="1"/>
  <c r="D323" i="7"/>
  <c r="G323" i="7" s="1"/>
  <c r="H323" i="7" s="1"/>
  <c r="D324" i="7"/>
  <c r="G324" i="7" s="1"/>
  <c r="H324" i="7" s="1"/>
  <c r="D325" i="7"/>
  <c r="G325" i="7" s="1"/>
  <c r="H325" i="7" s="1"/>
  <c r="D326" i="7"/>
  <c r="G326" i="7" s="1"/>
  <c r="H326" i="7" s="1"/>
  <c r="D239" i="7"/>
  <c r="G239" i="7" s="1"/>
  <c r="D238" i="7"/>
  <c r="G238" i="7" s="1"/>
  <c r="M238" i="7" s="1"/>
  <c r="D114" i="7"/>
  <c r="G114" i="7" s="1"/>
  <c r="D115" i="7"/>
  <c r="G115" i="7" s="1"/>
  <c r="D116" i="7"/>
  <c r="G116" i="7" s="1"/>
  <c r="D117" i="7"/>
  <c r="G117" i="7" s="1"/>
  <c r="D118" i="7"/>
  <c r="G118" i="7" s="1"/>
  <c r="D119" i="7"/>
  <c r="G119" i="7" s="1"/>
  <c r="M119" i="7" s="1"/>
  <c r="D120" i="7"/>
  <c r="D121" i="7"/>
  <c r="G121" i="7" s="1"/>
  <c r="D122" i="7"/>
  <c r="G122" i="7" s="1"/>
  <c r="D123" i="7"/>
  <c r="G123" i="7" s="1"/>
  <c r="H123" i="7" s="1"/>
  <c r="D124" i="7"/>
  <c r="D125" i="7"/>
  <c r="G125" i="7" s="1"/>
  <c r="D126" i="7"/>
  <c r="G126" i="7" s="1"/>
  <c r="D127" i="7"/>
  <c r="G127" i="7" s="1"/>
  <c r="D128" i="7"/>
  <c r="D129" i="7"/>
  <c r="G129" i="7" s="1"/>
  <c r="D130" i="7"/>
  <c r="G130" i="7" s="1"/>
  <c r="D131" i="7"/>
  <c r="G131" i="7" s="1"/>
  <c r="D132" i="7"/>
  <c r="G132" i="7" s="1"/>
  <c r="D133" i="7"/>
  <c r="G133" i="7" s="1"/>
  <c r="D134" i="7"/>
  <c r="G134" i="7" s="1"/>
  <c r="D135" i="7"/>
  <c r="G135" i="7" s="1"/>
  <c r="M135" i="7" s="1"/>
  <c r="D136" i="7"/>
  <c r="D137" i="7"/>
  <c r="G137" i="7" s="1"/>
  <c r="D138" i="7"/>
  <c r="G138" i="7" s="1"/>
  <c r="D139" i="7"/>
  <c r="G139" i="7" s="1"/>
  <c r="D140" i="7"/>
  <c r="G140" i="7" s="1"/>
  <c r="D141" i="7"/>
  <c r="G141" i="7" s="1"/>
  <c r="D142" i="7"/>
  <c r="G142" i="7" s="1"/>
  <c r="D143" i="7"/>
  <c r="G143" i="7" s="1"/>
  <c r="D144" i="7"/>
  <c r="D145" i="7"/>
  <c r="G145" i="7" s="1"/>
  <c r="D146" i="7"/>
  <c r="G146" i="7" s="1"/>
  <c r="D147" i="7"/>
  <c r="G147" i="7" s="1"/>
  <c r="D148" i="7"/>
  <c r="D149" i="7"/>
  <c r="G149" i="7" s="1"/>
  <c r="D150" i="7"/>
  <c r="G150" i="7" s="1"/>
  <c r="D151" i="7"/>
  <c r="G151" i="7" s="1"/>
  <c r="M151" i="7" s="1"/>
  <c r="D152" i="7"/>
  <c r="D153" i="7"/>
  <c r="G153" i="7" s="1"/>
  <c r="D154" i="7"/>
  <c r="G154" i="7" s="1"/>
  <c r="D155" i="7"/>
  <c r="G155" i="7" s="1"/>
  <c r="H155" i="7" s="1"/>
  <c r="D156" i="7"/>
  <c r="G156" i="7" s="1"/>
  <c r="D157" i="7"/>
  <c r="G157" i="7" s="1"/>
  <c r="D158" i="7"/>
  <c r="G158" i="7" s="1"/>
  <c r="D159" i="7"/>
  <c r="G159" i="7" s="1"/>
  <c r="H159" i="7" s="1"/>
  <c r="D160" i="7"/>
  <c r="G160" i="7" s="1"/>
  <c r="D161" i="7"/>
  <c r="G161" i="7" s="1"/>
  <c r="D162" i="7"/>
  <c r="G162" i="7" s="1"/>
  <c r="D163" i="7"/>
  <c r="G163" i="7" s="1"/>
  <c r="H163" i="7" s="1"/>
  <c r="D164" i="7"/>
  <c r="D165" i="7"/>
  <c r="G165" i="7" s="1"/>
  <c r="D166" i="7"/>
  <c r="G166" i="7" s="1"/>
  <c r="D167" i="7"/>
  <c r="G167" i="7" s="1"/>
  <c r="M167" i="7" s="1"/>
  <c r="D168" i="7"/>
  <c r="D169" i="7"/>
  <c r="G169" i="7" s="1"/>
  <c r="D170" i="7"/>
  <c r="G170" i="7" s="1"/>
  <c r="D171" i="7"/>
  <c r="G171" i="7" s="1"/>
  <c r="H171" i="7" s="1"/>
  <c r="D172" i="7"/>
  <c r="D173" i="7"/>
  <c r="G173" i="7" s="1"/>
  <c r="D174" i="7"/>
  <c r="G174" i="7" s="1"/>
  <c r="D175" i="7"/>
  <c r="G175" i="7" s="1"/>
  <c r="H175" i="7" s="1"/>
  <c r="D176" i="7"/>
  <c r="G176" i="7" s="1"/>
  <c r="D177" i="7"/>
  <c r="G177" i="7" s="1"/>
  <c r="D178" i="7"/>
  <c r="G178" i="7" s="1"/>
  <c r="D179" i="7"/>
  <c r="G179" i="7" s="1"/>
  <c r="H179" i="7" s="1"/>
  <c r="D180" i="7"/>
  <c r="G180" i="7" s="1"/>
  <c r="D181" i="7"/>
  <c r="G181" i="7" s="1"/>
  <c r="D182" i="7"/>
  <c r="G182" i="7" s="1"/>
  <c r="D183" i="7"/>
  <c r="G183" i="7" s="1"/>
  <c r="M183" i="7" s="1"/>
  <c r="D184" i="7"/>
  <c r="D185" i="7"/>
  <c r="G185" i="7" s="1"/>
  <c r="D186" i="7"/>
  <c r="G186" i="7" s="1"/>
  <c r="D187" i="7"/>
  <c r="G187" i="7" s="1"/>
  <c r="H187" i="7" s="1"/>
  <c r="D188" i="7"/>
  <c r="D189" i="7"/>
  <c r="G189" i="7" s="1"/>
  <c r="D190" i="7"/>
  <c r="G190" i="7" s="1"/>
  <c r="D191" i="7"/>
  <c r="G191" i="7" s="1"/>
  <c r="H191" i="7" s="1"/>
  <c r="D192" i="7"/>
  <c r="D193" i="7"/>
  <c r="G193" i="7" s="1"/>
  <c r="D194" i="7"/>
  <c r="G194" i="7" s="1"/>
  <c r="D195" i="7"/>
  <c r="G195" i="7" s="1"/>
  <c r="H195" i="7" s="1"/>
  <c r="D196" i="7"/>
  <c r="G196" i="7" s="1"/>
  <c r="D197" i="7"/>
  <c r="G197" i="7" s="1"/>
  <c r="D198" i="7"/>
  <c r="G198" i="7" s="1"/>
  <c r="D199" i="7"/>
  <c r="G199" i="7" s="1"/>
  <c r="M199" i="7" s="1"/>
  <c r="D200" i="7"/>
  <c r="D201" i="7"/>
  <c r="G201" i="7" s="1"/>
  <c r="D202" i="7"/>
  <c r="G202" i="7" s="1"/>
  <c r="D203" i="7"/>
  <c r="G203" i="7" s="1"/>
  <c r="H203" i="7" s="1"/>
  <c r="D204" i="7"/>
  <c r="G204" i="7" s="1"/>
  <c r="D205" i="7"/>
  <c r="G205" i="7" s="1"/>
  <c r="D206" i="7"/>
  <c r="G206" i="7" s="1"/>
  <c r="D207" i="7"/>
  <c r="G207" i="7" s="1"/>
  <c r="H207" i="7" s="1"/>
  <c r="D208" i="7"/>
  <c r="D209" i="7"/>
  <c r="G209" i="7" s="1"/>
  <c r="D210" i="7"/>
  <c r="G210" i="7" s="1"/>
  <c r="D211" i="7"/>
  <c r="G211" i="7" s="1"/>
  <c r="H211" i="7" s="1"/>
  <c r="D212" i="7"/>
  <c r="D213" i="7"/>
  <c r="G213" i="7" s="1"/>
  <c r="D214" i="7"/>
  <c r="G214" i="7" s="1"/>
  <c r="D215" i="7"/>
  <c r="G215" i="7" s="1"/>
  <c r="M215" i="7" s="1"/>
  <c r="D216" i="7"/>
  <c r="D217" i="7"/>
  <c r="G217" i="7" s="1"/>
  <c r="D218" i="7"/>
  <c r="G218" i="7" s="1"/>
  <c r="D219" i="7"/>
  <c r="G219" i="7" s="1"/>
  <c r="H219" i="7" s="1"/>
  <c r="D220" i="7"/>
  <c r="G220" i="7" s="1"/>
  <c r="D221" i="7"/>
  <c r="G221" i="7" s="1"/>
  <c r="D222" i="7"/>
  <c r="G222" i="7" s="1"/>
  <c r="D223" i="7"/>
  <c r="G223" i="7" s="1"/>
  <c r="H223" i="7" s="1"/>
  <c r="D224" i="7"/>
  <c r="G224" i="7" s="1"/>
  <c r="D225" i="7"/>
  <c r="G225" i="7" s="1"/>
  <c r="D226" i="7"/>
  <c r="D227" i="7"/>
  <c r="G227" i="7" s="1"/>
  <c r="D228" i="7"/>
  <c r="G228" i="7" s="1"/>
  <c r="M228" i="7" s="1"/>
  <c r="D229" i="7"/>
  <c r="D230" i="7"/>
  <c r="G230" i="7" s="1"/>
  <c r="H230" i="7" s="1"/>
  <c r="D231" i="7"/>
  <c r="D232" i="7"/>
  <c r="G232" i="7" s="1"/>
  <c r="M232" i="7" s="1"/>
  <c r="D233" i="7"/>
  <c r="G233" i="7" s="1"/>
  <c r="D234" i="7"/>
  <c r="G234" i="7" s="1"/>
  <c r="H234" i="7" s="1"/>
  <c r="D235" i="7"/>
  <c r="D236" i="7"/>
  <c r="G236" i="7" s="1"/>
  <c r="D237" i="7"/>
  <c r="G237" i="7" s="1"/>
  <c r="D56" i="7"/>
  <c r="D57" i="7"/>
  <c r="D58" i="7"/>
  <c r="D59" i="7"/>
  <c r="G59" i="7" s="1"/>
  <c r="H59" i="7" s="1"/>
  <c r="D60" i="7"/>
  <c r="G60" i="7" s="1"/>
  <c r="H60" i="7" s="1"/>
  <c r="D61" i="7"/>
  <c r="D62" i="7"/>
  <c r="D63" i="7"/>
  <c r="G63" i="7" s="1"/>
  <c r="H63" i="7" s="1"/>
  <c r="D64" i="7"/>
  <c r="G64" i="7" s="1"/>
  <c r="H64" i="7" s="1"/>
  <c r="D65" i="7"/>
  <c r="D66" i="7"/>
  <c r="G66" i="7" s="1"/>
  <c r="H66" i="7" s="1"/>
  <c r="D67" i="7"/>
  <c r="G67" i="7" s="1"/>
  <c r="H67" i="7" s="1"/>
  <c r="D68" i="7"/>
  <c r="D69" i="7"/>
  <c r="D70" i="7"/>
  <c r="D71" i="7"/>
  <c r="G71" i="7" s="1"/>
  <c r="H71" i="7" s="1"/>
  <c r="D72" i="7"/>
  <c r="D73" i="7"/>
  <c r="D74" i="7"/>
  <c r="D75" i="7"/>
  <c r="G75" i="7" s="1"/>
  <c r="H75" i="7" s="1"/>
  <c r="D76" i="7"/>
  <c r="G76" i="7" s="1"/>
  <c r="H76" i="7" s="1"/>
  <c r="D77" i="7"/>
  <c r="D78" i="7"/>
  <c r="G78" i="7" s="1"/>
  <c r="H78" i="7" s="1"/>
  <c r="D79" i="7"/>
  <c r="G79" i="7" s="1"/>
  <c r="H79" i="7" s="1"/>
  <c r="D80" i="7"/>
  <c r="G80" i="7" s="1"/>
  <c r="H80" i="7" s="1"/>
  <c r="D81" i="7"/>
  <c r="D82" i="7"/>
  <c r="D83" i="7"/>
  <c r="G83" i="7" s="1"/>
  <c r="H83" i="7" s="1"/>
  <c r="D84" i="7"/>
  <c r="D85" i="7"/>
  <c r="D86" i="7"/>
  <c r="D87" i="7"/>
  <c r="G87" i="7" s="1"/>
  <c r="H87" i="7" s="1"/>
  <c r="D88" i="7"/>
  <c r="D89" i="7"/>
  <c r="D90" i="7"/>
  <c r="D91" i="7"/>
  <c r="G91" i="7" s="1"/>
  <c r="H91" i="7" s="1"/>
  <c r="D92" i="7"/>
  <c r="G92" i="7" s="1"/>
  <c r="H92" i="7" s="1"/>
  <c r="D93" i="7"/>
  <c r="D94" i="7"/>
  <c r="D95" i="7"/>
  <c r="D96" i="7"/>
  <c r="D97" i="7"/>
  <c r="D98" i="7"/>
  <c r="D99" i="7"/>
  <c r="D100" i="7"/>
  <c r="D101" i="7"/>
  <c r="G101" i="7" s="1"/>
  <c r="D102" i="7"/>
  <c r="G102" i="7" s="1"/>
  <c r="D103" i="7"/>
  <c r="G103" i="7" s="1"/>
  <c r="D104" i="7"/>
  <c r="G104" i="7" s="1"/>
  <c r="D105" i="7"/>
  <c r="G105" i="7" s="1"/>
  <c r="D106" i="7"/>
  <c r="G106" i="7" s="1"/>
  <c r="D107" i="7"/>
  <c r="G107" i="7" s="1"/>
  <c r="D108" i="7"/>
  <c r="G108" i="7" s="1"/>
  <c r="H108" i="7" s="1"/>
  <c r="D109" i="7"/>
  <c r="G109" i="7" s="1"/>
  <c r="D110" i="7"/>
  <c r="G110" i="7" s="1"/>
  <c r="D111" i="7"/>
  <c r="D112" i="7"/>
  <c r="G112" i="7" s="1"/>
  <c r="D113" i="7"/>
  <c r="G113" i="7" s="1"/>
  <c r="D2" i="7"/>
  <c r="D3" i="7"/>
  <c r="D4" i="7"/>
  <c r="D5" i="7"/>
  <c r="D6" i="7"/>
  <c r="D7" i="7"/>
  <c r="G7" i="7" s="1"/>
  <c r="H7" i="7" s="1"/>
  <c r="D8" i="7"/>
  <c r="D9" i="7"/>
  <c r="D10" i="7"/>
  <c r="D11" i="7"/>
  <c r="G11" i="7" s="1"/>
  <c r="H11" i="7" s="1"/>
  <c r="D12" i="7"/>
  <c r="G12" i="7" s="1"/>
  <c r="H12" i="7" s="1"/>
  <c r="D13" i="7"/>
  <c r="D14" i="7"/>
  <c r="D15" i="7"/>
  <c r="G15" i="7" s="1"/>
  <c r="H15" i="7" s="1"/>
  <c r="D16" i="7"/>
  <c r="G16" i="7" s="1"/>
  <c r="H16" i="7" s="1"/>
  <c r="D17" i="7"/>
  <c r="D18" i="7"/>
  <c r="D19" i="7"/>
  <c r="G19" i="7" s="1"/>
  <c r="H19" i="7" s="1"/>
  <c r="D20" i="7"/>
  <c r="D21" i="7"/>
  <c r="D22" i="7"/>
  <c r="D23" i="7"/>
  <c r="G23" i="7" s="1"/>
  <c r="H23" i="7" s="1"/>
  <c r="D24" i="7"/>
  <c r="D25" i="7"/>
  <c r="D26" i="7"/>
  <c r="D27" i="7"/>
  <c r="G27" i="7" s="1"/>
  <c r="H27" i="7" s="1"/>
  <c r="D28" i="7"/>
  <c r="G28" i="7" s="1"/>
  <c r="H28" i="7" s="1"/>
  <c r="D29" i="7"/>
  <c r="D30" i="7"/>
  <c r="D31" i="7"/>
  <c r="G31" i="7" s="1"/>
  <c r="H31" i="7" s="1"/>
  <c r="D32" i="7"/>
  <c r="G32" i="7" s="1"/>
  <c r="H32" i="7" s="1"/>
  <c r="D33" i="7"/>
  <c r="D34" i="7"/>
  <c r="D35" i="7"/>
  <c r="G35" i="7" s="1"/>
  <c r="H35" i="7" s="1"/>
  <c r="D36" i="7"/>
  <c r="D37" i="7"/>
  <c r="D38" i="7"/>
  <c r="D39" i="7"/>
  <c r="G39" i="7" s="1"/>
  <c r="H39" i="7" s="1"/>
  <c r="D40" i="7"/>
  <c r="D41" i="7"/>
  <c r="D42" i="7"/>
  <c r="G42" i="7" s="1"/>
  <c r="H42" i="7" s="1"/>
  <c r="D43" i="7"/>
  <c r="G43" i="7" s="1"/>
  <c r="H43" i="7" s="1"/>
  <c r="D44" i="7"/>
  <c r="G44" i="7" s="1"/>
  <c r="H44" i="7" s="1"/>
  <c r="D45" i="7"/>
  <c r="D46" i="7"/>
  <c r="D47" i="7"/>
  <c r="G47" i="7" s="1"/>
  <c r="H47" i="7" s="1"/>
  <c r="D48" i="7"/>
  <c r="G48" i="7" s="1"/>
  <c r="H48" i="7" s="1"/>
  <c r="D49" i="7"/>
  <c r="D50" i="7"/>
  <c r="D51" i="7"/>
  <c r="G51" i="7" s="1"/>
  <c r="H51" i="7" s="1"/>
  <c r="D52" i="7"/>
  <c r="D53" i="7"/>
  <c r="D54" i="7"/>
  <c r="D55" i="7"/>
  <c r="G55" i="7" s="1"/>
  <c r="H55" i="7" s="1"/>
  <c r="G96" i="7"/>
  <c r="H96" i="7" s="1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117" i="7"/>
  <c r="E115" i="7"/>
  <c r="E116" i="7"/>
  <c r="E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L436" i="8" l="1"/>
  <c r="I328" i="7"/>
  <c r="I369" i="7"/>
  <c r="I361" i="7"/>
  <c r="K361" i="7" s="1"/>
  <c r="I353" i="7"/>
  <c r="K353" i="7" s="1"/>
  <c r="I345" i="7"/>
  <c r="I337" i="7"/>
  <c r="I329" i="7"/>
  <c r="H239" i="7"/>
  <c r="N239" i="7"/>
  <c r="H303" i="7"/>
  <c r="N303" i="7"/>
  <c r="H287" i="7"/>
  <c r="N287" i="7"/>
  <c r="H279" i="7"/>
  <c r="M279" i="7"/>
  <c r="M311" i="7"/>
  <c r="N271" i="7"/>
  <c r="G433" i="7"/>
  <c r="G425" i="7"/>
  <c r="G417" i="7"/>
  <c r="G409" i="7"/>
  <c r="G401" i="7"/>
  <c r="G393" i="7"/>
  <c r="G385" i="7"/>
  <c r="G377" i="7"/>
  <c r="G373" i="7"/>
  <c r="G365" i="7"/>
  <c r="G357" i="7"/>
  <c r="G349" i="7"/>
  <c r="G341" i="7"/>
  <c r="N435" i="7"/>
  <c r="M435" i="7"/>
  <c r="H435" i="7"/>
  <c r="N419" i="7"/>
  <c r="M419" i="7"/>
  <c r="H419" i="7"/>
  <c r="N403" i="7"/>
  <c r="M403" i="7"/>
  <c r="H403" i="7"/>
  <c r="N387" i="7"/>
  <c r="M387" i="7"/>
  <c r="H387" i="7"/>
  <c r="N371" i="7"/>
  <c r="M371" i="7"/>
  <c r="H371" i="7"/>
  <c r="N355" i="7"/>
  <c r="M355" i="7"/>
  <c r="H355" i="7"/>
  <c r="N347" i="7"/>
  <c r="M347" i="7"/>
  <c r="H347" i="7"/>
  <c r="N331" i="7"/>
  <c r="M331" i="7"/>
  <c r="H331" i="7"/>
  <c r="I428" i="7"/>
  <c r="I412" i="7"/>
  <c r="I396" i="7"/>
  <c r="I380" i="7"/>
  <c r="I364" i="7"/>
  <c r="I332" i="7"/>
  <c r="M295" i="7"/>
  <c r="N255" i="7"/>
  <c r="N432" i="7"/>
  <c r="M432" i="7"/>
  <c r="N424" i="7"/>
  <c r="M424" i="7"/>
  <c r="N416" i="7"/>
  <c r="M416" i="7"/>
  <c r="N408" i="7"/>
  <c r="M408" i="7"/>
  <c r="N400" i="7"/>
  <c r="M400" i="7"/>
  <c r="N392" i="7"/>
  <c r="M392" i="7"/>
  <c r="N384" i="7"/>
  <c r="M384" i="7"/>
  <c r="N376" i="7"/>
  <c r="M376" i="7"/>
  <c r="N368" i="7"/>
  <c r="M368" i="7"/>
  <c r="N360" i="7"/>
  <c r="M360" i="7"/>
  <c r="N352" i="7"/>
  <c r="M352" i="7"/>
  <c r="N344" i="7"/>
  <c r="M344" i="7"/>
  <c r="N336" i="7"/>
  <c r="M336" i="7"/>
  <c r="G328" i="7"/>
  <c r="I433" i="7"/>
  <c r="K433" i="7" s="1"/>
  <c r="I425" i="7"/>
  <c r="K425" i="7" s="1"/>
  <c r="I417" i="7"/>
  <c r="K417" i="7" s="1"/>
  <c r="I409" i="7"/>
  <c r="K409" i="7" s="1"/>
  <c r="I401" i="7"/>
  <c r="K401" i="7" s="1"/>
  <c r="I393" i="7"/>
  <c r="K393" i="7" s="1"/>
  <c r="I385" i="7"/>
  <c r="K385" i="7" s="1"/>
  <c r="I377" i="7"/>
  <c r="K377" i="7" s="1"/>
  <c r="M247" i="7"/>
  <c r="M330" i="7"/>
  <c r="N330" i="7"/>
  <c r="H330" i="7"/>
  <c r="I435" i="7"/>
  <c r="I431" i="7"/>
  <c r="K431" i="7" s="1"/>
  <c r="I427" i="7"/>
  <c r="I423" i="7"/>
  <c r="K423" i="7" s="1"/>
  <c r="I419" i="7"/>
  <c r="I415" i="7"/>
  <c r="K415" i="7" s="1"/>
  <c r="I411" i="7"/>
  <c r="I407" i="7"/>
  <c r="K407" i="7" s="1"/>
  <c r="I403" i="7"/>
  <c r="I399" i="7"/>
  <c r="I395" i="7"/>
  <c r="I391" i="7"/>
  <c r="K391" i="7" s="1"/>
  <c r="I387" i="7"/>
  <c r="I383" i="7"/>
  <c r="I379" i="7"/>
  <c r="I375" i="7"/>
  <c r="K375" i="7" s="1"/>
  <c r="I371" i="7"/>
  <c r="I367" i="7"/>
  <c r="I363" i="7"/>
  <c r="I359" i="7"/>
  <c r="K359" i="7" s="1"/>
  <c r="I355" i="7"/>
  <c r="I351" i="7"/>
  <c r="I347" i="7"/>
  <c r="K347" i="7" s="1"/>
  <c r="I343" i="7"/>
  <c r="K343" i="7" s="1"/>
  <c r="I339" i="7"/>
  <c r="K339" i="7" s="1"/>
  <c r="I335" i="7"/>
  <c r="N431" i="7"/>
  <c r="M431" i="7"/>
  <c r="H431" i="7"/>
  <c r="N423" i="7"/>
  <c r="M423" i="7"/>
  <c r="H423" i="7"/>
  <c r="N415" i="7"/>
  <c r="M415" i="7"/>
  <c r="H415" i="7"/>
  <c r="N407" i="7"/>
  <c r="M407" i="7"/>
  <c r="H407" i="7"/>
  <c r="N399" i="7"/>
  <c r="M399" i="7"/>
  <c r="H399" i="7"/>
  <c r="N391" i="7"/>
  <c r="M391" i="7"/>
  <c r="H391" i="7"/>
  <c r="N383" i="7"/>
  <c r="M383" i="7"/>
  <c r="H383" i="7"/>
  <c r="N375" i="7"/>
  <c r="M375" i="7"/>
  <c r="H375" i="7"/>
  <c r="N367" i="7"/>
  <c r="M367" i="7"/>
  <c r="H367" i="7"/>
  <c r="N359" i="7"/>
  <c r="M359" i="7"/>
  <c r="H359" i="7"/>
  <c r="N351" i="7"/>
  <c r="M351" i="7"/>
  <c r="H351" i="7"/>
  <c r="N343" i="7"/>
  <c r="M343" i="7"/>
  <c r="H343" i="7"/>
  <c r="N335" i="7"/>
  <c r="M335" i="7"/>
  <c r="H335" i="7"/>
  <c r="N327" i="7"/>
  <c r="M327" i="7"/>
  <c r="H327" i="7"/>
  <c r="I432" i="7"/>
  <c r="K432" i="7" s="1"/>
  <c r="L432" i="7" s="1"/>
  <c r="I424" i="7"/>
  <c r="K424" i="7" s="1"/>
  <c r="L424" i="7" s="1"/>
  <c r="I416" i="7"/>
  <c r="K416" i="7" s="1"/>
  <c r="L416" i="7" s="1"/>
  <c r="I408" i="7"/>
  <c r="K408" i="7" s="1"/>
  <c r="L408" i="7" s="1"/>
  <c r="I400" i="7"/>
  <c r="K400" i="7" s="1"/>
  <c r="L400" i="7" s="1"/>
  <c r="I392" i="7"/>
  <c r="K392" i="7" s="1"/>
  <c r="L392" i="7" s="1"/>
  <c r="I384" i="7"/>
  <c r="K384" i="7" s="1"/>
  <c r="L384" i="7" s="1"/>
  <c r="I376" i="7"/>
  <c r="K376" i="7" s="1"/>
  <c r="L376" i="7" s="1"/>
  <c r="I368" i="7"/>
  <c r="K368" i="7" s="1"/>
  <c r="L368" i="7" s="1"/>
  <c r="I360" i="7"/>
  <c r="K360" i="7" s="1"/>
  <c r="L360" i="7" s="1"/>
  <c r="I352" i="7"/>
  <c r="K352" i="7" s="1"/>
  <c r="L352" i="7" s="1"/>
  <c r="I344" i="7"/>
  <c r="K344" i="7" s="1"/>
  <c r="L344" i="7" s="1"/>
  <c r="I336" i="7"/>
  <c r="H263" i="7"/>
  <c r="M263" i="7"/>
  <c r="K328" i="7"/>
  <c r="G429" i="7"/>
  <c r="G421" i="7"/>
  <c r="G413" i="7"/>
  <c r="G405" i="7"/>
  <c r="G397" i="7"/>
  <c r="G389" i="7"/>
  <c r="G381" i="7"/>
  <c r="G369" i="7"/>
  <c r="K369" i="7"/>
  <c r="G361" i="7"/>
  <c r="G353" i="7"/>
  <c r="G345" i="7"/>
  <c r="K345" i="7"/>
  <c r="K337" i="7"/>
  <c r="G337" i="7"/>
  <c r="G333" i="7"/>
  <c r="N427" i="7"/>
  <c r="M427" i="7"/>
  <c r="H427" i="7"/>
  <c r="N411" i="7"/>
  <c r="M411" i="7"/>
  <c r="H411" i="7"/>
  <c r="N395" i="7"/>
  <c r="M395" i="7"/>
  <c r="H395" i="7"/>
  <c r="N379" i="7"/>
  <c r="M379" i="7"/>
  <c r="H379" i="7"/>
  <c r="N363" i="7"/>
  <c r="M363" i="7"/>
  <c r="H363" i="7"/>
  <c r="N339" i="7"/>
  <c r="M339" i="7"/>
  <c r="H339" i="7"/>
  <c r="I420" i="7"/>
  <c r="K420" i="7" s="1"/>
  <c r="L420" i="7" s="1"/>
  <c r="I404" i="7"/>
  <c r="K404" i="7" s="1"/>
  <c r="L404" i="7" s="1"/>
  <c r="I388" i="7"/>
  <c r="K388" i="7" s="1"/>
  <c r="L388" i="7" s="1"/>
  <c r="I372" i="7"/>
  <c r="K372" i="7" s="1"/>
  <c r="L372" i="7" s="1"/>
  <c r="I356" i="7"/>
  <c r="K356" i="7" s="1"/>
  <c r="L356" i="7" s="1"/>
  <c r="I348" i="7"/>
  <c r="K348" i="7" s="1"/>
  <c r="L348" i="7" s="1"/>
  <c r="I340" i="7"/>
  <c r="K340" i="7" s="1"/>
  <c r="L340" i="7" s="1"/>
  <c r="N319" i="7"/>
  <c r="G329" i="7"/>
  <c r="I434" i="7"/>
  <c r="K434" i="7" s="1"/>
  <c r="G434" i="7"/>
  <c r="I430" i="7"/>
  <c r="K430" i="7" s="1"/>
  <c r="G430" i="7"/>
  <c r="I426" i="7"/>
  <c r="K426" i="7" s="1"/>
  <c r="G426" i="7"/>
  <c r="I422" i="7"/>
  <c r="K422" i="7" s="1"/>
  <c r="G422" i="7"/>
  <c r="I418" i="7"/>
  <c r="K418" i="7" s="1"/>
  <c r="G418" i="7"/>
  <c r="I414" i="7"/>
  <c r="K414" i="7" s="1"/>
  <c r="G414" i="7"/>
  <c r="I410" i="7"/>
  <c r="K410" i="7" s="1"/>
  <c r="G410" i="7"/>
  <c r="I406" i="7"/>
  <c r="G406" i="7"/>
  <c r="I402" i="7"/>
  <c r="K402" i="7" s="1"/>
  <c r="G402" i="7"/>
  <c r="I398" i="7"/>
  <c r="K398" i="7" s="1"/>
  <c r="G398" i="7"/>
  <c r="I394" i="7"/>
  <c r="G394" i="7"/>
  <c r="I390" i="7"/>
  <c r="G390" i="7"/>
  <c r="I386" i="7"/>
  <c r="K386" i="7" s="1"/>
  <c r="G386" i="7"/>
  <c r="I382" i="7"/>
  <c r="K382" i="7" s="1"/>
  <c r="G382" i="7"/>
  <c r="I378" i="7"/>
  <c r="G378" i="7"/>
  <c r="I374" i="7"/>
  <c r="G374" i="7"/>
  <c r="I370" i="7"/>
  <c r="K370" i="7" s="1"/>
  <c r="G370" i="7"/>
  <c r="I366" i="7"/>
  <c r="K366" i="7" s="1"/>
  <c r="G366" i="7"/>
  <c r="I362" i="7"/>
  <c r="G362" i="7"/>
  <c r="I358" i="7"/>
  <c r="G358" i="7"/>
  <c r="I354" i="7"/>
  <c r="K354" i="7" s="1"/>
  <c r="G354" i="7"/>
  <c r="I350" i="7"/>
  <c r="K350" i="7" s="1"/>
  <c r="G350" i="7"/>
  <c r="I346" i="7"/>
  <c r="G346" i="7"/>
  <c r="I342" i="7"/>
  <c r="G342" i="7"/>
  <c r="I338" i="7"/>
  <c r="K338" i="7" s="1"/>
  <c r="G338" i="7"/>
  <c r="I334" i="7"/>
  <c r="G334" i="7"/>
  <c r="N428" i="7"/>
  <c r="M428" i="7"/>
  <c r="N420" i="7"/>
  <c r="M420" i="7"/>
  <c r="N412" i="7"/>
  <c r="M412" i="7"/>
  <c r="N404" i="7"/>
  <c r="M404" i="7"/>
  <c r="N396" i="7"/>
  <c r="M396" i="7"/>
  <c r="N388" i="7"/>
  <c r="M388" i="7"/>
  <c r="N380" i="7"/>
  <c r="M380" i="7"/>
  <c r="N372" i="7"/>
  <c r="M372" i="7"/>
  <c r="N364" i="7"/>
  <c r="M364" i="7"/>
  <c r="N356" i="7"/>
  <c r="M356" i="7"/>
  <c r="N348" i="7"/>
  <c r="M348" i="7"/>
  <c r="N340" i="7"/>
  <c r="M340" i="7"/>
  <c r="N332" i="7"/>
  <c r="M332" i="7"/>
  <c r="I429" i="7"/>
  <c r="K429" i="7" s="1"/>
  <c r="I421" i="7"/>
  <c r="K421" i="7" s="1"/>
  <c r="I413" i="7"/>
  <c r="K413" i="7" s="1"/>
  <c r="I405" i="7"/>
  <c r="K405" i="7" s="1"/>
  <c r="I397" i="7"/>
  <c r="K397" i="7" s="1"/>
  <c r="I389" i="7"/>
  <c r="K389" i="7" s="1"/>
  <c r="I381" i="7"/>
  <c r="K381" i="7" s="1"/>
  <c r="I373" i="7"/>
  <c r="K373" i="7" s="1"/>
  <c r="I365" i="7"/>
  <c r="K365" i="7" s="1"/>
  <c r="I357" i="7"/>
  <c r="K357" i="7" s="1"/>
  <c r="I349" i="7"/>
  <c r="K349" i="7" s="1"/>
  <c r="I341" i="7"/>
  <c r="K341" i="7" s="1"/>
  <c r="I333" i="7"/>
  <c r="K333" i="7" s="1"/>
  <c r="J435" i="7"/>
  <c r="I331" i="7"/>
  <c r="K331" i="7" s="1"/>
  <c r="I327" i="7"/>
  <c r="K327" i="7" s="1"/>
  <c r="L327" i="7" s="1"/>
  <c r="I330" i="7"/>
  <c r="M323" i="7"/>
  <c r="M307" i="7"/>
  <c r="M291" i="7"/>
  <c r="M275" i="7"/>
  <c r="M259" i="7"/>
  <c r="M243" i="7"/>
  <c r="N315" i="7"/>
  <c r="N299" i="7"/>
  <c r="N283" i="7"/>
  <c r="N267" i="7"/>
  <c r="N251" i="7"/>
  <c r="M319" i="7"/>
  <c r="M303" i="7"/>
  <c r="M287" i="7"/>
  <c r="M271" i="7"/>
  <c r="M255" i="7"/>
  <c r="M239" i="7"/>
  <c r="N311" i="7"/>
  <c r="N295" i="7"/>
  <c r="N279" i="7"/>
  <c r="N263" i="7"/>
  <c r="N247" i="7"/>
  <c r="M315" i="7"/>
  <c r="M299" i="7"/>
  <c r="M283" i="7"/>
  <c r="M267" i="7"/>
  <c r="M251" i="7"/>
  <c r="N323" i="7"/>
  <c r="N307" i="7"/>
  <c r="N291" i="7"/>
  <c r="N275" i="7"/>
  <c r="N259" i="7"/>
  <c r="N243" i="7"/>
  <c r="M326" i="7"/>
  <c r="M322" i="7"/>
  <c r="M314" i="7"/>
  <c r="M310" i="7"/>
  <c r="M298" i="7"/>
  <c r="M294" i="7"/>
  <c r="M290" i="7"/>
  <c r="M282" i="7"/>
  <c r="M278" i="7"/>
  <c r="M274" i="7"/>
  <c r="M266" i="7"/>
  <c r="M262" i="7"/>
  <c r="M250" i="7"/>
  <c r="M246" i="7"/>
  <c r="N326" i="7"/>
  <c r="N322" i="7"/>
  <c r="N314" i="7"/>
  <c r="N310" i="7"/>
  <c r="N298" i="7"/>
  <c r="N294" i="7"/>
  <c r="N290" i="7"/>
  <c r="N282" i="7"/>
  <c r="N278" i="7"/>
  <c r="N274" i="7"/>
  <c r="N266" i="7"/>
  <c r="N262" i="7"/>
  <c r="N250" i="7"/>
  <c r="N246" i="7"/>
  <c r="I2" i="7"/>
  <c r="M325" i="7"/>
  <c r="M321" i="7"/>
  <c r="M317" i="7"/>
  <c r="M313" i="7"/>
  <c r="M309" i="7"/>
  <c r="M305" i="7"/>
  <c r="M301" i="7"/>
  <c r="M297" i="7"/>
  <c r="M293" i="7"/>
  <c r="M289" i="7"/>
  <c r="M285" i="7"/>
  <c r="M281" i="7"/>
  <c r="M277" i="7"/>
  <c r="M273" i="7"/>
  <c r="M269" i="7"/>
  <c r="M265" i="7"/>
  <c r="M261" i="7"/>
  <c r="M257" i="7"/>
  <c r="M253" i="7"/>
  <c r="M249" i="7"/>
  <c r="M245" i="7"/>
  <c r="M241" i="7"/>
  <c r="N325" i="7"/>
  <c r="N321" i="7"/>
  <c r="N317" i="7"/>
  <c r="N313" i="7"/>
  <c r="N309" i="7"/>
  <c r="N305" i="7"/>
  <c r="N301" i="7"/>
  <c r="N297" i="7"/>
  <c r="N293" i="7"/>
  <c r="N289" i="7"/>
  <c r="N285" i="7"/>
  <c r="N281" i="7"/>
  <c r="N277" i="7"/>
  <c r="N273" i="7"/>
  <c r="N269" i="7"/>
  <c r="N265" i="7"/>
  <c r="N261" i="7"/>
  <c r="N257" i="7"/>
  <c r="N253" i="7"/>
  <c r="N249" i="7"/>
  <c r="N245" i="7"/>
  <c r="N241" i="7"/>
  <c r="M324" i="7"/>
  <c r="M320" i="7"/>
  <c r="M316" i="7"/>
  <c r="M312" i="7"/>
  <c r="M308" i="7"/>
  <c r="M304" i="7"/>
  <c r="M300" i="7"/>
  <c r="M296" i="7"/>
  <c r="M292" i="7"/>
  <c r="M288" i="7"/>
  <c r="M284" i="7"/>
  <c r="M280" i="7"/>
  <c r="M276" i="7"/>
  <c r="M272" i="7"/>
  <c r="M268" i="7"/>
  <c r="M264" i="7"/>
  <c r="M260" i="7"/>
  <c r="M256" i="7"/>
  <c r="M252" i="7"/>
  <c r="M248" i="7"/>
  <c r="M244" i="7"/>
  <c r="M240" i="7"/>
  <c r="N324" i="7"/>
  <c r="N320" i="7"/>
  <c r="N316" i="7"/>
  <c r="N312" i="7"/>
  <c r="N308" i="7"/>
  <c r="N304" i="7"/>
  <c r="N300" i="7"/>
  <c r="N296" i="7"/>
  <c r="N292" i="7"/>
  <c r="N288" i="7"/>
  <c r="N284" i="7"/>
  <c r="N280" i="7"/>
  <c r="N276" i="7"/>
  <c r="N272" i="7"/>
  <c r="N268" i="7"/>
  <c r="N264" i="7"/>
  <c r="N260" i="7"/>
  <c r="N256" i="7"/>
  <c r="N252" i="7"/>
  <c r="N248" i="7"/>
  <c r="N244" i="7"/>
  <c r="N240" i="7"/>
  <c r="I325" i="7"/>
  <c r="G3" i="7"/>
  <c r="H3" i="7" s="1"/>
  <c r="I241" i="7"/>
  <c r="I245" i="7"/>
  <c r="I249" i="7"/>
  <c r="I253" i="7"/>
  <c r="I257" i="7"/>
  <c r="I261" i="7"/>
  <c r="I265" i="7"/>
  <c r="I269" i="7"/>
  <c r="I273" i="7"/>
  <c r="I277" i="7"/>
  <c r="I281" i="7"/>
  <c r="I285" i="7"/>
  <c r="I289" i="7"/>
  <c r="I293" i="7"/>
  <c r="I297" i="7"/>
  <c r="I301" i="7"/>
  <c r="I305" i="7"/>
  <c r="I309" i="7"/>
  <c r="I313" i="7"/>
  <c r="I326" i="7"/>
  <c r="I318" i="7"/>
  <c r="I314" i="7"/>
  <c r="I306" i="7"/>
  <c r="I298" i="7"/>
  <c r="I286" i="7"/>
  <c r="I278" i="7"/>
  <c r="I270" i="7"/>
  <c r="I266" i="7"/>
  <c r="I262" i="7"/>
  <c r="I258" i="7"/>
  <c r="I254" i="7"/>
  <c r="I246" i="7"/>
  <c r="I242" i="7"/>
  <c r="G306" i="7"/>
  <c r="G258" i="7"/>
  <c r="G242" i="7"/>
  <c r="I321" i="7"/>
  <c r="I322" i="7"/>
  <c r="I310" i="7"/>
  <c r="I302" i="7"/>
  <c r="I294" i="7"/>
  <c r="I290" i="7"/>
  <c r="I282" i="7"/>
  <c r="I274" i="7"/>
  <c r="I250" i="7"/>
  <c r="G318" i="7"/>
  <c r="G302" i="7"/>
  <c r="G286" i="7"/>
  <c r="G270" i="7"/>
  <c r="G254" i="7"/>
  <c r="I317" i="7"/>
  <c r="I324" i="7"/>
  <c r="I320" i="7"/>
  <c r="I316" i="7"/>
  <c r="I312" i="7"/>
  <c r="I308" i="7"/>
  <c r="I304" i="7"/>
  <c r="I300" i="7"/>
  <c r="I296" i="7"/>
  <c r="I292" i="7"/>
  <c r="I288" i="7"/>
  <c r="I284" i="7"/>
  <c r="I280" i="7"/>
  <c r="I276" i="7"/>
  <c r="I272" i="7"/>
  <c r="I268" i="7"/>
  <c r="I264" i="7"/>
  <c r="I260" i="7"/>
  <c r="I256" i="7"/>
  <c r="I252" i="7"/>
  <c r="I248" i="7"/>
  <c r="I244" i="7"/>
  <c r="I240" i="7"/>
  <c r="I323" i="7"/>
  <c r="I319" i="7"/>
  <c r="I315" i="7"/>
  <c r="I311" i="7"/>
  <c r="I307" i="7"/>
  <c r="I303" i="7"/>
  <c r="I299" i="7"/>
  <c r="I295" i="7"/>
  <c r="I291" i="7"/>
  <c r="I287" i="7"/>
  <c r="I283" i="7"/>
  <c r="I279" i="7"/>
  <c r="I275" i="7"/>
  <c r="I271" i="7"/>
  <c r="I267" i="7"/>
  <c r="I263" i="7"/>
  <c r="I259" i="7"/>
  <c r="I255" i="7"/>
  <c r="I251" i="7"/>
  <c r="I247" i="7"/>
  <c r="I243" i="7"/>
  <c r="I239" i="7"/>
  <c r="H238" i="7"/>
  <c r="H228" i="7"/>
  <c r="H215" i="7"/>
  <c r="H199" i="7"/>
  <c r="H183" i="7"/>
  <c r="H167" i="7"/>
  <c r="H151" i="7"/>
  <c r="N135" i="7"/>
  <c r="H119" i="7"/>
  <c r="N199" i="7"/>
  <c r="H135" i="7"/>
  <c r="I235" i="7"/>
  <c r="I231" i="7"/>
  <c r="N238" i="7"/>
  <c r="M237" i="7"/>
  <c r="N237" i="7"/>
  <c r="H237" i="7"/>
  <c r="M233" i="7"/>
  <c r="N233" i="7"/>
  <c r="H233" i="7"/>
  <c r="M225" i="7"/>
  <c r="N225" i="7"/>
  <c r="H225" i="7"/>
  <c r="M218" i="7"/>
  <c r="N218" i="7"/>
  <c r="H218" i="7"/>
  <c r="M210" i="7"/>
  <c r="N210" i="7"/>
  <c r="H210" i="7"/>
  <c r="M202" i="7"/>
  <c r="N202" i="7"/>
  <c r="H202" i="7"/>
  <c r="M194" i="7"/>
  <c r="N194" i="7"/>
  <c r="H194" i="7"/>
  <c r="M186" i="7"/>
  <c r="N186" i="7"/>
  <c r="H186" i="7"/>
  <c r="M178" i="7"/>
  <c r="N178" i="7"/>
  <c r="H178" i="7"/>
  <c r="M170" i="7"/>
  <c r="N170" i="7"/>
  <c r="H170" i="7"/>
  <c r="M162" i="7"/>
  <c r="N162" i="7"/>
  <c r="H162" i="7"/>
  <c r="M154" i="7"/>
  <c r="N154" i="7"/>
  <c r="H154" i="7"/>
  <c r="M146" i="7"/>
  <c r="H146" i="7"/>
  <c r="N146" i="7"/>
  <c r="M138" i="7"/>
  <c r="H138" i="7"/>
  <c r="N138" i="7"/>
  <c r="M130" i="7"/>
  <c r="H130" i="7"/>
  <c r="N130" i="7"/>
  <c r="M122" i="7"/>
  <c r="H122" i="7"/>
  <c r="N122" i="7"/>
  <c r="M114" i="7"/>
  <c r="H114" i="7"/>
  <c r="N114" i="7"/>
  <c r="N236" i="7"/>
  <c r="M236" i="7"/>
  <c r="H236" i="7"/>
  <c r="N224" i="7"/>
  <c r="H224" i="7"/>
  <c r="M224" i="7"/>
  <c r="N221" i="7"/>
  <c r="H221" i="7"/>
  <c r="M221" i="7"/>
  <c r="N217" i="7"/>
  <c r="M217" i="7"/>
  <c r="H217" i="7"/>
  <c r="N213" i="7"/>
  <c r="M213" i="7"/>
  <c r="H213" i="7"/>
  <c r="N209" i="7"/>
  <c r="H209" i="7"/>
  <c r="M209" i="7"/>
  <c r="N205" i="7"/>
  <c r="H205" i="7"/>
  <c r="M205" i="7"/>
  <c r="N201" i="7"/>
  <c r="M201" i="7"/>
  <c r="H201" i="7"/>
  <c r="N197" i="7"/>
  <c r="M197" i="7"/>
  <c r="H197" i="7"/>
  <c r="N193" i="7"/>
  <c r="H193" i="7"/>
  <c r="M193" i="7"/>
  <c r="N189" i="7"/>
  <c r="H189" i="7"/>
  <c r="M189" i="7"/>
  <c r="N185" i="7"/>
  <c r="M185" i="7"/>
  <c r="H185" i="7"/>
  <c r="N181" i="7"/>
  <c r="M181" i="7"/>
  <c r="H181" i="7"/>
  <c r="N177" i="7"/>
  <c r="H177" i="7"/>
  <c r="M177" i="7"/>
  <c r="N173" i="7"/>
  <c r="H173" i="7"/>
  <c r="M173" i="7"/>
  <c r="N169" i="7"/>
  <c r="M169" i="7"/>
  <c r="H169" i="7"/>
  <c r="N165" i="7"/>
  <c r="M165" i="7"/>
  <c r="H165" i="7"/>
  <c r="N161" i="7"/>
  <c r="H161" i="7"/>
  <c r="M161" i="7"/>
  <c r="N157" i="7"/>
  <c r="H157" i="7"/>
  <c r="M157" i="7"/>
  <c r="N153" i="7"/>
  <c r="M153" i="7"/>
  <c r="H153" i="7"/>
  <c r="N149" i="7"/>
  <c r="M149" i="7"/>
  <c r="H149" i="7"/>
  <c r="N145" i="7"/>
  <c r="M145" i="7"/>
  <c r="H145" i="7"/>
  <c r="N141" i="7"/>
  <c r="H141" i="7"/>
  <c r="M141" i="7"/>
  <c r="N137" i="7"/>
  <c r="M137" i="7"/>
  <c r="H137" i="7"/>
  <c r="N133" i="7"/>
  <c r="M133" i="7"/>
  <c r="H133" i="7"/>
  <c r="N129" i="7"/>
  <c r="M129" i="7"/>
  <c r="H129" i="7"/>
  <c r="N125" i="7"/>
  <c r="H125" i="7"/>
  <c r="M125" i="7"/>
  <c r="N121" i="7"/>
  <c r="M121" i="7"/>
  <c r="H121" i="7"/>
  <c r="N117" i="7"/>
  <c r="M117" i="7"/>
  <c r="H117" i="7"/>
  <c r="I229" i="7"/>
  <c r="G229" i="7"/>
  <c r="I226" i="7"/>
  <c r="G226" i="7"/>
  <c r="N220" i="7"/>
  <c r="M220" i="7"/>
  <c r="H220" i="7"/>
  <c r="I216" i="7"/>
  <c r="G216" i="7"/>
  <c r="I212" i="7"/>
  <c r="G212" i="7"/>
  <c r="I208" i="7"/>
  <c r="G208" i="7"/>
  <c r="N204" i="7"/>
  <c r="M204" i="7"/>
  <c r="H204" i="7"/>
  <c r="I200" i="7"/>
  <c r="G200" i="7"/>
  <c r="N196" i="7"/>
  <c r="M196" i="7"/>
  <c r="H196" i="7"/>
  <c r="I192" i="7"/>
  <c r="G192" i="7"/>
  <c r="I188" i="7"/>
  <c r="G188" i="7"/>
  <c r="I184" i="7"/>
  <c r="G184" i="7"/>
  <c r="N180" i="7"/>
  <c r="M180" i="7"/>
  <c r="H180" i="7"/>
  <c r="N176" i="7"/>
  <c r="M176" i="7"/>
  <c r="H176" i="7"/>
  <c r="I172" i="7"/>
  <c r="G172" i="7"/>
  <c r="I168" i="7"/>
  <c r="G168" i="7"/>
  <c r="I164" i="7"/>
  <c r="G164" i="7"/>
  <c r="N160" i="7"/>
  <c r="M160" i="7"/>
  <c r="H160" i="7"/>
  <c r="N156" i="7"/>
  <c r="M156" i="7"/>
  <c r="H156" i="7"/>
  <c r="I152" i="7"/>
  <c r="G152" i="7"/>
  <c r="I148" i="7"/>
  <c r="G148" i="7"/>
  <c r="I144" i="7"/>
  <c r="G144" i="7"/>
  <c r="N140" i="7"/>
  <c r="M140" i="7"/>
  <c r="I136" i="7"/>
  <c r="G136" i="7"/>
  <c r="N132" i="7"/>
  <c r="M132" i="7"/>
  <c r="H132" i="7"/>
  <c r="I128" i="7"/>
  <c r="G128" i="7"/>
  <c r="I124" i="7"/>
  <c r="G124" i="7"/>
  <c r="I120" i="7"/>
  <c r="G120" i="7"/>
  <c r="N116" i="7"/>
  <c r="M116" i="7"/>
  <c r="H116" i="7"/>
  <c r="G235" i="7"/>
  <c r="M227" i="7"/>
  <c r="N227" i="7"/>
  <c r="M222" i="7"/>
  <c r="N222" i="7"/>
  <c r="M214" i="7"/>
  <c r="N214" i="7"/>
  <c r="M206" i="7"/>
  <c r="N206" i="7"/>
  <c r="M198" i="7"/>
  <c r="N198" i="7"/>
  <c r="M190" i="7"/>
  <c r="N190" i="7"/>
  <c r="M182" i="7"/>
  <c r="N182" i="7"/>
  <c r="M174" i="7"/>
  <c r="N174" i="7"/>
  <c r="M166" i="7"/>
  <c r="N166" i="7"/>
  <c r="M158" i="7"/>
  <c r="N158" i="7"/>
  <c r="M150" i="7"/>
  <c r="H150" i="7"/>
  <c r="N150" i="7"/>
  <c r="M142" i="7"/>
  <c r="H142" i="7"/>
  <c r="N142" i="7"/>
  <c r="M134" i="7"/>
  <c r="H134" i="7"/>
  <c r="N134" i="7"/>
  <c r="M126" i="7"/>
  <c r="H126" i="7"/>
  <c r="N126" i="7"/>
  <c r="M118" i="7"/>
  <c r="H118" i="7"/>
  <c r="N118" i="7"/>
  <c r="H140" i="7"/>
  <c r="I180" i="7"/>
  <c r="I140" i="7"/>
  <c r="I115" i="7"/>
  <c r="M234" i="7"/>
  <c r="N234" i="7"/>
  <c r="M230" i="7"/>
  <c r="N230" i="7"/>
  <c r="M223" i="7"/>
  <c r="N223" i="7"/>
  <c r="M219" i="7"/>
  <c r="N219" i="7"/>
  <c r="M211" i="7"/>
  <c r="N211" i="7"/>
  <c r="M207" i="7"/>
  <c r="N207" i="7"/>
  <c r="M203" i="7"/>
  <c r="N203" i="7"/>
  <c r="M195" i="7"/>
  <c r="N195" i="7"/>
  <c r="M191" i="7"/>
  <c r="N191" i="7"/>
  <c r="M187" i="7"/>
  <c r="N187" i="7"/>
  <c r="M179" i="7"/>
  <c r="N179" i="7"/>
  <c r="M175" i="7"/>
  <c r="N175" i="7"/>
  <c r="M171" i="7"/>
  <c r="N171" i="7"/>
  <c r="M163" i="7"/>
  <c r="N163" i="7"/>
  <c r="M159" i="7"/>
  <c r="N159" i="7"/>
  <c r="M155" i="7"/>
  <c r="N155" i="7"/>
  <c r="M147" i="7"/>
  <c r="H147" i="7"/>
  <c r="N147" i="7"/>
  <c r="M143" i="7"/>
  <c r="N143" i="7"/>
  <c r="H143" i="7"/>
  <c r="M139" i="7"/>
  <c r="N139" i="7"/>
  <c r="M131" i="7"/>
  <c r="H131" i="7"/>
  <c r="N131" i="7"/>
  <c r="M127" i="7"/>
  <c r="N127" i="7"/>
  <c r="H127" i="7"/>
  <c r="M123" i="7"/>
  <c r="N123" i="7"/>
  <c r="M115" i="7"/>
  <c r="H115" i="7"/>
  <c r="N115" i="7"/>
  <c r="H227" i="7"/>
  <c r="H222" i="7"/>
  <c r="H214" i="7"/>
  <c r="H206" i="7"/>
  <c r="H198" i="7"/>
  <c r="H190" i="7"/>
  <c r="H182" i="7"/>
  <c r="H174" i="7"/>
  <c r="H166" i="7"/>
  <c r="H158" i="7"/>
  <c r="H139" i="7"/>
  <c r="I220" i="7"/>
  <c r="I176" i="7"/>
  <c r="I132" i="7"/>
  <c r="N183" i="7"/>
  <c r="N119" i="7"/>
  <c r="I204" i="7"/>
  <c r="I116" i="7"/>
  <c r="N228" i="7"/>
  <c r="N167" i="7"/>
  <c r="N232" i="7"/>
  <c r="H232" i="7"/>
  <c r="I160" i="7"/>
  <c r="G231" i="7"/>
  <c r="I196" i="7"/>
  <c r="I156" i="7"/>
  <c r="N215" i="7"/>
  <c r="N151" i="7"/>
  <c r="I133" i="7"/>
  <c r="I117" i="7"/>
  <c r="I237" i="7"/>
  <c r="I233" i="7"/>
  <c r="I227" i="7"/>
  <c r="I225" i="7"/>
  <c r="I222" i="7"/>
  <c r="I218" i="7"/>
  <c r="I214" i="7"/>
  <c r="I210" i="7"/>
  <c r="I206" i="7"/>
  <c r="I202" i="7"/>
  <c r="I198" i="7"/>
  <c r="I194" i="7"/>
  <c r="I190" i="7"/>
  <c r="I186" i="7"/>
  <c r="I182" i="7"/>
  <c r="I178" i="7"/>
  <c r="I174" i="7"/>
  <c r="I170" i="7"/>
  <c r="I166" i="7"/>
  <c r="I162" i="7"/>
  <c r="I158" i="7"/>
  <c r="I154" i="7"/>
  <c r="I150" i="7"/>
  <c r="I146" i="7"/>
  <c r="I142" i="7"/>
  <c r="I138" i="7"/>
  <c r="I134" i="7"/>
  <c r="I130" i="7"/>
  <c r="I126" i="7"/>
  <c r="I122" i="7"/>
  <c r="I118" i="7"/>
  <c r="I114" i="7"/>
  <c r="I238" i="7"/>
  <c r="I234" i="7"/>
  <c r="I230" i="7"/>
  <c r="I228" i="7"/>
  <c r="I223" i="7"/>
  <c r="I219" i="7"/>
  <c r="I215" i="7"/>
  <c r="I211" i="7"/>
  <c r="I207" i="7"/>
  <c r="I203" i="7"/>
  <c r="I199" i="7"/>
  <c r="I195" i="7"/>
  <c r="I191" i="7"/>
  <c r="I187" i="7"/>
  <c r="I183" i="7"/>
  <c r="I179" i="7"/>
  <c r="I175" i="7"/>
  <c r="I171" i="7"/>
  <c r="I167" i="7"/>
  <c r="I163" i="7"/>
  <c r="I159" i="7"/>
  <c r="I155" i="7"/>
  <c r="I151" i="7"/>
  <c r="I147" i="7"/>
  <c r="I143" i="7"/>
  <c r="I139" i="7"/>
  <c r="I135" i="7"/>
  <c r="I131" i="7"/>
  <c r="I127" i="7"/>
  <c r="I123" i="7"/>
  <c r="I119" i="7"/>
  <c r="I236" i="7"/>
  <c r="I232" i="7"/>
  <c r="I224" i="7"/>
  <c r="I221" i="7"/>
  <c r="I217" i="7"/>
  <c r="I213" i="7"/>
  <c r="I209" i="7"/>
  <c r="I205" i="7"/>
  <c r="I201" i="7"/>
  <c r="I197" i="7"/>
  <c r="I193" i="7"/>
  <c r="I189" i="7"/>
  <c r="I185" i="7"/>
  <c r="I181" i="7"/>
  <c r="I177" i="7"/>
  <c r="I173" i="7"/>
  <c r="I169" i="7"/>
  <c r="I165" i="7"/>
  <c r="I161" i="7"/>
  <c r="I157" i="7"/>
  <c r="I153" i="7"/>
  <c r="I149" i="7"/>
  <c r="I145" i="7"/>
  <c r="I141" i="7"/>
  <c r="I137" i="7"/>
  <c r="I129" i="7"/>
  <c r="I125" i="7"/>
  <c r="I121" i="7"/>
  <c r="H110" i="7"/>
  <c r="N42" i="7"/>
  <c r="N110" i="7"/>
  <c r="N78" i="7"/>
  <c r="N66" i="7"/>
  <c r="M108" i="7"/>
  <c r="M96" i="7"/>
  <c r="M92" i="7"/>
  <c r="M80" i="7"/>
  <c r="M76" i="7"/>
  <c r="M64" i="7"/>
  <c r="M60" i="7"/>
  <c r="M48" i="7"/>
  <c r="M44" i="7"/>
  <c r="M32" i="7"/>
  <c r="M28" i="7"/>
  <c r="M16" i="7"/>
  <c r="M12" i="7"/>
  <c r="M91" i="7"/>
  <c r="M87" i="7"/>
  <c r="M83" i="7"/>
  <c r="M79" i="7"/>
  <c r="M75" i="7"/>
  <c r="M71" i="7"/>
  <c r="M67" i="7"/>
  <c r="M63" i="7"/>
  <c r="M59" i="7"/>
  <c r="M55" i="7"/>
  <c r="M51" i="7"/>
  <c r="M47" i="7"/>
  <c r="M43" i="7"/>
  <c r="M39" i="7"/>
  <c r="M35" i="7"/>
  <c r="M31" i="7"/>
  <c r="M27" i="7"/>
  <c r="M23" i="7"/>
  <c r="M19" i="7"/>
  <c r="M15" i="7"/>
  <c r="M11" i="7"/>
  <c r="M7" i="7"/>
  <c r="N108" i="7"/>
  <c r="N96" i="7"/>
  <c r="N92" i="7"/>
  <c r="N80" i="7"/>
  <c r="N76" i="7"/>
  <c r="N64" i="7"/>
  <c r="N60" i="7"/>
  <c r="N48" i="7"/>
  <c r="N44" i="7"/>
  <c r="N32" i="7"/>
  <c r="N28" i="7"/>
  <c r="N16" i="7"/>
  <c r="N12" i="7"/>
  <c r="I4" i="7"/>
  <c r="I8" i="7"/>
  <c r="I20" i="7"/>
  <c r="I24" i="7"/>
  <c r="I36" i="7"/>
  <c r="I40" i="7"/>
  <c r="I52" i="7"/>
  <c r="I56" i="7"/>
  <c r="I68" i="7"/>
  <c r="I72" i="7"/>
  <c r="I84" i="7"/>
  <c r="I88" i="7"/>
  <c r="I100" i="7"/>
  <c r="I104" i="7"/>
  <c r="I112" i="7"/>
  <c r="M110" i="7"/>
  <c r="M78" i="7"/>
  <c r="M66" i="7"/>
  <c r="M42" i="7"/>
  <c r="N91" i="7"/>
  <c r="N87" i="7"/>
  <c r="N83" i="7"/>
  <c r="N79" i="7"/>
  <c r="N75" i="7"/>
  <c r="N71" i="7"/>
  <c r="N67" i="7"/>
  <c r="N63" i="7"/>
  <c r="N59" i="7"/>
  <c r="N55" i="7"/>
  <c r="N51" i="7"/>
  <c r="N47" i="7"/>
  <c r="N43" i="7"/>
  <c r="N39" i="7"/>
  <c r="N35" i="7"/>
  <c r="N31" i="7"/>
  <c r="N27" i="7"/>
  <c r="N23" i="7"/>
  <c r="N19" i="7"/>
  <c r="N15" i="7"/>
  <c r="N11" i="7"/>
  <c r="N7" i="7"/>
  <c r="I92" i="7"/>
  <c r="I60" i="7"/>
  <c r="I28" i="7"/>
  <c r="G2" i="7"/>
  <c r="I108" i="7"/>
  <c r="I76" i="7"/>
  <c r="I44" i="7"/>
  <c r="I12" i="7"/>
  <c r="I6" i="7"/>
  <c r="G6" i="7"/>
  <c r="I10" i="7"/>
  <c r="G10" i="7"/>
  <c r="I14" i="7"/>
  <c r="G14" i="7"/>
  <c r="I18" i="7"/>
  <c r="G18" i="7"/>
  <c r="I22" i="7"/>
  <c r="G22" i="7"/>
  <c r="I26" i="7"/>
  <c r="G26" i="7"/>
  <c r="I30" i="7"/>
  <c r="G30" i="7"/>
  <c r="I34" i="7"/>
  <c r="I38" i="7"/>
  <c r="G38" i="7"/>
  <c r="I46" i="7"/>
  <c r="I58" i="7"/>
  <c r="I74" i="7"/>
  <c r="I82" i="7"/>
  <c r="I94" i="7"/>
  <c r="I102" i="7"/>
  <c r="I95" i="7"/>
  <c r="I99" i="7"/>
  <c r="I103" i="7"/>
  <c r="I107" i="7"/>
  <c r="I111" i="7"/>
  <c r="G111" i="7"/>
  <c r="G95" i="7"/>
  <c r="G99" i="7"/>
  <c r="I16" i="7"/>
  <c r="I32" i="7"/>
  <c r="I48" i="7"/>
  <c r="I64" i="7"/>
  <c r="I80" i="7"/>
  <c r="I96" i="7"/>
  <c r="I50" i="7"/>
  <c r="I62" i="7"/>
  <c r="I70" i="7"/>
  <c r="I86" i="7"/>
  <c r="I98" i="7"/>
  <c r="I106" i="7"/>
  <c r="G34" i="7"/>
  <c r="G50" i="7"/>
  <c r="G58" i="7"/>
  <c r="G70" i="7"/>
  <c r="G86" i="7"/>
  <c r="G94" i="7"/>
  <c r="I15" i="7"/>
  <c r="I31" i="7"/>
  <c r="I43" i="7"/>
  <c r="I55" i="7"/>
  <c r="I63" i="7"/>
  <c r="I71" i="7"/>
  <c r="I75" i="7"/>
  <c r="I79" i="7"/>
  <c r="I83" i="7"/>
  <c r="I87" i="7"/>
  <c r="I91" i="7"/>
  <c r="G4" i="7"/>
  <c r="G8" i="7"/>
  <c r="G20" i="7"/>
  <c r="G24" i="7"/>
  <c r="G36" i="7"/>
  <c r="G40" i="7"/>
  <c r="G52" i="7"/>
  <c r="G56" i="7"/>
  <c r="G68" i="7"/>
  <c r="G72" i="7"/>
  <c r="G84" i="7"/>
  <c r="G88" i="7"/>
  <c r="G100" i="7"/>
  <c r="I42" i="7"/>
  <c r="I54" i="7"/>
  <c r="I66" i="7"/>
  <c r="I78" i="7"/>
  <c r="I90" i="7"/>
  <c r="I110" i="7"/>
  <c r="G46" i="7"/>
  <c r="G54" i="7"/>
  <c r="G62" i="7"/>
  <c r="G74" i="7"/>
  <c r="G82" i="7"/>
  <c r="G90" i="7"/>
  <c r="G98" i="7"/>
  <c r="I3" i="7"/>
  <c r="I7" i="7"/>
  <c r="I11" i="7"/>
  <c r="I19" i="7"/>
  <c r="I23" i="7"/>
  <c r="I27" i="7"/>
  <c r="I35" i="7"/>
  <c r="I39" i="7"/>
  <c r="I47" i="7"/>
  <c r="I51" i="7"/>
  <c r="I59" i="7"/>
  <c r="I67" i="7"/>
  <c r="I5" i="7"/>
  <c r="I9" i="7"/>
  <c r="I13" i="7"/>
  <c r="I17" i="7"/>
  <c r="I21" i="7"/>
  <c r="I25" i="7"/>
  <c r="I29" i="7"/>
  <c r="I33" i="7"/>
  <c r="I37" i="7"/>
  <c r="I41" i="7"/>
  <c r="I45" i="7"/>
  <c r="I49" i="7"/>
  <c r="I53" i="7"/>
  <c r="I57" i="7"/>
  <c r="I61" i="7"/>
  <c r="I65" i="7"/>
  <c r="I69" i="7"/>
  <c r="I73" i="7"/>
  <c r="I77" i="7"/>
  <c r="I81" i="7"/>
  <c r="I85" i="7"/>
  <c r="I89" i="7"/>
  <c r="I93" i="7"/>
  <c r="I97" i="7"/>
  <c r="I101" i="7"/>
  <c r="I105" i="7"/>
  <c r="I109" i="7"/>
  <c r="I113" i="7"/>
  <c r="G5" i="7"/>
  <c r="G9" i="7"/>
  <c r="G13" i="7"/>
  <c r="G17" i="7"/>
  <c r="G21" i="7"/>
  <c r="G25" i="7"/>
  <c r="G29" i="7"/>
  <c r="G33" i="7"/>
  <c r="G37" i="7"/>
  <c r="G41" i="7"/>
  <c r="G45" i="7"/>
  <c r="G49" i="7"/>
  <c r="G53" i="7"/>
  <c r="G57" i="7"/>
  <c r="G61" i="7"/>
  <c r="G65" i="7"/>
  <c r="G69" i="7"/>
  <c r="G73" i="7"/>
  <c r="G77" i="7"/>
  <c r="G81" i="7"/>
  <c r="G85" i="7"/>
  <c r="G89" i="7"/>
  <c r="G93" i="7"/>
  <c r="G97" i="7"/>
  <c r="L331" i="7" l="1"/>
  <c r="L415" i="7"/>
  <c r="L347" i="7"/>
  <c r="H2" i="7"/>
  <c r="M2" i="7"/>
  <c r="L343" i="7"/>
  <c r="K334" i="7"/>
  <c r="M350" i="7"/>
  <c r="N350" i="7"/>
  <c r="H350" i="7"/>
  <c r="L350" i="7" s="1"/>
  <c r="M366" i="7"/>
  <c r="N366" i="7"/>
  <c r="H366" i="7"/>
  <c r="L366" i="7" s="1"/>
  <c r="M382" i="7"/>
  <c r="N382" i="7"/>
  <c r="H382" i="7"/>
  <c r="L382" i="7" s="1"/>
  <c r="M398" i="7"/>
  <c r="N398" i="7"/>
  <c r="H398" i="7"/>
  <c r="L398" i="7" s="1"/>
  <c r="M410" i="7"/>
  <c r="H410" i="7"/>
  <c r="L410" i="7" s="1"/>
  <c r="N410" i="7"/>
  <c r="M418" i="7"/>
  <c r="H418" i="7"/>
  <c r="L418" i="7" s="1"/>
  <c r="N418" i="7"/>
  <c r="M426" i="7"/>
  <c r="H426" i="7"/>
  <c r="N426" i="7"/>
  <c r="M434" i="7"/>
  <c r="H434" i="7"/>
  <c r="L434" i="7" s="1"/>
  <c r="N434" i="7"/>
  <c r="N345" i="7"/>
  <c r="M345" i="7"/>
  <c r="H345" i="7"/>
  <c r="L345" i="7" s="1"/>
  <c r="N361" i="7"/>
  <c r="M361" i="7"/>
  <c r="H361" i="7"/>
  <c r="L361" i="7" s="1"/>
  <c r="N381" i="7"/>
  <c r="H381" i="7"/>
  <c r="L381" i="7" s="1"/>
  <c r="M381" i="7"/>
  <c r="N397" i="7"/>
  <c r="H397" i="7"/>
  <c r="L397" i="7" s="1"/>
  <c r="M397" i="7"/>
  <c r="N413" i="7"/>
  <c r="M413" i="7"/>
  <c r="H413" i="7"/>
  <c r="L413" i="7" s="1"/>
  <c r="N429" i="7"/>
  <c r="M429" i="7"/>
  <c r="H429" i="7"/>
  <c r="L429" i="7" s="1"/>
  <c r="K336" i="7"/>
  <c r="L336" i="7" s="1"/>
  <c r="L339" i="7"/>
  <c r="K355" i="7"/>
  <c r="L355" i="7" s="1"/>
  <c r="K371" i="7"/>
  <c r="L371" i="7" s="1"/>
  <c r="K387" i="7"/>
  <c r="L387" i="7" s="1"/>
  <c r="K403" i="7"/>
  <c r="L403" i="7" s="1"/>
  <c r="K419" i="7"/>
  <c r="L419" i="7" s="1"/>
  <c r="K435" i="7"/>
  <c r="L435" i="7" s="1"/>
  <c r="K364" i="7"/>
  <c r="L364" i="7" s="1"/>
  <c r="K428" i="7"/>
  <c r="L428" i="7" s="1"/>
  <c r="N349" i="7"/>
  <c r="M349" i="7"/>
  <c r="H349" i="7"/>
  <c r="L349" i="7" s="1"/>
  <c r="N365" i="7"/>
  <c r="M365" i="7"/>
  <c r="H365" i="7"/>
  <c r="L365" i="7" s="1"/>
  <c r="N377" i="7"/>
  <c r="M377" i="7"/>
  <c r="H377" i="7"/>
  <c r="L377" i="7" s="1"/>
  <c r="N393" i="7"/>
  <c r="M393" i="7"/>
  <c r="H393" i="7"/>
  <c r="N409" i="7"/>
  <c r="M409" i="7"/>
  <c r="H409" i="7"/>
  <c r="L409" i="7" s="1"/>
  <c r="N425" i="7"/>
  <c r="M425" i="7"/>
  <c r="H425" i="7"/>
  <c r="L425" i="7" s="1"/>
  <c r="M346" i="7"/>
  <c r="N346" i="7"/>
  <c r="H346" i="7"/>
  <c r="M362" i="7"/>
  <c r="N362" i="7"/>
  <c r="H362" i="7"/>
  <c r="M378" i="7"/>
  <c r="N378" i="7"/>
  <c r="H378" i="7"/>
  <c r="M394" i="7"/>
  <c r="H394" i="7"/>
  <c r="N394" i="7"/>
  <c r="L426" i="7"/>
  <c r="N337" i="7"/>
  <c r="M337" i="7"/>
  <c r="H337" i="7"/>
  <c r="L337" i="7" s="1"/>
  <c r="L359" i="7"/>
  <c r="L375" i="7"/>
  <c r="L391" i="7"/>
  <c r="L407" i="7"/>
  <c r="L423" i="7"/>
  <c r="N328" i="7"/>
  <c r="M328" i="7"/>
  <c r="H328" i="7"/>
  <c r="L328" i="7" s="1"/>
  <c r="K380" i="7"/>
  <c r="L380" i="7" s="1"/>
  <c r="K329" i="7"/>
  <c r="K330" i="7"/>
  <c r="L330" i="7" s="1"/>
  <c r="M338" i="7"/>
  <c r="H338" i="7"/>
  <c r="L338" i="7" s="1"/>
  <c r="N338" i="7"/>
  <c r="M342" i="7"/>
  <c r="H342" i="7"/>
  <c r="N342" i="7"/>
  <c r="K346" i="7"/>
  <c r="M358" i="7"/>
  <c r="H358" i="7"/>
  <c r="N358" i="7"/>
  <c r="K362" i="7"/>
  <c r="M374" i="7"/>
  <c r="H374" i="7"/>
  <c r="N374" i="7"/>
  <c r="K378" i="7"/>
  <c r="M390" i="7"/>
  <c r="H390" i="7"/>
  <c r="N390" i="7"/>
  <c r="K394" i="7"/>
  <c r="M406" i="7"/>
  <c r="H406" i="7"/>
  <c r="N406" i="7"/>
  <c r="M414" i="7"/>
  <c r="N414" i="7"/>
  <c r="H414" i="7"/>
  <c r="L414" i="7" s="1"/>
  <c r="M422" i="7"/>
  <c r="H422" i="7"/>
  <c r="L422" i="7" s="1"/>
  <c r="N422" i="7"/>
  <c r="M430" i="7"/>
  <c r="N430" i="7"/>
  <c r="H430" i="7"/>
  <c r="L430" i="7" s="1"/>
  <c r="N329" i="7"/>
  <c r="M329" i="7"/>
  <c r="H329" i="7"/>
  <c r="N353" i="7"/>
  <c r="M353" i="7"/>
  <c r="H353" i="7"/>
  <c r="L353" i="7" s="1"/>
  <c r="N369" i="7"/>
  <c r="M369" i="7"/>
  <c r="H369" i="7"/>
  <c r="L369" i="7" s="1"/>
  <c r="N389" i="7"/>
  <c r="M389" i="7"/>
  <c r="H389" i="7"/>
  <c r="L389" i="7" s="1"/>
  <c r="N405" i="7"/>
  <c r="M405" i="7"/>
  <c r="H405" i="7"/>
  <c r="L405" i="7" s="1"/>
  <c r="N421" i="7"/>
  <c r="M421" i="7"/>
  <c r="H421" i="7"/>
  <c r="L421" i="7" s="1"/>
  <c r="K363" i="7"/>
  <c r="L363" i="7" s="1"/>
  <c r="K379" i="7"/>
  <c r="L379" i="7" s="1"/>
  <c r="K395" i="7"/>
  <c r="L395" i="7" s="1"/>
  <c r="K411" i="7"/>
  <c r="L411" i="7" s="1"/>
  <c r="K427" i="7"/>
  <c r="L427" i="7" s="1"/>
  <c r="K396" i="7"/>
  <c r="L396" i="7" s="1"/>
  <c r="N341" i="7"/>
  <c r="M341" i="7"/>
  <c r="H341" i="7"/>
  <c r="L341" i="7" s="1"/>
  <c r="N357" i="7"/>
  <c r="M357" i="7"/>
  <c r="H357" i="7"/>
  <c r="N373" i="7"/>
  <c r="M373" i="7"/>
  <c r="H373" i="7"/>
  <c r="L373" i="7" s="1"/>
  <c r="N385" i="7"/>
  <c r="M385" i="7"/>
  <c r="H385" i="7"/>
  <c r="L385" i="7" s="1"/>
  <c r="N401" i="7"/>
  <c r="M401" i="7"/>
  <c r="H401" i="7"/>
  <c r="L401" i="7" s="1"/>
  <c r="N417" i="7"/>
  <c r="M417" i="7"/>
  <c r="H417" i="7"/>
  <c r="L417" i="7" s="1"/>
  <c r="N433" i="7"/>
  <c r="M433" i="7"/>
  <c r="H433" i="7"/>
  <c r="L433" i="7" s="1"/>
  <c r="L357" i="7"/>
  <c r="M334" i="7"/>
  <c r="N334" i="7"/>
  <c r="H334" i="7"/>
  <c r="K342" i="7"/>
  <c r="M354" i="7"/>
  <c r="H354" i="7"/>
  <c r="L354" i="7" s="1"/>
  <c r="N354" i="7"/>
  <c r="K358" i="7"/>
  <c r="M370" i="7"/>
  <c r="H370" i="7"/>
  <c r="L370" i="7" s="1"/>
  <c r="N370" i="7"/>
  <c r="K374" i="7"/>
  <c r="M386" i="7"/>
  <c r="H386" i="7"/>
  <c r="L386" i="7" s="1"/>
  <c r="N386" i="7"/>
  <c r="K390" i="7"/>
  <c r="M402" i="7"/>
  <c r="H402" i="7"/>
  <c r="L402" i="7" s="1"/>
  <c r="N402" i="7"/>
  <c r="K406" i="7"/>
  <c r="N333" i="7"/>
  <c r="M333" i="7"/>
  <c r="H333" i="7"/>
  <c r="L333" i="7" s="1"/>
  <c r="K335" i="7"/>
  <c r="L335" i="7" s="1"/>
  <c r="K351" i="7"/>
  <c r="L351" i="7" s="1"/>
  <c r="K367" i="7"/>
  <c r="L367" i="7" s="1"/>
  <c r="K383" i="7"/>
  <c r="L383" i="7" s="1"/>
  <c r="K399" i="7"/>
  <c r="L399" i="7" s="1"/>
  <c r="L431" i="7"/>
  <c r="L393" i="7"/>
  <c r="K332" i="7"/>
  <c r="L332" i="7" s="1"/>
  <c r="K412" i="7"/>
  <c r="L412" i="7" s="1"/>
  <c r="K326" i="7"/>
  <c r="L326" i="7" s="1"/>
  <c r="H302" i="7"/>
  <c r="N302" i="7"/>
  <c r="M302" i="7"/>
  <c r="H258" i="7"/>
  <c r="N258" i="7"/>
  <c r="M258" i="7"/>
  <c r="H254" i="7"/>
  <c r="N254" i="7"/>
  <c r="M254" i="7"/>
  <c r="H318" i="7"/>
  <c r="N318" i="7"/>
  <c r="M318" i="7"/>
  <c r="H306" i="7"/>
  <c r="N306" i="7"/>
  <c r="M306" i="7"/>
  <c r="H286" i="7"/>
  <c r="N286" i="7"/>
  <c r="M286" i="7"/>
  <c r="H242" i="7"/>
  <c r="N242" i="7"/>
  <c r="M242" i="7"/>
  <c r="N3" i="7"/>
  <c r="M3" i="7"/>
  <c r="H270" i="7"/>
  <c r="N270" i="7"/>
  <c r="M270" i="7"/>
  <c r="N148" i="7"/>
  <c r="M148" i="7"/>
  <c r="H148" i="7"/>
  <c r="N168" i="7"/>
  <c r="M168" i="7"/>
  <c r="H168" i="7"/>
  <c r="N188" i="7"/>
  <c r="M188" i="7"/>
  <c r="H188" i="7"/>
  <c r="N208" i="7"/>
  <c r="M208" i="7"/>
  <c r="H208" i="7"/>
  <c r="N216" i="7"/>
  <c r="M216" i="7"/>
  <c r="H216" i="7"/>
  <c r="N226" i="7"/>
  <c r="M226" i="7"/>
  <c r="H226" i="7"/>
  <c r="N235" i="7"/>
  <c r="M235" i="7"/>
  <c r="H235" i="7"/>
  <c r="N120" i="7"/>
  <c r="M120" i="7"/>
  <c r="H120" i="7"/>
  <c r="N128" i="7"/>
  <c r="M128" i="7"/>
  <c r="H128" i="7"/>
  <c r="N136" i="7"/>
  <c r="M136" i="7"/>
  <c r="H136" i="7"/>
  <c r="N144" i="7"/>
  <c r="M144" i="7"/>
  <c r="H144" i="7"/>
  <c r="N152" i="7"/>
  <c r="M152" i="7"/>
  <c r="H152" i="7"/>
  <c r="N164" i="7"/>
  <c r="M164" i="7"/>
  <c r="H164" i="7"/>
  <c r="N172" i="7"/>
  <c r="M172" i="7"/>
  <c r="H172" i="7"/>
  <c r="N184" i="7"/>
  <c r="M184" i="7"/>
  <c r="H184" i="7"/>
  <c r="N192" i="7"/>
  <c r="M192" i="7"/>
  <c r="H192" i="7"/>
  <c r="N212" i="7"/>
  <c r="M212" i="7"/>
  <c r="H212" i="7"/>
  <c r="N229" i="7"/>
  <c r="M229" i="7"/>
  <c r="H229" i="7"/>
  <c r="N231" i="7"/>
  <c r="M231" i="7"/>
  <c r="H231" i="7"/>
  <c r="N124" i="7"/>
  <c r="M124" i="7"/>
  <c r="H124" i="7"/>
  <c r="N200" i="7"/>
  <c r="M200" i="7"/>
  <c r="H200" i="7"/>
  <c r="H82" i="7"/>
  <c r="M82" i="7"/>
  <c r="N82" i="7"/>
  <c r="H109" i="7"/>
  <c r="N109" i="7"/>
  <c r="M109" i="7"/>
  <c r="H93" i="7"/>
  <c r="N93" i="7"/>
  <c r="M93" i="7"/>
  <c r="H77" i="7"/>
  <c r="N77" i="7"/>
  <c r="M77" i="7"/>
  <c r="H61" i="7"/>
  <c r="N61" i="7"/>
  <c r="M61" i="7"/>
  <c r="H45" i="7"/>
  <c r="N45" i="7"/>
  <c r="M45" i="7"/>
  <c r="H29" i="7"/>
  <c r="M29" i="7"/>
  <c r="N29" i="7"/>
  <c r="H13" i="7"/>
  <c r="M13" i="7"/>
  <c r="N13" i="7"/>
  <c r="H106" i="7"/>
  <c r="M106" i="7"/>
  <c r="N106" i="7"/>
  <c r="H74" i="7"/>
  <c r="M74" i="7"/>
  <c r="N74" i="7"/>
  <c r="H88" i="7"/>
  <c r="N88" i="7"/>
  <c r="M88" i="7"/>
  <c r="H56" i="7"/>
  <c r="N56" i="7"/>
  <c r="M56" i="7"/>
  <c r="H24" i="7"/>
  <c r="N24" i="7"/>
  <c r="M24" i="7"/>
  <c r="H94" i="7"/>
  <c r="M94" i="7"/>
  <c r="N94" i="7"/>
  <c r="H50" i="7"/>
  <c r="M50" i="7"/>
  <c r="N50" i="7"/>
  <c r="H103" i="7"/>
  <c r="N103" i="7"/>
  <c r="M103" i="7"/>
  <c r="H38" i="7"/>
  <c r="M38" i="7"/>
  <c r="N38" i="7"/>
  <c r="H97" i="7"/>
  <c r="N97" i="7"/>
  <c r="M97" i="7"/>
  <c r="H65" i="7"/>
  <c r="N65" i="7"/>
  <c r="M65" i="7"/>
  <c r="H33" i="7"/>
  <c r="N33" i="7"/>
  <c r="M33" i="7"/>
  <c r="H113" i="7"/>
  <c r="N113" i="7"/>
  <c r="M113" i="7"/>
  <c r="H100" i="7"/>
  <c r="N100" i="7"/>
  <c r="M100" i="7"/>
  <c r="H68" i="7"/>
  <c r="N68" i="7"/>
  <c r="M68" i="7"/>
  <c r="H36" i="7"/>
  <c r="N36" i="7"/>
  <c r="M36" i="7"/>
  <c r="H4" i="7"/>
  <c r="N4" i="7"/>
  <c r="M4" i="7"/>
  <c r="H102" i="7"/>
  <c r="M102" i="7"/>
  <c r="N102" i="7"/>
  <c r="H58" i="7"/>
  <c r="M58" i="7"/>
  <c r="N58" i="7"/>
  <c r="H107" i="7"/>
  <c r="N107" i="7"/>
  <c r="M107" i="7"/>
  <c r="H111" i="7"/>
  <c r="N111" i="7"/>
  <c r="M111" i="7"/>
  <c r="H30" i="7"/>
  <c r="M30" i="7"/>
  <c r="N30" i="7"/>
  <c r="H22" i="7"/>
  <c r="M22" i="7"/>
  <c r="N22" i="7"/>
  <c r="H14" i="7"/>
  <c r="M14" i="7"/>
  <c r="N14" i="7"/>
  <c r="H6" i="7"/>
  <c r="M6" i="7"/>
  <c r="N6" i="7"/>
  <c r="H105" i="7"/>
  <c r="N105" i="7"/>
  <c r="M105" i="7"/>
  <c r="H89" i="7"/>
  <c r="N89" i="7"/>
  <c r="M89" i="7"/>
  <c r="H73" i="7"/>
  <c r="N73" i="7"/>
  <c r="M73" i="7"/>
  <c r="H57" i="7"/>
  <c r="N57" i="7"/>
  <c r="M57" i="7"/>
  <c r="H41" i="7"/>
  <c r="N41" i="7"/>
  <c r="M41" i="7"/>
  <c r="H25" i="7"/>
  <c r="N25" i="7"/>
  <c r="M25" i="7"/>
  <c r="H9" i="7"/>
  <c r="N9" i="7"/>
  <c r="M9" i="7"/>
  <c r="H98" i="7"/>
  <c r="M98" i="7"/>
  <c r="N98" i="7"/>
  <c r="H62" i="7"/>
  <c r="M62" i="7"/>
  <c r="N62" i="7"/>
  <c r="H84" i="7"/>
  <c r="N84" i="7"/>
  <c r="M84" i="7"/>
  <c r="H52" i="7"/>
  <c r="N52" i="7"/>
  <c r="M52" i="7"/>
  <c r="H20" i="7"/>
  <c r="N20" i="7"/>
  <c r="M20" i="7"/>
  <c r="H86" i="7"/>
  <c r="M86" i="7"/>
  <c r="N86" i="7"/>
  <c r="H34" i="7"/>
  <c r="M34" i="7"/>
  <c r="N34" i="7"/>
  <c r="H99" i="7"/>
  <c r="N99" i="7"/>
  <c r="M99" i="7"/>
  <c r="H26" i="7"/>
  <c r="M26" i="7"/>
  <c r="N26" i="7"/>
  <c r="H18" i="7"/>
  <c r="M18" i="7"/>
  <c r="N18" i="7"/>
  <c r="H10" i="7"/>
  <c r="M10" i="7"/>
  <c r="N10" i="7"/>
  <c r="N2" i="7"/>
  <c r="H81" i="7"/>
  <c r="N81" i="7"/>
  <c r="M81" i="7"/>
  <c r="H49" i="7"/>
  <c r="N49" i="7"/>
  <c r="M49" i="7"/>
  <c r="H17" i="7"/>
  <c r="N17" i="7"/>
  <c r="M17" i="7"/>
  <c r="H46" i="7"/>
  <c r="M46" i="7"/>
  <c r="N46" i="7"/>
  <c r="H101" i="7"/>
  <c r="N101" i="7"/>
  <c r="M101" i="7"/>
  <c r="H85" i="7"/>
  <c r="N85" i="7"/>
  <c r="M85" i="7"/>
  <c r="H69" i="7"/>
  <c r="N69" i="7"/>
  <c r="M69" i="7"/>
  <c r="H53" i="7"/>
  <c r="N53" i="7"/>
  <c r="M53" i="7"/>
  <c r="H37" i="7"/>
  <c r="N37" i="7"/>
  <c r="M37" i="7"/>
  <c r="H21" i="7"/>
  <c r="M21" i="7"/>
  <c r="N21" i="7"/>
  <c r="H5" i="7"/>
  <c r="M5" i="7"/>
  <c r="N5" i="7"/>
  <c r="H90" i="7"/>
  <c r="M90" i="7"/>
  <c r="N90" i="7"/>
  <c r="H54" i="7"/>
  <c r="M54" i="7"/>
  <c r="N54" i="7"/>
  <c r="H104" i="7"/>
  <c r="N104" i="7"/>
  <c r="M104" i="7"/>
  <c r="H72" i="7"/>
  <c r="N72" i="7"/>
  <c r="M72" i="7"/>
  <c r="H40" i="7"/>
  <c r="N40" i="7"/>
  <c r="M40" i="7"/>
  <c r="H8" i="7"/>
  <c r="N8" i="7"/>
  <c r="M8" i="7"/>
  <c r="H70" i="7"/>
  <c r="M70" i="7"/>
  <c r="N70" i="7"/>
  <c r="H112" i="7"/>
  <c r="N112" i="7"/>
  <c r="M112" i="7"/>
  <c r="H95" i="7"/>
  <c r="N95" i="7"/>
  <c r="M95" i="7"/>
  <c r="L394" i="7" l="1"/>
  <c r="L406" i="7"/>
  <c r="L390" i="7"/>
  <c r="L374" i="7"/>
  <c r="L358" i="7"/>
  <c r="L342" i="7"/>
  <c r="L378" i="7"/>
  <c r="L362" i="7"/>
  <c r="L346" i="7"/>
  <c r="S4" i="7"/>
  <c r="L334" i="7"/>
  <c r="L329" i="7"/>
  <c r="K231" i="7" l="1"/>
  <c r="L231" i="7" s="1"/>
  <c r="K175" i="7"/>
  <c r="L175" i="7" s="1"/>
  <c r="K103" i="7"/>
  <c r="L103" i="7" s="1"/>
  <c r="K139" i="7"/>
  <c r="L139" i="7" s="1"/>
  <c r="K226" i="7"/>
  <c r="L226" i="7" s="1"/>
  <c r="K106" i="7"/>
  <c r="L106" i="7" s="1"/>
  <c r="K110" i="7"/>
  <c r="L110" i="7" s="1"/>
  <c r="K23" i="7"/>
  <c r="L23" i="7" s="1"/>
  <c r="K52" i="7"/>
  <c r="L52" i="7" s="1"/>
  <c r="K18" i="7"/>
  <c r="L18" i="7" s="1"/>
  <c r="K109" i="7"/>
  <c r="L109" i="7" s="1"/>
  <c r="K172" i="7"/>
  <c r="L172" i="7" s="1"/>
  <c r="K194" i="7"/>
  <c r="L194" i="7" s="1"/>
  <c r="K121" i="7"/>
  <c r="L121" i="7" s="1"/>
  <c r="K227" i="7"/>
  <c r="L227" i="7" s="1"/>
  <c r="K199" i="7"/>
  <c r="L199" i="7" s="1"/>
  <c r="K224" i="7"/>
  <c r="L224" i="7" s="1"/>
  <c r="K107" i="7"/>
  <c r="L107" i="7" s="1"/>
  <c r="K193" i="7"/>
  <c r="L193" i="7" s="1"/>
  <c r="K19" i="7"/>
  <c r="L19" i="7" s="1"/>
  <c r="K187" i="7"/>
  <c r="L187" i="7" s="1"/>
  <c r="K182" i="7"/>
  <c r="L182" i="7" s="1"/>
  <c r="K127" i="7"/>
  <c r="L127" i="7" s="1"/>
  <c r="K153" i="7"/>
  <c r="L153" i="7" s="1"/>
  <c r="K140" i="7"/>
  <c r="L140" i="7" s="1"/>
  <c r="K8" i="7"/>
  <c r="L8" i="7" s="1"/>
  <c r="K105" i="7"/>
  <c r="L105" i="7" s="1"/>
  <c r="K166" i="7"/>
  <c r="L166" i="7" s="1"/>
  <c r="K73" i="7"/>
  <c r="L73" i="7" s="1"/>
  <c r="K142" i="7"/>
  <c r="L142" i="7" s="1"/>
  <c r="K212" i="7"/>
  <c r="L212" i="7" s="1"/>
  <c r="K130" i="7"/>
  <c r="L130" i="7" s="1"/>
  <c r="K31" i="7"/>
  <c r="L31" i="7" s="1"/>
  <c r="K201" i="7"/>
  <c r="L201" i="7" s="1"/>
  <c r="K95" i="7"/>
  <c r="L95" i="7" s="1"/>
  <c r="K47" i="7"/>
  <c r="L47" i="7" s="1"/>
  <c r="K154" i="7"/>
  <c r="L154" i="7" s="1"/>
  <c r="K120" i="7"/>
  <c r="L120" i="7" s="1"/>
  <c r="K116" i="7"/>
  <c r="L116" i="7" s="1"/>
  <c r="K40" i="7"/>
  <c r="L40" i="7" s="1"/>
  <c r="K215" i="7"/>
  <c r="L215" i="7" s="1"/>
  <c r="J2" i="7"/>
  <c r="K2" i="7" s="1"/>
  <c r="L2" i="7" s="1"/>
  <c r="K238" i="7"/>
  <c r="L238" i="7" s="1"/>
  <c r="K171" i="7"/>
  <c r="L171" i="7" s="1"/>
  <c r="K233" i="7"/>
  <c r="L233" i="7" s="1"/>
  <c r="K160" i="7"/>
  <c r="L160" i="7" s="1"/>
  <c r="K30" i="7"/>
  <c r="L30" i="7" s="1"/>
  <c r="K178" i="7"/>
  <c r="L178" i="7" s="1"/>
  <c r="K164" i="7"/>
  <c r="L164" i="7" s="1"/>
  <c r="K216" i="7"/>
  <c r="L216" i="7" s="1"/>
  <c r="K77" i="7"/>
  <c r="L77" i="7" s="1"/>
  <c r="K222" i="7"/>
  <c r="L222" i="7" s="1"/>
  <c r="K69" i="7"/>
  <c r="L69" i="7" s="1"/>
  <c r="K196" i="7"/>
  <c r="L196" i="7" s="1"/>
  <c r="K125" i="7"/>
  <c r="L125" i="7" s="1"/>
  <c r="K141" i="7"/>
  <c r="L141" i="7" s="1"/>
  <c r="K123" i="7"/>
  <c r="L123" i="7" s="1"/>
  <c r="K223" i="7"/>
  <c r="L223" i="7" s="1"/>
  <c r="K214" i="7"/>
  <c r="L214" i="7" s="1"/>
  <c r="K228" i="7"/>
  <c r="L228" i="7" s="1"/>
  <c r="K13" i="7"/>
  <c r="L13" i="7" s="1"/>
  <c r="K38" i="7"/>
  <c r="L38" i="7" s="1"/>
  <c r="K20" i="7"/>
  <c r="L20" i="7" s="1"/>
  <c r="K28" i="7"/>
  <c r="L28" i="7" s="1"/>
  <c r="K49" i="7"/>
  <c r="L49" i="7" s="1"/>
  <c r="K217" i="7"/>
  <c r="L217" i="7" s="1"/>
  <c r="K158" i="7"/>
  <c r="L158" i="7" s="1"/>
  <c r="K210" i="7"/>
  <c r="L210" i="7" s="1"/>
  <c r="K84" i="7"/>
  <c r="L84" i="7" s="1"/>
  <c r="K39" i="7"/>
  <c r="L39" i="7" s="1"/>
  <c r="K45" i="7"/>
  <c r="L45" i="7" s="1"/>
  <c r="K9" i="7"/>
  <c r="L9" i="7" s="1"/>
  <c r="K22" i="7"/>
  <c r="L22" i="7" s="1"/>
  <c r="K184" i="7"/>
  <c r="L184" i="7" s="1"/>
  <c r="K76" i="7"/>
  <c r="L76" i="7" s="1"/>
  <c r="K42" i="7"/>
  <c r="L42" i="7" s="1"/>
  <c r="K32" i="7"/>
  <c r="L32" i="7" s="1"/>
  <c r="K129" i="7"/>
  <c r="L129" i="7" s="1"/>
  <c r="K98" i="7"/>
  <c r="L98" i="7" s="1"/>
  <c r="K75" i="7"/>
  <c r="L75" i="7" s="1"/>
  <c r="K115" i="7"/>
  <c r="L115" i="7" s="1"/>
  <c r="K118" i="7"/>
  <c r="L118" i="7" s="1"/>
  <c r="K104" i="7"/>
  <c r="L104" i="7" s="1"/>
  <c r="K15" i="7"/>
  <c r="L15" i="7" s="1"/>
  <c r="K4" i="7"/>
  <c r="L4" i="7" s="1"/>
  <c r="K117" i="7"/>
  <c r="L117" i="7" s="1"/>
  <c r="K205" i="7"/>
  <c r="L205" i="7" s="1"/>
  <c r="K211" i="7"/>
  <c r="L211" i="7" s="1"/>
  <c r="K138" i="7"/>
  <c r="L138" i="7" s="1"/>
  <c r="K230" i="7"/>
  <c r="L230" i="7" s="1"/>
  <c r="K14" i="7"/>
  <c r="L14" i="7" s="1"/>
  <c r="K218" i="7"/>
  <c r="L218" i="7" s="1"/>
  <c r="K11" i="7"/>
  <c r="L11" i="7" s="1"/>
  <c r="K149" i="7"/>
  <c r="L149" i="7" s="1"/>
  <c r="K162" i="7"/>
  <c r="L162" i="7" s="1"/>
  <c r="K229" i="7"/>
  <c r="L229" i="7" s="1"/>
  <c r="K198" i="7"/>
  <c r="L198" i="7" s="1"/>
  <c r="K10" i="7"/>
  <c r="L10" i="7" s="1"/>
  <c r="K204" i="7"/>
  <c r="L204" i="7" s="1"/>
  <c r="K80" i="7"/>
  <c r="L80" i="7" s="1"/>
  <c r="K83" i="7"/>
  <c r="L83" i="7" s="1"/>
  <c r="K63" i="7"/>
  <c r="L63" i="7" s="1"/>
  <c r="K232" i="7"/>
  <c r="L232" i="7" s="1"/>
  <c r="K57" i="7"/>
  <c r="L57" i="7" s="1"/>
  <c r="K54" i="7"/>
  <c r="L54" i="7" s="1"/>
  <c r="K96" i="7"/>
  <c r="L96" i="7" s="1"/>
  <c r="K169" i="7"/>
  <c r="L169" i="7" s="1"/>
  <c r="K151" i="7"/>
  <c r="L151" i="7" s="1"/>
  <c r="K163" i="7"/>
  <c r="L163" i="7" s="1"/>
  <c r="K179" i="7"/>
  <c r="L179" i="7" s="1"/>
  <c r="K99" i="7"/>
  <c r="L99" i="7" s="1"/>
  <c r="K94" i="7"/>
  <c r="L94" i="7" s="1"/>
  <c r="K183" i="7"/>
  <c r="L183" i="7" s="1"/>
  <c r="K156" i="7"/>
  <c r="L156" i="7" s="1"/>
  <c r="K119" i="7"/>
  <c r="L119" i="7" s="1"/>
  <c r="K155" i="7"/>
  <c r="L155" i="7" s="1"/>
  <c r="K145" i="7"/>
  <c r="L145" i="7" s="1"/>
  <c r="K27" i="7"/>
  <c r="L27" i="7" s="1"/>
  <c r="K207" i="7"/>
  <c r="L207" i="7" s="1"/>
  <c r="K81" i="7"/>
  <c r="L81" i="7" s="1"/>
  <c r="K61" i="7"/>
  <c r="L61" i="7" s="1"/>
  <c r="K135" i="7"/>
  <c r="L135" i="7" s="1"/>
  <c r="K208" i="7"/>
  <c r="L208" i="7" s="1"/>
  <c r="K122" i="7"/>
  <c r="L122" i="7" s="1"/>
  <c r="K213" i="7"/>
  <c r="L213" i="7" s="1"/>
  <c r="K159" i="7"/>
  <c r="L159" i="7" s="1"/>
  <c r="K134" i="7"/>
  <c r="L134" i="7" s="1"/>
  <c r="K21" i="7"/>
  <c r="L21" i="7" s="1"/>
  <c r="K85" i="7"/>
  <c r="L85" i="7" s="1"/>
  <c r="K186" i="7"/>
  <c r="L186" i="7" s="1"/>
  <c r="K43" i="7"/>
  <c r="L43" i="7" s="1"/>
  <c r="K113" i="7"/>
  <c r="L113" i="7" s="1"/>
  <c r="K174" i="7"/>
  <c r="L174" i="7" s="1"/>
  <c r="K90" i="7"/>
  <c r="L90" i="7" s="1"/>
  <c r="K203" i="7"/>
  <c r="L203" i="7" s="1"/>
  <c r="K209" i="7"/>
  <c r="L209" i="7" s="1"/>
  <c r="K189" i="7"/>
  <c r="L189" i="7" s="1"/>
  <c r="K17" i="7"/>
  <c r="L17" i="7" s="1"/>
  <c r="K173" i="7"/>
  <c r="L173" i="7" s="1"/>
  <c r="K51" i="7"/>
  <c r="L51" i="7" s="1"/>
  <c r="K16" i="7"/>
  <c r="L16" i="7" s="1"/>
  <c r="K29" i="7"/>
  <c r="L29" i="7" s="1"/>
  <c r="K236" i="7"/>
  <c r="L236" i="7" s="1"/>
  <c r="K237" i="7"/>
  <c r="L237" i="7" s="1"/>
  <c r="K92" i="7"/>
  <c r="L92" i="7" s="1"/>
  <c r="K100" i="7"/>
  <c r="L100" i="7" s="1"/>
  <c r="K221" i="7"/>
  <c r="L221" i="7" s="1"/>
  <c r="K3" i="7"/>
  <c r="L3" i="7" s="1"/>
  <c r="K60" i="7"/>
  <c r="L60" i="7" s="1"/>
  <c r="K150" i="7"/>
  <c r="L150" i="7" s="1"/>
  <c r="K111" i="7"/>
  <c r="L111" i="7" s="1"/>
  <c r="K102" i="7"/>
  <c r="L102" i="7" s="1"/>
  <c r="K143" i="7"/>
  <c r="L143" i="7" s="1"/>
  <c r="K34" i="7"/>
  <c r="L34" i="7" s="1"/>
  <c r="K59" i="7"/>
  <c r="L59" i="7" s="1"/>
  <c r="K70" i="7"/>
  <c r="L70" i="7" s="1"/>
  <c r="K78" i="7"/>
  <c r="L78" i="7" s="1"/>
  <c r="K180" i="7"/>
  <c r="L180" i="7" s="1"/>
  <c r="K167" i="7"/>
  <c r="L167" i="7" s="1"/>
  <c r="K66" i="7"/>
  <c r="L66" i="7" s="1"/>
  <c r="K67" i="7"/>
  <c r="L67" i="7" s="1"/>
  <c r="K191" i="7"/>
  <c r="L191" i="7" s="1"/>
  <c r="K128" i="7"/>
  <c r="L128" i="7" s="1"/>
  <c r="K124" i="7"/>
  <c r="L124" i="7" s="1"/>
  <c r="K200" i="7"/>
  <c r="L200" i="7" s="1"/>
  <c r="K197" i="7"/>
  <c r="L197" i="7" s="1"/>
  <c r="K147" i="7"/>
  <c r="L147" i="7" s="1"/>
  <c r="K168" i="7"/>
  <c r="L168" i="7" s="1"/>
  <c r="K93" i="7"/>
  <c r="L93" i="7" s="1"/>
  <c r="K44" i="7"/>
  <c r="L44" i="7" s="1"/>
  <c r="K136" i="7"/>
  <c r="L136" i="7" s="1"/>
  <c r="K114" i="7"/>
  <c r="L114" i="7" s="1"/>
  <c r="K35" i="7"/>
  <c r="L35" i="7" s="1"/>
  <c r="K37" i="7"/>
  <c r="L37" i="7" s="1"/>
  <c r="K72" i="7"/>
  <c r="L72" i="7" s="1"/>
  <c r="K82" i="7"/>
  <c r="L82" i="7" s="1"/>
  <c r="K131" i="7"/>
  <c r="L131" i="7" s="1"/>
  <c r="K56" i="7"/>
  <c r="L56" i="7" s="1"/>
  <c r="K89" i="7"/>
  <c r="L89" i="7" s="1"/>
  <c r="K176" i="7"/>
  <c r="L176" i="7" s="1"/>
  <c r="K132" i="7"/>
  <c r="L132" i="7" s="1"/>
  <c r="K41" i="7"/>
  <c r="L41" i="7" s="1"/>
  <c r="K157" i="7"/>
  <c r="L157" i="7" s="1"/>
  <c r="K225" i="7"/>
  <c r="L225" i="7" s="1"/>
  <c r="K24" i="7"/>
  <c r="L24" i="7" s="1"/>
  <c r="K152" i="7"/>
  <c r="L152" i="7" s="1"/>
  <c r="K26" i="7"/>
  <c r="L26" i="7" s="1"/>
  <c r="K74" i="7"/>
  <c r="L74" i="7" s="1"/>
  <c r="K170" i="7"/>
  <c r="L170" i="7" s="1"/>
  <c r="K112" i="7"/>
  <c r="L112" i="7" s="1"/>
  <c r="K185" i="7"/>
  <c r="L185" i="7" s="1"/>
  <c r="K55" i="7"/>
  <c r="L55" i="7" s="1"/>
  <c r="K68" i="7"/>
  <c r="L68" i="7" s="1"/>
  <c r="K177" i="7"/>
  <c r="L177" i="7" s="1"/>
  <c r="K7" i="7"/>
  <c r="L7" i="7" s="1"/>
  <c r="K58" i="7"/>
  <c r="L58" i="7" s="1"/>
  <c r="K53" i="7"/>
  <c r="L53" i="7" s="1"/>
  <c r="K86" i="7"/>
  <c r="L86" i="7" s="1"/>
  <c r="K62" i="7"/>
  <c r="L62" i="7" s="1"/>
  <c r="K101" i="7"/>
  <c r="L101" i="7" s="1"/>
  <c r="K181" i="7"/>
  <c r="L181" i="7" s="1"/>
  <c r="K91" i="7"/>
  <c r="L91" i="7" s="1"/>
  <c r="K36" i="7"/>
  <c r="L36" i="7" s="1"/>
  <c r="K165" i="7"/>
  <c r="L165" i="7" s="1"/>
  <c r="K234" i="7"/>
  <c r="L234" i="7" s="1"/>
  <c r="K137" i="7"/>
  <c r="L137" i="7" s="1"/>
  <c r="K79" i="7"/>
  <c r="L79" i="7" s="1"/>
  <c r="K12" i="7"/>
  <c r="L12" i="7" s="1"/>
  <c r="K192" i="7"/>
  <c r="L192" i="7" s="1"/>
  <c r="K188" i="7"/>
  <c r="L188" i="7" s="1"/>
  <c r="K46" i="7"/>
  <c r="L46" i="7" s="1"/>
  <c r="K219" i="7"/>
  <c r="L219" i="7" s="1"/>
  <c r="K190" i="7"/>
  <c r="L190" i="7" s="1"/>
  <c r="K71" i="7"/>
  <c r="L71" i="7" s="1"/>
  <c r="K6" i="7"/>
  <c r="L6" i="7" s="1"/>
  <c r="K108" i="7"/>
  <c r="L108" i="7" s="1"/>
  <c r="K235" i="7"/>
  <c r="L235" i="7" s="1"/>
  <c r="K195" i="7"/>
  <c r="L195" i="7" s="1"/>
  <c r="K50" i="7"/>
  <c r="L50" i="7" s="1"/>
  <c r="K64" i="7"/>
  <c r="L64" i="7" s="1"/>
  <c r="K202" i="7"/>
  <c r="L202" i="7" s="1"/>
  <c r="K25" i="7"/>
  <c r="L25" i="7" s="1"/>
  <c r="K146" i="7"/>
  <c r="L146" i="7" s="1"/>
  <c r="K133" i="7"/>
  <c r="L133" i="7" s="1"/>
  <c r="K88" i="7"/>
  <c r="L88" i="7" s="1"/>
  <c r="K65" i="7"/>
  <c r="L65" i="7" s="1"/>
  <c r="K5" i="7"/>
  <c r="L5" i="7" s="1"/>
  <c r="K148" i="7"/>
  <c r="L148" i="7" s="1"/>
  <c r="K87" i="7"/>
  <c r="L87" i="7" s="1"/>
  <c r="K33" i="7"/>
  <c r="L33" i="7" s="1"/>
  <c r="K220" i="7"/>
  <c r="L220" i="7" s="1"/>
  <c r="K48" i="7"/>
  <c r="L48" i="7" s="1"/>
  <c r="K161" i="7"/>
  <c r="L161" i="7" s="1"/>
  <c r="K126" i="7"/>
  <c r="L126" i="7" s="1"/>
  <c r="K144" i="7"/>
  <c r="L144" i="7" s="1"/>
  <c r="K97" i="7"/>
  <c r="L97" i="7" s="1"/>
  <c r="K206" i="7"/>
  <c r="L206" i="7" s="1"/>
  <c r="K245" i="7"/>
  <c r="L245" i="7" s="1"/>
  <c r="K303" i="7"/>
  <c r="L303" i="7" s="1"/>
  <c r="K274" i="7"/>
  <c r="L274" i="7" s="1"/>
  <c r="K318" i="7"/>
  <c r="L318" i="7" s="1"/>
  <c r="K266" i="7"/>
  <c r="L266" i="7" s="1"/>
  <c r="K312" i="7"/>
  <c r="L312" i="7" s="1"/>
  <c r="K325" i="7"/>
  <c r="L325" i="7" s="1"/>
  <c r="K295" i="7"/>
  <c r="L295" i="7" s="1"/>
  <c r="K310" i="7"/>
  <c r="L310" i="7" s="1"/>
  <c r="K256" i="7"/>
  <c r="L256" i="7" s="1"/>
  <c r="K306" i="7"/>
  <c r="L306" i="7" s="1"/>
  <c r="K279" i="7"/>
  <c r="L279" i="7" s="1"/>
  <c r="K320" i="7"/>
  <c r="L320" i="7" s="1"/>
  <c r="K246" i="7"/>
  <c r="L246" i="7" s="1"/>
  <c r="K242" i="7"/>
  <c r="L242" i="7" s="1"/>
  <c r="K283" i="7"/>
  <c r="L283" i="7" s="1"/>
  <c r="K292" i="7"/>
  <c r="L292" i="7" s="1"/>
  <c r="K280" i="7"/>
  <c r="L280" i="7" s="1"/>
  <c r="K254" i="7"/>
  <c r="L254" i="7" s="1"/>
  <c r="K302" i="7"/>
  <c r="L302" i="7" s="1"/>
  <c r="K265" i="7"/>
  <c r="L265" i="7" s="1"/>
  <c r="K275" i="7"/>
  <c r="L275" i="7" s="1"/>
  <c r="K263" i="7"/>
  <c r="L263" i="7" s="1"/>
  <c r="K261" i="7"/>
  <c r="L261" i="7" s="1"/>
  <c r="K311" i="7"/>
  <c r="L311" i="7" s="1"/>
  <c r="K317" i="7"/>
  <c r="L317" i="7" s="1"/>
  <c r="K289" i="7"/>
  <c r="L289" i="7" s="1"/>
  <c r="K239" i="7"/>
  <c r="L239" i="7" s="1"/>
  <c r="K286" i="7"/>
  <c r="L286" i="7" s="1"/>
  <c r="K321" i="7"/>
  <c r="L321" i="7" s="1"/>
  <c r="K319" i="7"/>
  <c r="L319" i="7" s="1"/>
  <c r="K281" i="7"/>
  <c r="L281" i="7" s="1"/>
  <c r="K305" i="7"/>
  <c r="L305" i="7" s="1"/>
  <c r="K276" i="7"/>
  <c r="L276" i="7" s="1"/>
  <c r="K253" i="7"/>
  <c r="L253" i="7" s="1"/>
  <c r="K260" i="7"/>
  <c r="L260" i="7" s="1"/>
  <c r="K313" i="7"/>
  <c r="L313" i="7" s="1"/>
  <c r="K287" i="7"/>
  <c r="L287" i="7" s="1"/>
  <c r="K288" i="7"/>
  <c r="L288" i="7" s="1"/>
  <c r="K271" i="7"/>
  <c r="L271" i="7" s="1"/>
  <c r="K316" i="7"/>
  <c r="L316" i="7" s="1"/>
  <c r="K297" i="7"/>
  <c r="L297" i="7" s="1"/>
  <c r="K240" i="7"/>
  <c r="L240" i="7" s="1"/>
  <c r="K324" i="7"/>
  <c r="L324" i="7" s="1"/>
  <c r="K250" i="7"/>
  <c r="L250" i="7" s="1"/>
  <c r="K258" i="7"/>
  <c r="L258" i="7" s="1"/>
  <c r="K277" i="7"/>
  <c r="L277" i="7" s="1"/>
  <c r="K255" i="7"/>
  <c r="L255" i="7" s="1"/>
  <c r="K285" i="7"/>
  <c r="L285" i="7" s="1"/>
  <c r="K241" i="7"/>
  <c r="L241" i="7" s="1"/>
  <c r="K273" i="7"/>
  <c r="L273" i="7" s="1"/>
  <c r="K270" i="7"/>
  <c r="L270" i="7" s="1"/>
  <c r="K248" i="7"/>
  <c r="L248" i="7" s="1"/>
  <c r="K243" i="7"/>
  <c r="L243" i="7" s="1"/>
  <c r="K296" i="7"/>
  <c r="L296" i="7" s="1"/>
  <c r="K314" i="7"/>
  <c r="L314" i="7" s="1"/>
  <c r="K309" i="7"/>
  <c r="L309" i="7" s="1"/>
  <c r="K262" i="7"/>
  <c r="L262" i="7" s="1"/>
  <c r="K251" i="7"/>
  <c r="L251" i="7" s="1"/>
  <c r="K293" i="7"/>
  <c r="L293" i="7" s="1"/>
  <c r="K315" i="7"/>
  <c r="L315" i="7" s="1"/>
  <c r="K322" i="7"/>
  <c r="L322" i="7" s="1"/>
  <c r="K323" i="7"/>
  <c r="L323" i="7" s="1"/>
  <c r="K267" i="7"/>
  <c r="L267" i="7" s="1"/>
  <c r="K308" i="7"/>
  <c r="L308" i="7" s="1"/>
  <c r="K301" i="7"/>
  <c r="L301" i="7" s="1"/>
  <c r="K259" i="7"/>
  <c r="L259" i="7" s="1"/>
  <c r="K282" i="7"/>
  <c r="L282" i="7" s="1"/>
  <c r="K300" i="7"/>
  <c r="L300" i="7" s="1"/>
  <c r="K298" i="7"/>
  <c r="L298" i="7" s="1"/>
  <c r="K290" i="7"/>
  <c r="L290" i="7" s="1"/>
  <c r="K272" i="7"/>
  <c r="L272" i="7" s="1"/>
  <c r="K247" i="7"/>
  <c r="L247" i="7" s="1"/>
  <c r="K291" i="7"/>
  <c r="L291" i="7" s="1"/>
  <c r="K249" i="7"/>
  <c r="L249" i="7" s="1"/>
  <c r="K244" i="7"/>
  <c r="L244" i="7" s="1"/>
  <c r="K257" i="7"/>
  <c r="L257" i="7" s="1"/>
  <c r="K269" i="7"/>
  <c r="L269" i="7" s="1"/>
  <c r="K307" i="7"/>
  <c r="L307" i="7" s="1"/>
  <c r="K304" i="7"/>
  <c r="L304" i="7" s="1"/>
  <c r="K268" i="7"/>
  <c r="L268" i="7" s="1"/>
  <c r="K264" i="7"/>
  <c r="L264" i="7" s="1"/>
  <c r="K252" i="7"/>
  <c r="L252" i="7" s="1"/>
  <c r="K278" i="7"/>
  <c r="L278" i="7" s="1"/>
  <c r="K294" i="7"/>
  <c r="L294" i="7" s="1"/>
  <c r="K299" i="7"/>
  <c r="L299" i="7" s="1"/>
  <c r="K284" i="7"/>
  <c r="L284" i="7" s="1"/>
  <c r="L436" i="7" l="1"/>
</calcChain>
</file>

<file path=xl/sharedStrings.xml><?xml version="1.0" encoding="utf-8"?>
<sst xmlns="http://schemas.openxmlformats.org/spreadsheetml/2006/main" count="64" uniqueCount="31">
  <si>
    <t>Total score</t>
  </si>
  <si>
    <t>UTME</t>
  </si>
  <si>
    <t>JAMB/Utme Score (%)(Over 400)</t>
  </si>
  <si>
    <t>PUTME Score (%)(Over 50)</t>
  </si>
  <si>
    <t>PUTME Score</t>
  </si>
  <si>
    <t>JAMB/UTME Score / 8</t>
  </si>
  <si>
    <t>JAMB/UTME Score</t>
  </si>
  <si>
    <t>PUTME_contribution</t>
  </si>
  <si>
    <t>Direct contribution</t>
  </si>
  <si>
    <t>Avg PUTME_Contribution</t>
  </si>
  <si>
    <t>Avg UTME_Contribution</t>
  </si>
  <si>
    <t>Admitted ( Yes = 1, No = 0)</t>
  </si>
  <si>
    <t>UTME_z</t>
  </si>
  <si>
    <t>PUTME_z</t>
  </si>
  <si>
    <t>Predicted Probability</t>
  </si>
  <si>
    <t>Log-Likelihood</t>
  </si>
  <si>
    <t>Coefficient</t>
  </si>
  <si>
    <t xml:space="preserve">Intercept </t>
  </si>
  <si>
    <t>Rank_UTME</t>
  </si>
  <si>
    <t>Rank_PUTME</t>
  </si>
  <si>
    <t xml:space="preserve">Influence </t>
  </si>
  <si>
    <t>PUTME</t>
  </si>
  <si>
    <t>EXAM</t>
  </si>
  <si>
    <t>Influence</t>
  </si>
  <si>
    <t>PTUME</t>
  </si>
  <si>
    <t>HOW MUCH EACH EXAM INFLUENCES THE STUDENT TOTAL SCORE</t>
  </si>
  <si>
    <t>Linear Regression Coefficients analysis on the influence of UTME vs PUTME exam in getting Admission</t>
  </si>
  <si>
    <t>YEAR</t>
  </si>
  <si>
    <t>UTME_contribution</t>
  </si>
  <si>
    <t xml:space="preserve">PEARSON CORRELATION ( ONE VALUE) </t>
  </si>
  <si>
    <t>SPEARMAN RANK CORRELATION (ONE VALUE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</si>
</sst>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name val="Calibri"/>
      <family val="2"/>
      <scheme val="minor"/>
    </font>
    <font>
      <b/>
      <sz val="11"/>
      <color theme="1"/>
      <name val="Cooper Black"/>
      <family val="1"/>
    </font>
    <font>
      <b/>
      <sz val="11"/>
      <color theme="1"/>
      <name val="Century Gothic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wrapText="1"/>
    </xf>
    <xf numFmtId="2" fontId="0" fillId="0" borderId="1" xfId="0" applyNumberFormat="1" applyBorder="1"/>
    <xf numFmtId="0" fontId="0" fillId="0" borderId="0" xfId="0" applyAlignment="1">
      <alignment wrapText="1"/>
    </xf>
    <xf numFmtId="10" fontId="0" fillId="0" borderId="0" xfId="0" applyNumberFormat="1"/>
    <xf numFmtId="10" fontId="0" fillId="0" borderId="1" xfId="0" applyNumberFormat="1" applyBorder="1"/>
    <xf numFmtId="10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2" xfId="0" applyBorder="1"/>
    <xf numFmtId="2" fontId="0" fillId="0" borderId="0" xfId="0" applyNumberFormat="1"/>
    <xf numFmtId="2" fontId="1" fillId="0" borderId="1" xfId="0" applyNumberFormat="1" applyFont="1" applyBorder="1"/>
    <xf numFmtId="2" fontId="3" fillId="0" borderId="1" xfId="0" applyNumberFormat="1" applyFont="1" applyBorder="1"/>
    <xf numFmtId="2" fontId="2" fillId="0" borderId="1" xfId="0" applyNumberFormat="1" applyFont="1" applyBorder="1"/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INFLUENCE UTME</a:t>
            </a:r>
            <a:r>
              <a:rPr lang="en-US" baseline="0"/>
              <a:t> VS PUTME </a:t>
            </a:r>
            <a:r>
              <a:rPr lang="en-US"/>
              <a:t>IN TOTAL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0D-4655-9008-A0C2F142BB5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0D-4655-9008-A0C2F142BB5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E0D-4655-9008-A0C2F142BB5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E0D-4655-9008-A0C2F142BB5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E0D-4655-9008-A0C2F142BB5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E0D-4655-9008-A0C2F142BB5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E0D-4655-9008-A0C2F142BB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'Sheet2 (2)'!$S$4:$T$4</c:f>
              <c:numCache>
                <c:formatCode>0.00%</c:formatCode>
                <c:ptCount val="2"/>
                <c:pt idx="0">
                  <c:v>0.56734584765113982</c:v>
                </c:pt>
                <c:pt idx="1">
                  <c:v>0.43265415234886034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0D-4655-9008-A0C2F142BB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8.1158374065483461E-3"/>
          <c:y val="0.85391341563806544"/>
          <c:w val="0.98159373691180385"/>
          <c:h val="0.12231663999046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Coeffients of UTME vs PUTME on the influence of  Admission(&gt;=50). </a:t>
            </a:r>
          </a:p>
        </c:rich>
      </c:tx>
      <c:layout>
        <c:manualLayout>
          <c:xMode val="edge"/>
          <c:yMode val="edge"/>
          <c:x val="9.34250445538890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97025371828522"/>
          <c:y val="0.23694444444444446"/>
          <c:w val="0.84080752405949255"/>
          <c:h val="0.6417672790901137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'Sheet2 (2)'!$AE$7</c:f>
              <c:strCache>
                <c:ptCount val="1"/>
                <c:pt idx="0">
                  <c:v>Influence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6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translucentPowder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E5-440E-87B6-C4C3B8E20EF2}"/>
              </c:ext>
            </c:extLst>
          </c:dPt>
          <c:cat>
            <c:strRef>
              <c:f>'Sheet2 (2)'!$AD$8:$AD$9</c:f>
              <c:strCache>
                <c:ptCount val="2"/>
                <c:pt idx="0">
                  <c:v>UTME</c:v>
                </c:pt>
                <c:pt idx="1">
                  <c:v>PTUME</c:v>
                </c:pt>
              </c:strCache>
            </c:strRef>
          </c:cat>
          <c:val>
            <c:numRef>
              <c:f>'Sheet2 (2)'!$AE$8:$AE$9</c:f>
              <c:numCache>
                <c:formatCode>0.00</c:formatCode>
                <c:ptCount val="2"/>
                <c:pt idx="0">
                  <c:v>3.4995944407484498</c:v>
                </c:pt>
                <c:pt idx="1">
                  <c:v>7.4455759329809199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E5-440E-87B6-C4C3B8E20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6353216"/>
        <c:axId val="356348416"/>
        <c:axId val="0"/>
      </c:bar3DChart>
      <c:catAx>
        <c:axId val="35635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48416"/>
        <c:crosses val="autoZero"/>
        <c:auto val="1"/>
        <c:lblAlgn val="ctr"/>
        <c:lblOffset val="100"/>
        <c:noMultiLvlLbl val="0"/>
      </c:catAx>
      <c:valAx>
        <c:axId val="35634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UTME vs PUTME Scores of Students IN %</a:t>
            </a:r>
          </a:p>
          <a:p>
            <a:pPr>
              <a:defRPr/>
            </a:pPr>
            <a:r>
              <a:rPr lang="en-US" sz="1600" b="1" i="0" u="none" strike="noStrike" cap="all" normalizeH="0" baseline="0"/>
              <a:t>2022-2025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85282632353876E-2"/>
          <c:y val="0.14199114204739779"/>
          <c:w val="0.85869013934233829"/>
          <c:h val="0.751414411255737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'Sheet2 (2)'!$E$1</c:f>
              <c:strCache>
                <c:ptCount val="1"/>
                <c:pt idx="0">
                  <c:v>JAMB/Utme Score (%)(Over 400)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910517256411555E-2"/>
                  <c:y val="-5.562080250733941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'Sheet2 (2)'!$E$2:$E$435</c:f>
              <c:numCache>
                <c:formatCode>0.00%</c:formatCode>
                <c:ptCount val="434"/>
                <c:pt idx="0">
                  <c:v>0.44500000000000001</c:v>
                </c:pt>
                <c:pt idx="1">
                  <c:v>0.42249999999999999</c:v>
                </c:pt>
                <c:pt idx="2">
                  <c:v>0.51249999999999996</c:v>
                </c:pt>
                <c:pt idx="3">
                  <c:v>0.52</c:v>
                </c:pt>
                <c:pt idx="4">
                  <c:v>0.52</c:v>
                </c:pt>
                <c:pt idx="5">
                  <c:v>0.45</c:v>
                </c:pt>
                <c:pt idx="6">
                  <c:v>0.48249999999999998</c:v>
                </c:pt>
                <c:pt idx="7">
                  <c:v>0.42</c:v>
                </c:pt>
                <c:pt idx="8">
                  <c:v>0.495</c:v>
                </c:pt>
                <c:pt idx="9">
                  <c:v>0.49</c:v>
                </c:pt>
                <c:pt idx="10">
                  <c:v>0.52500000000000002</c:v>
                </c:pt>
                <c:pt idx="11">
                  <c:v>0.58250000000000002</c:v>
                </c:pt>
                <c:pt idx="12">
                  <c:v>0.45750000000000002</c:v>
                </c:pt>
                <c:pt idx="13">
                  <c:v>0.45750000000000002</c:v>
                </c:pt>
                <c:pt idx="14">
                  <c:v>0.45500000000000002</c:v>
                </c:pt>
                <c:pt idx="15">
                  <c:v>0.50749999999999995</c:v>
                </c:pt>
                <c:pt idx="16">
                  <c:v>0.48749999999999999</c:v>
                </c:pt>
                <c:pt idx="17">
                  <c:v>0.44500000000000001</c:v>
                </c:pt>
                <c:pt idx="18">
                  <c:v>0.52500000000000002</c:v>
                </c:pt>
                <c:pt idx="19">
                  <c:v>0.48499999999999999</c:v>
                </c:pt>
                <c:pt idx="20">
                  <c:v>0.50749999999999995</c:v>
                </c:pt>
                <c:pt idx="21">
                  <c:v>0.40749999999999997</c:v>
                </c:pt>
                <c:pt idx="22">
                  <c:v>0.4425</c:v>
                </c:pt>
                <c:pt idx="23">
                  <c:v>0.41</c:v>
                </c:pt>
                <c:pt idx="24">
                  <c:v>0.39</c:v>
                </c:pt>
                <c:pt idx="25">
                  <c:v>0.44750000000000001</c:v>
                </c:pt>
                <c:pt idx="26">
                  <c:v>0.42499999999999999</c:v>
                </c:pt>
                <c:pt idx="27">
                  <c:v>0.42249999999999999</c:v>
                </c:pt>
                <c:pt idx="28">
                  <c:v>0.46</c:v>
                </c:pt>
                <c:pt idx="29">
                  <c:v>0.39</c:v>
                </c:pt>
                <c:pt idx="30">
                  <c:v>0.48749999999999999</c:v>
                </c:pt>
                <c:pt idx="31">
                  <c:v>0.46500000000000002</c:v>
                </c:pt>
                <c:pt idx="32">
                  <c:v>0.48499999999999999</c:v>
                </c:pt>
                <c:pt idx="33">
                  <c:v>0.49</c:v>
                </c:pt>
                <c:pt idx="34">
                  <c:v>0.58250000000000002</c:v>
                </c:pt>
                <c:pt idx="35">
                  <c:v>0.4425</c:v>
                </c:pt>
                <c:pt idx="36">
                  <c:v>0.34</c:v>
                </c:pt>
                <c:pt idx="37">
                  <c:v>0.59499999999999997</c:v>
                </c:pt>
                <c:pt idx="38">
                  <c:v>0.55500000000000005</c:v>
                </c:pt>
                <c:pt idx="39">
                  <c:v>0.45250000000000001</c:v>
                </c:pt>
                <c:pt idx="40">
                  <c:v>0.55249999999999999</c:v>
                </c:pt>
                <c:pt idx="41">
                  <c:v>0.43</c:v>
                </c:pt>
                <c:pt idx="42">
                  <c:v>0.54749999999999999</c:v>
                </c:pt>
                <c:pt idx="43">
                  <c:v>0.46750000000000003</c:v>
                </c:pt>
                <c:pt idx="44">
                  <c:v>0.44</c:v>
                </c:pt>
                <c:pt idx="45">
                  <c:v>0.52</c:v>
                </c:pt>
                <c:pt idx="46">
                  <c:v>0.39750000000000002</c:v>
                </c:pt>
                <c:pt idx="47">
                  <c:v>0.35499999999999998</c:v>
                </c:pt>
                <c:pt idx="48">
                  <c:v>0.495</c:v>
                </c:pt>
                <c:pt idx="49">
                  <c:v>0.51249999999999996</c:v>
                </c:pt>
                <c:pt idx="50">
                  <c:v>0.45250000000000001</c:v>
                </c:pt>
                <c:pt idx="51">
                  <c:v>0.47</c:v>
                </c:pt>
                <c:pt idx="52">
                  <c:v>0.42749999999999999</c:v>
                </c:pt>
                <c:pt idx="53">
                  <c:v>0.44</c:v>
                </c:pt>
                <c:pt idx="54">
                  <c:v>0.35749999999999998</c:v>
                </c:pt>
                <c:pt idx="55">
                  <c:v>0.35499999999999998</c:v>
                </c:pt>
                <c:pt idx="56">
                  <c:v>0.4325</c:v>
                </c:pt>
                <c:pt idx="57">
                  <c:v>0.58750000000000002</c:v>
                </c:pt>
                <c:pt idx="58">
                  <c:v>0.48749999999999999</c:v>
                </c:pt>
                <c:pt idx="59">
                  <c:v>0.39750000000000002</c:v>
                </c:pt>
                <c:pt idx="60">
                  <c:v>0.41249999999999998</c:v>
                </c:pt>
                <c:pt idx="61">
                  <c:v>0.57250000000000001</c:v>
                </c:pt>
                <c:pt idx="62">
                  <c:v>0.48</c:v>
                </c:pt>
                <c:pt idx="63">
                  <c:v>0.47749999999999998</c:v>
                </c:pt>
                <c:pt idx="64">
                  <c:v>0.47</c:v>
                </c:pt>
                <c:pt idx="65">
                  <c:v>0.49</c:v>
                </c:pt>
                <c:pt idx="66">
                  <c:v>0.48749999999999999</c:v>
                </c:pt>
                <c:pt idx="67">
                  <c:v>0.505</c:v>
                </c:pt>
                <c:pt idx="68">
                  <c:v>0.48249999999999998</c:v>
                </c:pt>
                <c:pt idx="69">
                  <c:v>0.35749999999999998</c:v>
                </c:pt>
                <c:pt idx="70">
                  <c:v>0.48749999999999999</c:v>
                </c:pt>
                <c:pt idx="71">
                  <c:v>0.46250000000000002</c:v>
                </c:pt>
                <c:pt idx="72">
                  <c:v>0.42249999999999999</c:v>
                </c:pt>
                <c:pt idx="73">
                  <c:v>0.51749999999999996</c:v>
                </c:pt>
                <c:pt idx="74">
                  <c:v>0.47249999999999998</c:v>
                </c:pt>
                <c:pt idx="75">
                  <c:v>0.41</c:v>
                </c:pt>
                <c:pt idx="76">
                  <c:v>0.38750000000000001</c:v>
                </c:pt>
                <c:pt idx="77">
                  <c:v>0.36499999999999999</c:v>
                </c:pt>
                <c:pt idx="78">
                  <c:v>0.42</c:v>
                </c:pt>
                <c:pt idx="79">
                  <c:v>0.46750000000000003</c:v>
                </c:pt>
                <c:pt idx="80">
                  <c:v>0.47749999999999998</c:v>
                </c:pt>
                <c:pt idx="81">
                  <c:v>0.47</c:v>
                </c:pt>
                <c:pt idx="82">
                  <c:v>0.46750000000000003</c:v>
                </c:pt>
                <c:pt idx="83">
                  <c:v>0.42499999999999999</c:v>
                </c:pt>
                <c:pt idx="84">
                  <c:v>0.38</c:v>
                </c:pt>
                <c:pt idx="85">
                  <c:v>0.38</c:v>
                </c:pt>
                <c:pt idx="86">
                  <c:v>0.49249999999999999</c:v>
                </c:pt>
                <c:pt idx="87">
                  <c:v>0.47249999999999998</c:v>
                </c:pt>
                <c:pt idx="88">
                  <c:v>0.46500000000000002</c:v>
                </c:pt>
                <c:pt idx="89">
                  <c:v>0.42249999999999999</c:v>
                </c:pt>
                <c:pt idx="90">
                  <c:v>0.50249999999999995</c:v>
                </c:pt>
                <c:pt idx="91">
                  <c:v>0.51</c:v>
                </c:pt>
                <c:pt idx="92">
                  <c:v>0.44500000000000001</c:v>
                </c:pt>
                <c:pt idx="93">
                  <c:v>0.42249999999999999</c:v>
                </c:pt>
                <c:pt idx="94">
                  <c:v>0.34</c:v>
                </c:pt>
                <c:pt idx="95">
                  <c:v>0.42</c:v>
                </c:pt>
                <c:pt idx="96">
                  <c:v>0.44</c:v>
                </c:pt>
                <c:pt idx="97">
                  <c:v>0.47749999999999998</c:v>
                </c:pt>
                <c:pt idx="98">
                  <c:v>0.41749999999999998</c:v>
                </c:pt>
                <c:pt idx="99">
                  <c:v>0.3775</c:v>
                </c:pt>
                <c:pt idx="100">
                  <c:v>0.4325</c:v>
                </c:pt>
                <c:pt idx="101">
                  <c:v>0.45</c:v>
                </c:pt>
                <c:pt idx="102">
                  <c:v>0.40749999999999997</c:v>
                </c:pt>
                <c:pt idx="103">
                  <c:v>0.42249999999999999</c:v>
                </c:pt>
                <c:pt idx="104">
                  <c:v>0.41499999999999998</c:v>
                </c:pt>
                <c:pt idx="105">
                  <c:v>0.3725</c:v>
                </c:pt>
                <c:pt idx="106">
                  <c:v>0.36249999999999999</c:v>
                </c:pt>
                <c:pt idx="107">
                  <c:v>0.42249999999999999</c:v>
                </c:pt>
                <c:pt idx="108">
                  <c:v>0.44</c:v>
                </c:pt>
                <c:pt idx="109">
                  <c:v>0.45750000000000002</c:v>
                </c:pt>
                <c:pt idx="110">
                  <c:v>0.42749999999999999</c:v>
                </c:pt>
                <c:pt idx="111">
                  <c:v>0.42749999999999999</c:v>
                </c:pt>
                <c:pt idx="112">
                  <c:v>0.71499999999999997</c:v>
                </c:pt>
                <c:pt idx="113">
                  <c:v>0.51500000000000001</c:v>
                </c:pt>
                <c:pt idx="114">
                  <c:v>0.5</c:v>
                </c:pt>
                <c:pt idx="115">
                  <c:v>0.44750000000000001</c:v>
                </c:pt>
                <c:pt idx="116">
                  <c:v>0.46250000000000002</c:v>
                </c:pt>
                <c:pt idx="117">
                  <c:v>0.4425</c:v>
                </c:pt>
                <c:pt idx="118">
                  <c:v>0.50249999999999995</c:v>
                </c:pt>
                <c:pt idx="119">
                  <c:v>0.44</c:v>
                </c:pt>
                <c:pt idx="120">
                  <c:v>0.46250000000000002</c:v>
                </c:pt>
                <c:pt idx="121">
                  <c:v>0.46</c:v>
                </c:pt>
                <c:pt idx="122">
                  <c:v>0.45750000000000002</c:v>
                </c:pt>
                <c:pt idx="123">
                  <c:v>0.45500000000000002</c:v>
                </c:pt>
                <c:pt idx="124">
                  <c:v>0.39</c:v>
                </c:pt>
                <c:pt idx="125">
                  <c:v>0.47</c:v>
                </c:pt>
                <c:pt idx="126">
                  <c:v>0.40500000000000003</c:v>
                </c:pt>
                <c:pt idx="127">
                  <c:v>0.48249999999999998</c:v>
                </c:pt>
                <c:pt idx="128">
                  <c:v>0.44</c:v>
                </c:pt>
                <c:pt idx="129">
                  <c:v>0.4975</c:v>
                </c:pt>
                <c:pt idx="130">
                  <c:v>0.4375</c:v>
                </c:pt>
                <c:pt idx="131">
                  <c:v>0.45</c:v>
                </c:pt>
                <c:pt idx="132">
                  <c:v>0.48749999999999999</c:v>
                </c:pt>
                <c:pt idx="133">
                  <c:v>0.50249999999999995</c:v>
                </c:pt>
                <c:pt idx="134">
                  <c:v>0.42249999999999999</c:v>
                </c:pt>
                <c:pt idx="135">
                  <c:v>0.4425</c:v>
                </c:pt>
                <c:pt idx="136">
                  <c:v>0.375</c:v>
                </c:pt>
                <c:pt idx="137">
                  <c:v>0.375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0.49249999999999999</c:v>
                </c:pt>
                <c:pt idx="141">
                  <c:v>0.42499999999999999</c:v>
                </c:pt>
                <c:pt idx="142">
                  <c:v>0.35499999999999998</c:v>
                </c:pt>
                <c:pt idx="143">
                  <c:v>0.61250000000000004</c:v>
                </c:pt>
                <c:pt idx="144">
                  <c:v>0.44750000000000001</c:v>
                </c:pt>
                <c:pt idx="145">
                  <c:v>0.44750000000000001</c:v>
                </c:pt>
                <c:pt idx="146">
                  <c:v>0.42749999999999999</c:v>
                </c:pt>
                <c:pt idx="147">
                  <c:v>0.56499999999999995</c:v>
                </c:pt>
                <c:pt idx="148">
                  <c:v>0.48</c:v>
                </c:pt>
                <c:pt idx="149">
                  <c:v>0.435</c:v>
                </c:pt>
                <c:pt idx="150">
                  <c:v>0.42749999999999999</c:v>
                </c:pt>
                <c:pt idx="151">
                  <c:v>0.42</c:v>
                </c:pt>
                <c:pt idx="152">
                  <c:v>0.41749999999999998</c:v>
                </c:pt>
                <c:pt idx="153">
                  <c:v>0.55249999999999999</c:v>
                </c:pt>
                <c:pt idx="154">
                  <c:v>0.61250000000000004</c:v>
                </c:pt>
                <c:pt idx="155">
                  <c:v>0.39750000000000002</c:v>
                </c:pt>
                <c:pt idx="156">
                  <c:v>0.45250000000000001</c:v>
                </c:pt>
                <c:pt idx="157">
                  <c:v>0.52500000000000002</c:v>
                </c:pt>
                <c:pt idx="158">
                  <c:v>0.41749999999999998</c:v>
                </c:pt>
                <c:pt idx="159">
                  <c:v>0.41</c:v>
                </c:pt>
                <c:pt idx="160">
                  <c:v>0.36499999999999999</c:v>
                </c:pt>
                <c:pt idx="161">
                  <c:v>0.40500000000000003</c:v>
                </c:pt>
                <c:pt idx="162">
                  <c:v>0.41749999999999998</c:v>
                </c:pt>
                <c:pt idx="163">
                  <c:v>0.41499999999999998</c:v>
                </c:pt>
                <c:pt idx="164">
                  <c:v>0.55249999999999999</c:v>
                </c:pt>
                <c:pt idx="165">
                  <c:v>0.54249999999999998</c:v>
                </c:pt>
                <c:pt idx="166">
                  <c:v>0.41749999999999998</c:v>
                </c:pt>
                <c:pt idx="167">
                  <c:v>0.4975</c:v>
                </c:pt>
                <c:pt idx="168">
                  <c:v>0.48499999999999999</c:v>
                </c:pt>
                <c:pt idx="169">
                  <c:v>0.44</c:v>
                </c:pt>
                <c:pt idx="170">
                  <c:v>0.45750000000000002</c:v>
                </c:pt>
                <c:pt idx="171">
                  <c:v>0.435</c:v>
                </c:pt>
                <c:pt idx="172">
                  <c:v>0.42249999999999999</c:v>
                </c:pt>
                <c:pt idx="173">
                  <c:v>0.42</c:v>
                </c:pt>
                <c:pt idx="174">
                  <c:v>0.42249999999999999</c:v>
                </c:pt>
                <c:pt idx="175">
                  <c:v>0.46750000000000003</c:v>
                </c:pt>
                <c:pt idx="176">
                  <c:v>0.46</c:v>
                </c:pt>
                <c:pt idx="177">
                  <c:v>0.4</c:v>
                </c:pt>
                <c:pt idx="178">
                  <c:v>0.49249999999999999</c:v>
                </c:pt>
                <c:pt idx="179">
                  <c:v>0.48749999999999999</c:v>
                </c:pt>
                <c:pt idx="180">
                  <c:v>0.48749999999999999</c:v>
                </c:pt>
                <c:pt idx="181">
                  <c:v>0.38500000000000001</c:v>
                </c:pt>
                <c:pt idx="182">
                  <c:v>0.41749999999999998</c:v>
                </c:pt>
                <c:pt idx="183">
                  <c:v>0.48</c:v>
                </c:pt>
                <c:pt idx="184">
                  <c:v>0.48249999999999998</c:v>
                </c:pt>
                <c:pt idx="185">
                  <c:v>0.46750000000000003</c:v>
                </c:pt>
                <c:pt idx="186">
                  <c:v>0.35749999999999998</c:v>
                </c:pt>
                <c:pt idx="187">
                  <c:v>0.46250000000000002</c:v>
                </c:pt>
                <c:pt idx="188">
                  <c:v>0.40250000000000002</c:v>
                </c:pt>
                <c:pt idx="189">
                  <c:v>0.3775</c:v>
                </c:pt>
                <c:pt idx="190">
                  <c:v>0.46</c:v>
                </c:pt>
                <c:pt idx="191">
                  <c:v>0.41749999999999998</c:v>
                </c:pt>
                <c:pt idx="192">
                  <c:v>0.39250000000000002</c:v>
                </c:pt>
                <c:pt idx="193">
                  <c:v>0.41749999999999998</c:v>
                </c:pt>
                <c:pt idx="194">
                  <c:v>0.435</c:v>
                </c:pt>
                <c:pt idx="195">
                  <c:v>0.42499999999999999</c:v>
                </c:pt>
                <c:pt idx="196">
                  <c:v>0.47749999999999998</c:v>
                </c:pt>
                <c:pt idx="197">
                  <c:v>0.42749999999999999</c:v>
                </c:pt>
                <c:pt idx="198">
                  <c:v>0.44</c:v>
                </c:pt>
                <c:pt idx="199">
                  <c:v>0.40749999999999997</c:v>
                </c:pt>
                <c:pt idx="200">
                  <c:v>0.36749999999999999</c:v>
                </c:pt>
                <c:pt idx="201">
                  <c:v>0.45</c:v>
                </c:pt>
                <c:pt idx="202">
                  <c:v>0.45250000000000001</c:v>
                </c:pt>
                <c:pt idx="203">
                  <c:v>0.47499999999999998</c:v>
                </c:pt>
                <c:pt idx="204">
                  <c:v>0.4975</c:v>
                </c:pt>
                <c:pt idx="205">
                  <c:v>0.42</c:v>
                </c:pt>
                <c:pt idx="206">
                  <c:v>0.495</c:v>
                </c:pt>
                <c:pt idx="207">
                  <c:v>0.45500000000000002</c:v>
                </c:pt>
                <c:pt idx="208">
                  <c:v>0.42249999999999999</c:v>
                </c:pt>
                <c:pt idx="209">
                  <c:v>0.42499999999999999</c:v>
                </c:pt>
                <c:pt idx="210">
                  <c:v>0.40500000000000003</c:v>
                </c:pt>
                <c:pt idx="211">
                  <c:v>0.46500000000000002</c:v>
                </c:pt>
                <c:pt idx="212">
                  <c:v>0.4425</c:v>
                </c:pt>
                <c:pt idx="213">
                  <c:v>0.41249999999999998</c:v>
                </c:pt>
                <c:pt idx="214">
                  <c:v>0.36249999999999999</c:v>
                </c:pt>
                <c:pt idx="215">
                  <c:v>0.45</c:v>
                </c:pt>
                <c:pt idx="216">
                  <c:v>0.495</c:v>
                </c:pt>
                <c:pt idx="217">
                  <c:v>0.53749999999999998</c:v>
                </c:pt>
                <c:pt idx="218">
                  <c:v>0.50249999999999995</c:v>
                </c:pt>
                <c:pt idx="219">
                  <c:v>0.36</c:v>
                </c:pt>
                <c:pt idx="220">
                  <c:v>0.495</c:v>
                </c:pt>
                <c:pt idx="221">
                  <c:v>0.4</c:v>
                </c:pt>
                <c:pt idx="222">
                  <c:v>0.41249999999999998</c:v>
                </c:pt>
                <c:pt idx="223">
                  <c:v>0.40749999999999997</c:v>
                </c:pt>
                <c:pt idx="224">
                  <c:v>0.40250000000000002</c:v>
                </c:pt>
                <c:pt idx="225">
                  <c:v>0.46</c:v>
                </c:pt>
                <c:pt idx="226">
                  <c:v>0.3725</c:v>
                </c:pt>
                <c:pt idx="227">
                  <c:v>0.46500000000000002</c:v>
                </c:pt>
                <c:pt idx="228">
                  <c:v>0.48</c:v>
                </c:pt>
                <c:pt idx="229">
                  <c:v>0.46750000000000003</c:v>
                </c:pt>
                <c:pt idx="230">
                  <c:v>0.35749999999999998</c:v>
                </c:pt>
                <c:pt idx="231">
                  <c:v>0.46250000000000002</c:v>
                </c:pt>
                <c:pt idx="232">
                  <c:v>0.45</c:v>
                </c:pt>
                <c:pt idx="233">
                  <c:v>0.40749999999999997</c:v>
                </c:pt>
                <c:pt idx="234">
                  <c:v>0.3775</c:v>
                </c:pt>
                <c:pt idx="235">
                  <c:v>0.38750000000000001</c:v>
                </c:pt>
                <c:pt idx="236">
                  <c:v>0.51500000000000001</c:v>
                </c:pt>
                <c:pt idx="237">
                  <c:v>0.46750000000000003</c:v>
                </c:pt>
                <c:pt idx="238">
                  <c:v>0.57999999999999996</c:v>
                </c:pt>
                <c:pt idx="239">
                  <c:v>0.41249999999999998</c:v>
                </c:pt>
                <c:pt idx="240">
                  <c:v>0.44750000000000001</c:v>
                </c:pt>
                <c:pt idx="241">
                  <c:v>0.62250000000000005</c:v>
                </c:pt>
                <c:pt idx="242">
                  <c:v>0.49</c:v>
                </c:pt>
                <c:pt idx="243">
                  <c:v>0.40500000000000003</c:v>
                </c:pt>
                <c:pt idx="244">
                  <c:v>0.51500000000000001</c:v>
                </c:pt>
                <c:pt idx="245">
                  <c:v>0.56499999999999995</c:v>
                </c:pt>
                <c:pt idx="246">
                  <c:v>0.57250000000000001</c:v>
                </c:pt>
                <c:pt idx="247">
                  <c:v>0.38</c:v>
                </c:pt>
                <c:pt idx="248">
                  <c:v>0.56499999999999995</c:v>
                </c:pt>
                <c:pt idx="249">
                  <c:v>0.44500000000000001</c:v>
                </c:pt>
                <c:pt idx="250">
                  <c:v>0.66249999999999998</c:v>
                </c:pt>
                <c:pt idx="251">
                  <c:v>0.42</c:v>
                </c:pt>
                <c:pt idx="252">
                  <c:v>0.40500000000000003</c:v>
                </c:pt>
                <c:pt idx="253">
                  <c:v>0.47749999999999998</c:v>
                </c:pt>
                <c:pt idx="254">
                  <c:v>0.47</c:v>
                </c:pt>
                <c:pt idx="255">
                  <c:v>0.48749999999999999</c:v>
                </c:pt>
                <c:pt idx="256">
                  <c:v>0.42</c:v>
                </c:pt>
                <c:pt idx="257">
                  <c:v>0.53749999999999998</c:v>
                </c:pt>
                <c:pt idx="258">
                  <c:v>0.57999999999999996</c:v>
                </c:pt>
                <c:pt idx="259">
                  <c:v>0.87250000000000005</c:v>
                </c:pt>
                <c:pt idx="260">
                  <c:v>0.435</c:v>
                </c:pt>
                <c:pt idx="261">
                  <c:v>0.47499999999999998</c:v>
                </c:pt>
                <c:pt idx="262">
                  <c:v>0.41749999999999998</c:v>
                </c:pt>
                <c:pt idx="263">
                  <c:v>0.4375</c:v>
                </c:pt>
                <c:pt idx="264">
                  <c:v>0.35749999999999998</c:v>
                </c:pt>
                <c:pt idx="265">
                  <c:v>0.39250000000000002</c:v>
                </c:pt>
                <c:pt idx="266">
                  <c:v>0.5575</c:v>
                </c:pt>
                <c:pt idx="267">
                  <c:v>0.46250000000000002</c:v>
                </c:pt>
                <c:pt idx="268">
                  <c:v>0.435</c:v>
                </c:pt>
                <c:pt idx="269">
                  <c:v>0.5575</c:v>
                </c:pt>
                <c:pt idx="270">
                  <c:v>0.47499999999999998</c:v>
                </c:pt>
                <c:pt idx="271">
                  <c:v>0.34499999999999997</c:v>
                </c:pt>
                <c:pt idx="272">
                  <c:v>0.5</c:v>
                </c:pt>
                <c:pt idx="273">
                  <c:v>0.46750000000000003</c:v>
                </c:pt>
                <c:pt idx="274">
                  <c:v>0.46500000000000002</c:v>
                </c:pt>
                <c:pt idx="275">
                  <c:v>0.46</c:v>
                </c:pt>
                <c:pt idx="276">
                  <c:v>0.44500000000000001</c:v>
                </c:pt>
                <c:pt idx="277">
                  <c:v>0.40749999999999997</c:v>
                </c:pt>
                <c:pt idx="278">
                  <c:v>0.45500000000000002</c:v>
                </c:pt>
                <c:pt idx="279">
                  <c:v>0.46500000000000002</c:v>
                </c:pt>
                <c:pt idx="280">
                  <c:v>0.3725</c:v>
                </c:pt>
                <c:pt idx="281">
                  <c:v>0.75</c:v>
                </c:pt>
                <c:pt idx="282">
                  <c:v>0.5</c:v>
                </c:pt>
                <c:pt idx="283">
                  <c:v>0.42499999999999999</c:v>
                </c:pt>
                <c:pt idx="284">
                  <c:v>0.42749999999999999</c:v>
                </c:pt>
                <c:pt idx="285">
                  <c:v>0.39250000000000002</c:v>
                </c:pt>
                <c:pt idx="286">
                  <c:v>0.60250000000000004</c:v>
                </c:pt>
                <c:pt idx="287">
                  <c:v>0.78</c:v>
                </c:pt>
                <c:pt idx="288">
                  <c:v>0.51749999999999996</c:v>
                </c:pt>
                <c:pt idx="289">
                  <c:v>0.45250000000000001</c:v>
                </c:pt>
                <c:pt idx="290">
                  <c:v>0.39250000000000002</c:v>
                </c:pt>
                <c:pt idx="291">
                  <c:v>0.42</c:v>
                </c:pt>
                <c:pt idx="292">
                  <c:v>0.4325</c:v>
                </c:pt>
                <c:pt idx="293">
                  <c:v>0.51</c:v>
                </c:pt>
                <c:pt idx="294">
                  <c:v>0.42749999999999999</c:v>
                </c:pt>
                <c:pt idx="295">
                  <c:v>0.45750000000000002</c:v>
                </c:pt>
                <c:pt idx="296">
                  <c:v>0.72</c:v>
                </c:pt>
                <c:pt idx="297">
                  <c:v>0.47749999999999998</c:v>
                </c:pt>
                <c:pt idx="298">
                  <c:v>0.47249999999999998</c:v>
                </c:pt>
                <c:pt idx="299">
                  <c:v>0.41749999999999998</c:v>
                </c:pt>
                <c:pt idx="300">
                  <c:v>0.51</c:v>
                </c:pt>
                <c:pt idx="301">
                  <c:v>0.495</c:v>
                </c:pt>
                <c:pt idx="302">
                  <c:v>0.46250000000000002</c:v>
                </c:pt>
                <c:pt idx="303">
                  <c:v>0.45250000000000001</c:v>
                </c:pt>
                <c:pt idx="304">
                  <c:v>0.39250000000000002</c:v>
                </c:pt>
                <c:pt idx="305">
                  <c:v>0.61499999999999999</c:v>
                </c:pt>
                <c:pt idx="306">
                  <c:v>0.47749999999999998</c:v>
                </c:pt>
                <c:pt idx="307">
                  <c:v>0.435</c:v>
                </c:pt>
                <c:pt idx="308">
                  <c:v>0.39</c:v>
                </c:pt>
                <c:pt idx="309">
                  <c:v>0.46750000000000003</c:v>
                </c:pt>
                <c:pt idx="310">
                  <c:v>0.41749999999999998</c:v>
                </c:pt>
                <c:pt idx="311">
                  <c:v>0.5</c:v>
                </c:pt>
                <c:pt idx="312">
                  <c:v>0.505</c:v>
                </c:pt>
                <c:pt idx="313">
                  <c:v>0.37</c:v>
                </c:pt>
                <c:pt idx="314">
                  <c:v>0.64500000000000002</c:v>
                </c:pt>
                <c:pt idx="315">
                  <c:v>0.41249999999999998</c:v>
                </c:pt>
                <c:pt idx="316">
                  <c:v>0.45750000000000002</c:v>
                </c:pt>
                <c:pt idx="317">
                  <c:v>0.49249999999999999</c:v>
                </c:pt>
                <c:pt idx="318">
                  <c:v>0.3775</c:v>
                </c:pt>
                <c:pt idx="319">
                  <c:v>0.40749999999999997</c:v>
                </c:pt>
                <c:pt idx="320">
                  <c:v>0.46</c:v>
                </c:pt>
                <c:pt idx="321">
                  <c:v>0.44750000000000001</c:v>
                </c:pt>
                <c:pt idx="322">
                  <c:v>0.42499999999999999</c:v>
                </c:pt>
                <c:pt idx="323">
                  <c:v>0.47499999999999998</c:v>
                </c:pt>
                <c:pt idx="324">
                  <c:v>0.54249999999999998</c:v>
                </c:pt>
                <c:pt idx="325">
                  <c:v>0.61</c:v>
                </c:pt>
                <c:pt idx="326">
                  <c:v>0.54</c:v>
                </c:pt>
                <c:pt idx="327">
                  <c:v>0.47749999999999998</c:v>
                </c:pt>
                <c:pt idx="328">
                  <c:v>0.54749999999999999</c:v>
                </c:pt>
                <c:pt idx="329">
                  <c:v>0.56000000000000005</c:v>
                </c:pt>
                <c:pt idx="330">
                  <c:v>0.48</c:v>
                </c:pt>
                <c:pt idx="331">
                  <c:v>0.51</c:v>
                </c:pt>
                <c:pt idx="332">
                  <c:v>0.52500000000000002</c:v>
                </c:pt>
                <c:pt idx="333">
                  <c:v>0.52500000000000002</c:v>
                </c:pt>
                <c:pt idx="334">
                  <c:v>0.44</c:v>
                </c:pt>
                <c:pt idx="335">
                  <c:v>0.4975</c:v>
                </c:pt>
                <c:pt idx="336">
                  <c:v>0.44500000000000001</c:v>
                </c:pt>
                <c:pt idx="337">
                  <c:v>0.46250000000000002</c:v>
                </c:pt>
                <c:pt idx="338">
                  <c:v>0.5</c:v>
                </c:pt>
                <c:pt idx="339">
                  <c:v>0.47249999999999998</c:v>
                </c:pt>
                <c:pt idx="340">
                  <c:v>0.48</c:v>
                </c:pt>
                <c:pt idx="341">
                  <c:v>0.4375</c:v>
                </c:pt>
                <c:pt idx="342">
                  <c:v>0.47749999999999998</c:v>
                </c:pt>
                <c:pt idx="343">
                  <c:v>0.435</c:v>
                </c:pt>
                <c:pt idx="344">
                  <c:v>0.45</c:v>
                </c:pt>
                <c:pt idx="345">
                  <c:v>0.58250000000000002</c:v>
                </c:pt>
                <c:pt idx="346">
                  <c:v>0.4425</c:v>
                </c:pt>
                <c:pt idx="347">
                  <c:v>0.44</c:v>
                </c:pt>
                <c:pt idx="348">
                  <c:v>0.46</c:v>
                </c:pt>
                <c:pt idx="349">
                  <c:v>0.41499999999999998</c:v>
                </c:pt>
                <c:pt idx="350">
                  <c:v>0.47499999999999998</c:v>
                </c:pt>
                <c:pt idx="351">
                  <c:v>0.39500000000000002</c:v>
                </c:pt>
                <c:pt idx="352">
                  <c:v>0.41499999999999998</c:v>
                </c:pt>
                <c:pt idx="353">
                  <c:v>0.43</c:v>
                </c:pt>
                <c:pt idx="354">
                  <c:v>0.40500000000000003</c:v>
                </c:pt>
                <c:pt idx="355">
                  <c:v>0.44500000000000001</c:v>
                </c:pt>
                <c:pt idx="356">
                  <c:v>0.40250000000000002</c:v>
                </c:pt>
                <c:pt idx="357">
                  <c:v>0.5625</c:v>
                </c:pt>
                <c:pt idx="358">
                  <c:v>0.42249999999999999</c:v>
                </c:pt>
                <c:pt idx="359">
                  <c:v>0.42</c:v>
                </c:pt>
                <c:pt idx="360">
                  <c:v>0.57999999999999996</c:v>
                </c:pt>
                <c:pt idx="361">
                  <c:v>0.41499999999999998</c:v>
                </c:pt>
                <c:pt idx="362">
                  <c:v>0.41499999999999998</c:v>
                </c:pt>
                <c:pt idx="363">
                  <c:v>0.39500000000000002</c:v>
                </c:pt>
                <c:pt idx="364">
                  <c:v>0.51500000000000001</c:v>
                </c:pt>
                <c:pt idx="365">
                  <c:v>0.40250000000000002</c:v>
                </c:pt>
                <c:pt idx="366">
                  <c:v>0.4</c:v>
                </c:pt>
                <c:pt idx="367">
                  <c:v>0.41</c:v>
                </c:pt>
                <c:pt idx="368">
                  <c:v>0.42749999999999999</c:v>
                </c:pt>
                <c:pt idx="369">
                  <c:v>0.46250000000000002</c:v>
                </c:pt>
                <c:pt idx="370">
                  <c:v>0.3775</c:v>
                </c:pt>
                <c:pt idx="371">
                  <c:v>0.4375</c:v>
                </c:pt>
                <c:pt idx="372">
                  <c:v>0.40749999999999997</c:v>
                </c:pt>
                <c:pt idx="373">
                  <c:v>0.37</c:v>
                </c:pt>
                <c:pt idx="374">
                  <c:v>0.41</c:v>
                </c:pt>
                <c:pt idx="375">
                  <c:v>0.39</c:v>
                </c:pt>
                <c:pt idx="376">
                  <c:v>0.42749999999999999</c:v>
                </c:pt>
                <c:pt idx="377">
                  <c:v>0.42249999999999999</c:v>
                </c:pt>
                <c:pt idx="378">
                  <c:v>0.3775</c:v>
                </c:pt>
                <c:pt idx="379">
                  <c:v>0.47749999999999998</c:v>
                </c:pt>
                <c:pt idx="380">
                  <c:v>0.59</c:v>
                </c:pt>
                <c:pt idx="381">
                  <c:v>0.48749999999999999</c:v>
                </c:pt>
                <c:pt idx="382">
                  <c:v>0.41749999999999998</c:v>
                </c:pt>
                <c:pt idx="383">
                  <c:v>0.4975</c:v>
                </c:pt>
                <c:pt idx="384">
                  <c:v>0.46750000000000003</c:v>
                </c:pt>
                <c:pt idx="385">
                  <c:v>0.5</c:v>
                </c:pt>
                <c:pt idx="386">
                  <c:v>0.43</c:v>
                </c:pt>
                <c:pt idx="387">
                  <c:v>0.5675</c:v>
                </c:pt>
                <c:pt idx="388">
                  <c:v>0.45</c:v>
                </c:pt>
                <c:pt idx="389">
                  <c:v>0.46250000000000002</c:v>
                </c:pt>
                <c:pt idx="390">
                  <c:v>0.50749999999999995</c:v>
                </c:pt>
                <c:pt idx="391">
                  <c:v>0.34499999999999997</c:v>
                </c:pt>
                <c:pt idx="392">
                  <c:v>0.50249999999999995</c:v>
                </c:pt>
                <c:pt idx="393">
                  <c:v>0.4375</c:v>
                </c:pt>
                <c:pt idx="394">
                  <c:v>0.40749999999999997</c:v>
                </c:pt>
                <c:pt idx="395">
                  <c:v>0.41499999999999998</c:v>
                </c:pt>
                <c:pt idx="396">
                  <c:v>0.4375</c:v>
                </c:pt>
                <c:pt idx="397">
                  <c:v>0.45500000000000002</c:v>
                </c:pt>
                <c:pt idx="398">
                  <c:v>0.41499999999999998</c:v>
                </c:pt>
                <c:pt idx="399">
                  <c:v>0.50249999999999995</c:v>
                </c:pt>
                <c:pt idx="400">
                  <c:v>0.4375</c:v>
                </c:pt>
                <c:pt idx="401">
                  <c:v>0.41499999999999998</c:v>
                </c:pt>
                <c:pt idx="402">
                  <c:v>0.46750000000000003</c:v>
                </c:pt>
                <c:pt idx="403">
                  <c:v>0.48249999999999998</c:v>
                </c:pt>
                <c:pt idx="404">
                  <c:v>0.47249999999999998</c:v>
                </c:pt>
                <c:pt idx="405">
                  <c:v>0.4325</c:v>
                </c:pt>
                <c:pt idx="406">
                  <c:v>0.36499999999999999</c:v>
                </c:pt>
                <c:pt idx="407">
                  <c:v>0.41749999999999998</c:v>
                </c:pt>
                <c:pt idx="408">
                  <c:v>0.51249999999999996</c:v>
                </c:pt>
                <c:pt idx="409">
                  <c:v>0.54500000000000004</c:v>
                </c:pt>
                <c:pt idx="410">
                  <c:v>0.42249999999999999</c:v>
                </c:pt>
                <c:pt idx="411">
                  <c:v>0.4325</c:v>
                </c:pt>
                <c:pt idx="412">
                  <c:v>0.39250000000000002</c:v>
                </c:pt>
                <c:pt idx="413">
                  <c:v>0.5</c:v>
                </c:pt>
                <c:pt idx="414">
                  <c:v>0.42749999999999999</c:v>
                </c:pt>
                <c:pt idx="415">
                  <c:v>0.5575</c:v>
                </c:pt>
                <c:pt idx="416">
                  <c:v>0.41249999999999998</c:v>
                </c:pt>
                <c:pt idx="417">
                  <c:v>0.40749999999999997</c:v>
                </c:pt>
                <c:pt idx="418">
                  <c:v>0.42499999999999999</c:v>
                </c:pt>
                <c:pt idx="419">
                  <c:v>0.53500000000000003</c:v>
                </c:pt>
                <c:pt idx="420">
                  <c:v>0.5675</c:v>
                </c:pt>
                <c:pt idx="421">
                  <c:v>0.38500000000000001</c:v>
                </c:pt>
                <c:pt idx="422">
                  <c:v>0.35</c:v>
                </c:pt>
                <c:pt idx="423">
                  <c:v>0.45750000000000002</c:v>
                </c:pt>
                <c:pt idx="424">
                  <c:v>0.36749999999999999</c:v>
                </c:pt>
                <c:pt idx="425">
                  <c:v>0.42249999999999999</c:v>
                </c:pt>
                <c:pt idx="426">
                  <c:v>0.37</c:v>
                </c:pt>
                <c:pt idx="427">
                  <c:v>0.4975</c:v>
                </c:pt>
                <c:pt idx="428">
                  <c:v>0.44500000000000001</c:v>
                </c:pt>
                <c:pt idx="429">
                  <c:v>0.4</c:v>
                </c:pt>
                <c:pt idx="430">
                  <c:v>0.61499999999999999</c:v>
                </c:pt>
                <c:pt idx="431">
                  <c:v>0.58750000000000002</c:v>
                </c:pt>
                <c:pt idx="432">
                  <c:v>0.40250000000000002</c:v>
                </c:pt>
                <c:pt idx="433">
                  <c:v>0.45750000000000002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FC-40A1-A05B-A52653740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16704"/>
        <c:axId val="2098724864"/>
      </c:scatterChart>
      <c:scatterChart>
        <c:scatterStyle val="lineMarker"/>
        <c:varyColors val="0"/>
        <c:ser>
          <c:idx val="1"/>
          <c:order val="1"/>
          <c:tx>
            <c:strRef>
              <c:f>'Sheet2 (2)'!$F$1</c:f>
              <c:strCache>
                <c:ptCount val="1"/>
                <c:pt idx="0">
                  <c:v>PUTME Score (%)(Over 50)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>
                <a:softEdge rad="0"/>
              </a:effectLst>
            </c:spPr>
          </c:marker>
          <c:yVal>
            <c:numRef>
              <c:f>'Sheet2 (2)'!$F$2:$F$435</c:f>
              <c:numCache>
                <c:formatCode>0.00%</c:formatCode>
                <c:ptCount val="434"/>
                <c:pt idx="0">
                  <c:v>0.88</c:v>
                </c:pt>
                <c:pt idx="1">
                  <c:v>0.9</c:v>
                </c:pt>
                <c:pt idx="2">
                  <c:v>0.8</c:v>
                </c:pt>
                <c:pt idx="3">
                  <c:v>0.76</c:v>
                </c:pt>
                <c:pt idx="4">
                  <c:v>0.74</c:v>
                </c:pt>
                <c:pt idx="5">
                  <c:v>0.8</c:v>
                </c:pt>
                <c:pt idx="6">
                  <c:v>0.76</c:v>
                </c:pt>
                <c:pt idx="7">
                  <c:v>0.8</c:v>
                </c:pt>
                <c:pt idx="8">
                  <c:v>0.72</c:v>
                </c:pt>
                <c:pt idx="9">
                  <c:v>0.72</c:v>
                </c:pt>
                <c:pt idx="10">
                  <c:v>0.68</c:v>
                </c:pt>
                <c:pt idx="11">
                  <c:v>0.62</c:v>
                </c:pt>
                <c:pt idx="12">
                  <c:v>0.74</c:v>
                </c:pt>
                <c:pt idx="13">
                  <c:v>0.74</c:v>
                </c:pt>
                <c:pt idx="14">
                  <c:v>0.74</c:v>
                </c:pt>
                <c:pt idx="15">
                  <c:v>0.68</c:v>
                </c:pt>
                <c:pt idx="16">
                  <c:v>0.7</c:v>
                </c:pt>
                <c:pt idx="17">
                  <c:v>0.74</c:v>
                </c:pt>
                <c:pt idx="18">
                  <c:v>0.66</c:v>
                </c:pt>
                <c:pt idx="19">
                  <c:v>0.7</c:v>
                </c:pt>
                <c:pt idx="20">
                  <c:v>0.66</c:v>
                </c:pt>
                <c:pt idx="21">
                  <c:v>0.76</c:v>
                </c:pt>
                <c:pt idx="22">
                  <c:v>0.72</c:v>
                </c:pt>
                <c:pt idx="23">
                  <c:v>0.74</c:v>
                </c:pt>
                <c:pt idx="24">
                  <c:v>0.76</c:v>
                </c:pt>
                <c:pt idx="25">
                  <c:v>0.7</c:v>
                </c:pt>
                <c:pt idx="26">
                  <c:v>0.72</c:v>
                </c:pt>
                <c:pt idx="27">
                  <c:v>0.72</c:v>
                </c:pt>
                <c:pt idx="28">
                  <c:v>0.68</c:v>
                </c:pt>
                <c:pt idx="29">
                  <c:v>0.74</c:v>
                </c:pt>
                <c:pt idx="30">
                  <c:v>0.64</c:v>
                </c:pt>
                <c:pt idx="31">
                  <c:v>0.66</c:v>
                </c:pt>
                <c:pt idx="32">
                  <c:v>0.64</c:v>
                </c:pt>
                <c:pt idx="33">
                  <c:v>0.62</c:v>
                </c:pt>
                <c:pt idx="34">
                  <c:v>0.52</c:v>
                </c:pt>
                <c:pt idx="35">
                  <c:v>0.66</c:v>
                </c:pt>
                <c:pt idx="36">
                  <c:v>0.76</c:v>
                </c:pt>
                <c:pt idx="37">
                  <c:v>0.5</c:v>
                </c:pt>
                <c:pt idx="38">
                  <c:v>0.54</c:v>
                </c:pt>
                <c:pt idx="39">
                  <c:v>0.64</c:v>
                </c:pt>
                <c:pt idx="40">
                  <c:v>0.54</c:v>
                </c:pt>
                <c:pt idx="41">
                  <c:v>0.66</c:v>
                </c:pt>
                <c:pt idx="42">
                  <c:v>0.54</c:v>
                </c:pt>
                <c:pt idx="43">
                  <c:v>0.62</c:v>
                </c:pt>
                <c:pt idx="44">
                  <c:v>0.64</c:v>
                </c:pt>
                <c:pt idx="45">
                  <c:v>0.56000000000000005</c:v>
                </c:pt>
                <c:pt idx="46">
                  <c:v>0.68</c:v>
                </c:pt>
                <c:pt idx="47">
                  <c:v>0.72</c:v>
                </c:pt>
                <c:pt idx="48">
                  <c:v>0.57999999999999996</c:v>
                </c:pt>
                <c:pt idx="49">
                  <c:v>0.56000000000000005</c:v>
                </c:pt>
                <c:pt idx="50">
                  <c:v>0.62</c:v>
                </c:pt>
                <c:pt idx="51">
                  <c:v>0.6</c:v>
                </c:pt>
                <c:pt idx="52">
                  <c:v>0.64</c:v>
                </c:pt>
                <c:pt idx="53">
                  <c:v>0.62</c:v>
                </c:pt>
                <c:pt idx="54">
                  <c:v>0.7</c:v>
                </c:pt>
                <c:pt idx="55">
                  <c:v>0.7</c:v>
                </c:pt>
                <c:pt idx="56">
                  <c:v>0.62</c:v>
                </c:pt>
                <c:pt idx="57">
                  <c:v>0.46</c:v>
                </c:pt>
                <c:pt idx="58">
                  <c:v>0.56000000000000005</c:v>
                </c:pt>
                <c:pt idx="59">
                  <c:v>0.64</c:v>
                </c:pt>
                <c:pt idx="60">
                  <c:v>0.62</c:v>
                </c:pt>
                <c:pt idx="61">
                  <c:v>0.46</c:v>
                </c:pt>
                <c:pt idx="62">
                  <c:v>0.54</c:v>
                </c:pt>
                <c:pt idx="63">
                  <c:v>0.54</c:v>
                </c:pt>
                <c:pt idx="64">
                  <c:v>0.54</c:v>
                </c:pt>
                <c:pt idx="65">
                  <c:v>0.52</c:v>
                </c:pt>
                <c:pt idx="66">
                  <c:v>0.52</c:v>
                </c:pt>
                <c:pt idx="67">
                  <c:v>0.5</c:v>
                </c:pt>
                <c:pt idx="68">
                  <c:v>0.52</c:v>
                </c:pt>
                <c:pt idx="69">
                  <c:v>0.64</c:v>
                </c:pt>
                <c:pt idx="70">
                  <c:v>0.5</c:v>
                </c:pt>
                <c:pt idx="71">
                  <c:v>0.52</c:v>
                </c:pt>
                <c:pt idx="72">
                  <c:v>0.56000000000000005</c:v>
                </c:pt>
                <c:pt idx="73">
                  <c:v>0.46</c:v>
                </c:pt>
                <c:pt idx="74">
                  <c:v>0.5</c:v>
                </c:pt>
                <c:pt idx="75">
                  <c:v>0.56000000000000005</c:v>
                </c:pt>
                <c:pt idx="76">
                  <c:v>0.57999999999999996</c:v>
                </c:pt>
                <c:pt idx="77">
                  <c:v>0.6</c:v>
                </c:pt>
                <c:pt idx="78">
                  <c:v>0.54</c:v>
                </c:pt>
                <c:pt idx="79">
                  <c:v>0.48</c:v>
                </c:pt>
                <c:pt idx="80">
                  <c:v>0.46</c:v>
                </c:pt>
                <c:pt idx="81">
                  <c:v>0.46</c:v>
                </c:pt>
                <c:pt idx="82">
                  <c:v>0.46</c:v>
                </c:pt>
                <c:pt idx="83">
                  <c:v>0.5</c:v>
                </c:pt>
                <c:pt idx="84">
                  <c:v>0.54</c:v>
                </c:pt>
                <c:pt idx="85">
                  <c:v>0.54</c:v>
                </c:pt>
                <c:pt idx="86">
                  <c:v>0.42</c:v>
                </c:pt>
                <c:pt idx="87">
                  <c:v>0.44</c:v>
                </c:pt>
                <c:pt idx="88">
                  <c:v>0.44</c:v>
                </c:pt>
                <c:pt idx="89">
                  <c:v>0.48</c:v>
                </c:pt>
                <c:pt idx="90">
                  <c:v>0.4</c:v>
                </c:pt>
                <c:pt idx="91">
                  <c:v>0.38</c:v>
                </c:pt>
                <c:pt idx="92">
                  <c:v>0.44</c:v>
                </c:pt>
                <c:pt idx="93">
                  <c:v>0.46</c:v>
                </c:pt>
                <c:pt idx="94">
                  <c:v>0.54</c:v>
                </c:pt>
                <c:pt idx="95">
                  <c:v>0.46</c:v>
                </c:pt>
                <c:pt idx="96">
                  <c:v>0.44</c:v>
                </c:pt>
                <c:pt idx="97">
                  <c:v>0.4</c:v>
                </c:pt>
                <c:pt idx="98">
                  <c:v>0.46</c:v>
                </c:pt>
                <c:pt idx="99">
                  <c:v>0.5</c:v>
                </c:pt>
                <c:pt idx="100">
                  <c:v>0.44</c:v>
                </c:pt>
                <c:pt idx="101">
                  <c:v>0.42</c:v>
                </c:pt>
                <c:pt idx="102">
                  <c:v>0.46</c:v>
                </c:pt>
                <c:pt idx="103">
                  <c:v>0.44</c:v>
                </c:pt>
                <c:pt idx="104">
                  <c:v>0.44</c:v>
                </c:pt>
                <c:pt idx="105">
                  <c:v>0.48</c:v>
                </c:pt>
                <c:pt idx="106">
                  <c:v>0.48</c:v>
                </c:pt>
                <c:pt idx="107">
                  <c:v>0.42</c:v>
                </c:pt>
                <c:pt idx="108">
                  <c:v>0.4</c:v>
                </c:pt>
                <c:pt idx="109">
                  <c:v>0.38</c:v>
                </c:pt>
                <c:pt idx="110">
                  <c:v>0.4</c:v>
                </c:pt>
                <c:pt idx="111">
                  <c:v>0.38</c:v>
                </c:pt>
                <c:pt idx="112">
                  <c:v>0.74</c:v>
                </c:pt>
                <c:pt idx="113">
                  <c:v>0.88</c:v>
                </c:pt>
                <c:pt idx="114">
                  <c:v>0.78</c:v>
                </c:pt>
                <c:pt idx="115">
                  <c:v>0.82</c:v>
                </c:pt>
                <c:pt idx="116">
                  <c:v>0.8</c:v>
                </c:pt>
                <c:pt idx="117">
                  <c:v>0.82</c:v>
                </c:pt>
                <c:pt idx="118">
                  <c:v>0.76</c:v>
                </c:pt>
                <c:pt idx="119">
                  <c:v>0.82</c:v>
                </c:pt>
                <c:pt idx="120">
                  <c:v>0.78</c:v>
                </c:pt>
                <c:pt idx="121">
                  <c:v>0.78</c:v>
                </c:pt>
                <c:pt idx="122">
                  <c:v>0.78</c:v>
                </c:pt>
                <c:pt idx="123">
                  <c:v>0.78</c:v>
                </c:pt>
                <c:pt idx="124">
                  <c:v>0.84</c:v>
                </c:pt>
                <c:pt idx="125">
                  <c:v>0.76</c:v>
                </c:pt>
                <c:pt idx="126">
                  <c:v>0.82</c:v>
                </c:pt>
                <c:pt idx="127">
                  <c:v>0.74</c:v>
                </c:pt>
                <c:pt idx="128">
                  <c:v>0.78</c:v>
                </c:pt>
                <c:pt idx="129">
                  <c:v>0.72</c:v>
                </c:pt>
                <c:pt idx="130">
                  <c:v>0.78</c:v>
                </c:pt>
                <c:pt idx="131">
                  <c:v>0.76</c:v>
                </c:pt>
                <c:pt idx="132">
                  <c:v>0.72</c:v>
                </c:pt>
                <c:pt idx="133">
                  <c:v>0.7</c:v>
                </c:pt>
                <c:pt idx="134">
                  <c:v>0.78</c:v>
                </c:pt>
                <c:pt idx="135">
                  <c:v>0.76</c:v>
                </c:pt>
                <c:pt idx="136">
                  <c:v>0.82</c:v>
                </c:pt>
                <c:pt idx="137">
                  <c:v>0.82</c:v>
                </c:pt>
                <c:pt idx="138">
                  <c:v>0.78</c:v>
                </c:pt>
                <c:pt idx="139">
                  <c:v>0.76</c:v>
                </c:pt>
                <c:pt idx="140">
                  <c:v>0.68</c:v>
                </c:pt>
                <c:pt idx="141">
                  <c:v>0.74</c:v>
                </c:pt>
                <c:pt idx="142">
                  <c:v>0.8</c:v>
                </c:pt>
                <c:pt idx="143">
                  <c:v>0.54</c:v>
                </c:pt>
                <c:pt idx="144">
                  <c:v>0.7</c:v>
                </c:pt>
                <c:pt idx="145">
                  <c:v>0.7</c:v>
                </c:pt>
                <c:pt idx="146">
                  <c:v>0.72</c:v>
                </c:pt>
                <c:pt idx="147">
                  <c:v>0.57999999999999996</c:v>
                </c:pt>
                <c:pt idx="148">
                  <c:v>0.66</c:v>
                </c:pt>
                <c:pt idx="149">
                  <c:v>0.7</c:v>
                </c:pt>
                <c:pt idx="150">
                  <c:v>0.68</c:v>
                </c:pt>
                <c:pt idx="151">
                  <c:v>0.68</c:v>
                </c:pt>
                <c:pt idx="152">
                  <c:v>0.66</c:v>
                </c:pt>
                <c:pt idx="153">
                  <c:v>0.52</c:v>
                </c:pt>
                <c:pt idx="154">
                  <c:v>0.46</c:v>
                </c:pt>
                <c:pt idx="155">
                  <c:v>0.66</c:v>
                </c:pt>
                <c:pt idx="156">
                  <c:v>0.6</c:v>
                </c:pt>
                <c:pt idx="157">
                  <c:v>0.52</c:v>
                </c:pt>
                <c:pt idx="158">
                  <c:v>0.62</c:v>
                </c:pt>
                <c:pt idx="159">
                  <c:v>0.62</c:v>
                </c:pt>
                <c:pt idx="160">
                  <c:v>0.66</c:v>
                </c:pt>
                <c:pt idx="161">
                  <c:v>0.62</c:v>
                </c:pt>
                <c:pt idx="162">
                  <c:v>0.6</c:v>
                </c:pt>
                <c:pt idx="163">
                  <c:v>0.6</c:v>
                </c:pt>
                <c:pt idx="164">
                  <c:v>0.46</c:v>
                </c:pt>
                <c:pt idx="165">
                  <c:v>0.46</c:v>
                </c:pt>
                <c:pt idx="166">
                  <c:v>0.57999999999999996</c:v>
                </c:pt>
                <c:pt idx="167">
                  <c:v>0.5</c:v>
                </c:pt>
                <c:pt idx="168">
                  <c:v>0.5</c:v>
                </c:pt>
                <c:pt idx="169">
                  <c:v>0.54</c:v>
                </c:pt>
                <c:pt idx="170">
                  <c:v>0.52</c:v>
                </c:pt>
                <c:pt idx="171">
                  <c:v>0.54</c:v>
                </c:pt>
                <c:pt idx="172">
                  <c:v>0.54</c:v>
                </c:pt>
                <c:pt idx="173">
                  <c:v>0.54</c:v>
                </c:pt>
                <c:pt idx="174">
                  <c:v>0.52</c:v>
                </c:pt>
                <c:pt idx="175">
                  <c:v>0.46</c:v>
                </c:pt>
                <c:pt idx="176">
                  <c:v>0.46</c:v>
                </c:pt>
                <c:pt idx="177">
                  <c:v>0.52</c:v>
                </c:pt>
                <c:pt idx="178">
                  <c:v>0.42</c:v>
                </c:pt>
                <c:pt idx="179">
                  <c:v>0.42</c:v>
                </c:pt>
                <c:pt idx="180">
                  <c:v>0.42</c:v>
                </c:pt>
                <c:pt idx="181">
                  <c:v>0.52</c:v>
                </c:pt>
                <c:pt idx="182">
                  <c:v>0.46</c:v>
                </c:pt>
                <c:pt idx="183">
                  <c:v>0.38</c:v>
                </c:pt>
                <c:pt idx="184">
                  <c:v>0.38</c:v>
                </c:pt>
                <c:pt idx="185">
                  <c:v>0.38</c:v>
                </c:pt>
                <c:pt idx="186">
                  <c:v>0.48</c:v>
                </c:pt>
                <c:pt idx="187">
                  <c:v>0.38</c:v>
                </c:pt>
                <c:pt idx="188">
                  <c:v>0.38</c:v>
                </c:pt>
                <c:pt idx="189">
                  <c:v>0.78</c:v>
                </c:pt>
                <c:pt idx="190">
                  <c:v>0.32</c:v>
                </c:pt>
                <c:pt idx="191">
                  <c:v>0.36</c:v>
                </c:pt>
                <c:pt idx="192">
                  <c:v>0.38</c:v>
                </c:pt>
                <c:pt idx="193">
                  <c:v>0.34</c:v>
                </c:pt>
                <c:pt idx="194">
                  <c:v>0.32</c:v>
                </c:pt>
                <c:pt idx="195">
                  <c:v>0.32</c:v>
                </c:pt>
                <c:pt idx="196">
                  <c:v>0.74</c:v>
                </c:pt>
                <c:pt idx="197">
                  <c:v>0.34</c:v>
                </c:pt>
                <c:pt idx="198">
                  <c:v>0.28000000000000003</c:v>
                </c:pt>
                <c:pt idx="199">
                  <c:v>0.28000000000000003</c:v>
                </c:pt>
                <c:pt idx="200">
                  <c:v>0.32</c:v>
                </c:pt>
                <c:pt idx="201">
                  <c:v>0.68</c:v>
                </c:pt>
                <c:pt idx="202">
                  <c:v>0.68</c:v>
                </c:pt>
                <c:pt idx="203">
                  <c:v>0.68</c:v>
                </c:pt>
                <c:pt idx="204">
                  <c:v>0.68</c:v>
                </c:pt>
                <c:pt idx="205">
                  <c:v>0.26</c:v>
                </c:pt>
                <c:pt idx="206">
                  <c:v>0.68</c:v>
                </c:pt>
                <c:pt idx="207">
                  <c:v>0.22</c:v>
                </c:pt>
                <c:pt idx="208">
                  <c:v>0.24</c:v>
                </c:pt>
                <c:pt idx="209">
                  <c:v>0.66</c:v>
                </c:pt>
                <c:pt idx="210">
                  <c:v>0.66</c:v>
                </c:pt>
                <c:pt idx="211">
                  <c:v>0.64</c:v>
                </c:pt>
                <c:pt idx="212">
                  <c:v>0.62</c:v>
                </c:pt>
                <c:pt idx="213">
                  <c:v>0.62</c:v>
                </c:pt>
                <c:pt idx="214">
                  <c:v>0.62</c:v>
                </c:pt>
                <c:pt idx="215">
                  <c:v>0.6</c:v>
                </c:pt>
                <c:pt idx="216">
                  <c:v>0.6</c:v>
                </c:pt>
                <c:pt idx="217">
                  <c:v>0.57999999999999996</c:v>
                </c:pt>
                <c:pt idx="218">
                  <c:v>0.52</c:v>
                </c:pt>
                <c:pt idx="219">
                  <c:v>0.5</c:v>
                </c:pt>
                <c:pt idx="220">
                  <c:v>0.48</c:v>
                </c:pt>
                <c:pt idx="221">
                  <c:v>0.48</c:v>
                </c:pt>
                <c:pt idx="222">
                  <c:v>0.46</c:v>
                </c:pt>
                <c:pt idx="223">
                  <c:v>0.44</c:v>
                </c:pt>
                <c:pt idx="224">
                  <c:v>0.4</c:v>
                </c:pt>
                <c:pt idx="225">
                  <c:v>0.36</c:v>
                </c:pt>
                <c:pt idx="226">
                  <c:v>0.34</c:v>
                </c:pt>
                <c:pt idx="227">
                  <c:v>0.34</c:v>
                </c:pt>
                <c:pt idx="228">
                  <c:v>0.38</c:v>
                </c:pt>
                <c:pt idx="229">
                  <c:v>0.38</c:v>
                </c:pt>
                <c:pt idx="230">
                  <c:v>0.48</c:v>
                </c:pt>
                <c:pt idx="231">
                  <c:v>0.38</c:v>
                </c:pt>
                <c:pt idx="232">
                  <c:v>0.36</c:v>
                </c:pt>
                <c:pt idx="233">
                  <c:v>0.8</c:v>
                </c:pt>
                <c:pt idx="234">
                  <c:v>0.42</c:v>
                </c:pt>
                <c:pt idx="235">
                  <c:v>0.8</c:v>
                </c:pt>
                <c:pt idx="236">
                  <c:v>0.8</c:v>
                </c:pt>
                <c:pt idx="237">
                  <c:v>0.78</c:v>
                </c:pt>
                <c:pt idx="238">
                  <c:v>0.62</c:v>
                </c:pt>
                <c:pt idx="239">
                  <c:v>0.74</c:v>
                </c:pt>
                <c:pt idx="240">
                  <c:v>0.86</c:v>
                </c:pt>
                <c:pt idx="241">
                  <c:v>0.62</c:v>
                </c:pt>
                <c:pt idx="242">
                  <c:v>0.8</c:v>
                </c:pt>
                <c:pt idx="243">
                  <c:v>0.8</c:v>
                </c:pt>
                <c:pt idx="244">
                  <c:v>0.57999999999999996</c:v>
                </c:pt>
                <c:pt idx="245">
                  <c:v>0.8</c:v>
                </c:pt>
                <c:pt idx="246">
                  <c:v>0.54</c:v>
                </c:pt>
                <c:pt idx="247">
                  <c:v>0.62</c:v>
                </c:pt>
                <c:pt idx="248">
                  <c:v>0.74</c:v>
                </c:pt>
                <c:pt idx="249">
                  <c:v>0.84</c:v>
                </c:pt>
                <c:pt idx="250">
                  <c:v>0.54</c:v>
                </c:pt>
                <c:pt idx="251">
                  <c:v>0.84</c:v>
                </c:pt>
                <c:pt idx="252">
                  <c:v>0.57999999999999996</c:v>
                </c:pt>
                <c:pt idx="253">
                  <c:v>0.82</c:v>
                </c:pt>
                <c:pt idx="254">
                  <c:v>0.72</c:v>
                </c:pt>
                <c:pt idx="255">
                  <c:v>0.82</c:v>
                </c:pt>
                <c:pt idx="256">
                  <c:v>0.6</c:v>
                </c:pt>
                <c:pt idx="257">
                  <c:v>0.62</c:v>
                </c:pt>
                <c:pt idx="258">
                  <c:v>0.76</c:v>
                </c:pt>
                <c:pt idx="259">
                  <c:v>0.82</c:v>
                </c:pt>
                <c:pt idx="260">
                  <c:v>0.46</c:v>
                </c:pt>
                <c:pt idx="261">
                  <c:v>0.82</c:v>
                </c:pt>
                <c:pt idx="262">
                  <c:v>0.74</c:v>
                </c:pt>
                <c:pt idx="263">
                  <c:v>0.82</c:v>
                </c:pt>
                <c:pt idx="264">
                  <c:v>0.6</c:v>
                </c:pt>
                <c:pt idx="265">
                  <c:v>0.86</c:v>
                </c:pt>
                <c:pt idx="266">
                  <c:v>0.76</c:v>
                </c:pt>
                <c:pt idx="267">
                  <c:v>0.64</c:v>
                </c:pt>
                <c:pt idx="268">
                  <c:v>0.8</c:v>
                </c:pt>
                <c:pt idx="269">
                  <c:v>0.62</c:v>
                </c:pt>
                <c:pt idx="270">
                  <c:v>0.86</c:v>
                </c:pt>
                <c:pt idx="271">
                  <c:v>0.72</c:v>
                </c:pt>
                <c:pt idx="272">
                  <c:v>0.8</c:v>
                </c:pt>
                <c:pt idx="273">
                  <c:v>0.84</c:v>
                </c:pt>
                <c:pt idx="274">
                  <c:v>0.76</c:v>
                </c:pt>
                <c:pt idx="275">
                  <c:v>0.8</c:v>
                </c:pt>
                <c:pt idx="276">
                  <c:v>0.57999999999999996</c:v>
                </c:pt>
                <c:pt idx="277">
                  <c:v>0.82</c:v>
                </c:pt>
                <c:pt idx="278">
                  <c:v>0.68</c:v>
                </c:pt>
                <c:pt idx="279">
                  <c:v>0.52</c:v>
                </c:pt>
                <c:pt idx="280">
                  <c:v>0.72</c:v>
                </c:pt>
                <c:pt idx="281">
                  <c:v>0.72</c:v>
                </c:pt>
                <c:pt idx="282">
                  <c:v>0.68</c:v>
                </c:pt>
                <c:pt idx="283">
                  <c:v>0.72</c:v>
                </c:pt>
                <c:pt idx="284">
                  <c:v>0.74</c:v>
                </c:pt>
                <c:pt idx="285">
                  <c:v>0.78</c:v>
                </c:pt>
                <c:pt idx="286">
                  <c:v>0.62</c:v>
                </c:pt>
                <c:pt idx="287">
                  <c:v>0.86</c:v>
                </c:pt>
                <c:pt idx="288">
                  <c:v>0.72</c:v>
                </c:pt>
                <c:pt idx="289">
                  <c:v>0.32</c:v>
                </c:pt>
                <c:pt idx="290">
                  <c:v>0.84</c:v>
                </c:pt>
                <c:pt idx="291">
                  <c:v>0.38</c:v>
                </c:pt>
                <c:pt idx="292">
                  <c:v>0.72</c:v>
                </c:pt>
                <c:pt idx="293">
                  <c:v>0.46</c:v>
                </c:pt>
                <c:pt idx="294">
                  <c:v>0.72</c:v>
                </c:pt>
                <c:pt idx="295">
                  <c:v>0.82</c:v>
                </c:pt>
                <c:pt idx="296">
                  <c:v>0.78</c:v>
                </c:pt>
                <c:pt idx="297">
                  <c:v>0.86</c:v>
                </c:pt>
                <c:pt idx="298">
                  <c:v>0.68</c:v>
                </c:pt>
                <c:pt idx="299">
                  <c:v>0.68</c:v>
                </c:pt>
                <c:pt idx="300">
                  <c:v>0.78</c:v>
                </c:pt>
                <c:pt idx="301">
                  <c:v>0.42</c:v>
                </c:pt>
                <c:pt idx="302">
                  <c:v>0.36</c:v>
                </c:pt>
                <c:pt idx="303">
                  <c:v>0.82</c:v>
                </c:pt>
                <c:pt idx="304">
                  <c:v>0.52</c:v>
                </c:pt>
                <c:pt idx="305">
                  <c:v>0.66</c:v>
                </c:pt>
                <c:pt idx="306">
                  <c:v>0.8</c:v>
                </c:pt>
                <c:pt idx="307">
                  <c:v>0.72</c:v>
                </c:pt>
                <c:pt idx="308">
                  <c:v>0.78</c:v>
                </c:pt>
                <c:pt idx="309">
                  <c:v>0.86</c:v>
                </c:pt>
                <c:pt idx="310">
                  <c:v>0.64</c:v>
                </c:pt>
                <c:pt idx="311">
                  <c:v>0.46</c:v>
                </c:pt>
                <c:pt idx="312">
                  <c:v>0.82</c:v>
                </c:pt>
                <c:pt idx="313">
                  <c:v>0.66</c:v>
                </c:pt>
                <c:pt idx="314">
                  <c:v>0.66</c:v>
                </c:pt>
                <c:pt idx="315">
                  <c:v>0.68</c:v>
                </c:pt>
                <c:pt idx="316">
                  <c:v>0.78</c:v>
                </c:pt>
                <c:pt idx="317">
                  <c:v>0.54</c:v>
                </c:pt>
                <c:pt idx="318">
                  <c:v>0.57999999999999996</c:v>
                </c:pt>
                <c:pt idx="319">
                  <c:v>0.7</c:v>
                </c:pt>
                <c:pt idx="320">
                  <c:v>0.8</c:v>
                </c:pt>
                <c:pt idx="321">
                  <c:v>0.7</c:v>
                </c:pt>
                <c:pt idx="322">
                  <c:v>0.8</c:v>
                </c:pt>
                <c:pt idx="323">
                  <c:v>0.46</c:v>
                </c:pt>
                <c:pt idx="324">
                  <c:v>0.46</c:v>
                </c:pt>
                <c:pt idx="325">
                  <c:v>0.78</c:v>
                </c:pt>
                <c:pt idx="326">
                  <c:v>0.82</c:v>
                </c:pt>
                <c:pt idx="327">
                  <c:v>0.86</c:v>
                </c:pt>
                <c:pt idx="328">
                  <c:v>0.78</c:v>
                </c:pt>
                <c:pt idx="329">
                  <c:v>0.74</c:v>
                </c:pt>
                <c:pt idx="330">
                  <c:v>0.82</c:v>
                </c:pt>
                <c:pt idx="331">
                  <c:v>0.78</c:v>
                </c:pt>
                <c:pt idx="332">
                  <c:v>0.76</c:v>
                </c:pt>
                <c:pt idx="333">
                  <c:v>0.76</c:v>
                </c:pt>
                <c:pt idx="334">
                  <c:v>0.84</c:v>
                </c:pt>
                <c:pt idx="335">
                  <c:v>0.78</c:v>
                </c:pt>
                <c:pt idx="336">
                  <c:v>0.82</c:v>
                </c:pt>
                <c:pt idx="337">
                  <c:v>0.8</c:v>
                </c:pt>
                <c:pt idx="338">
                  <c:v>0.76</c:v>
                </c:pt>
                <c:pt idx="339">
                  <c:v>0.78</c:v>
                </c:pt>
                <c:pt idx="340">
                  <c:v>0.76</c:v>
                </c:pt>
                <c:pt idx="341">
                  <c:v>0.8</c:v>
                </c:pt>
                <c:pt idx="342">
                  <c:v>0.76</c:v>
                </c:pt>
                <c:pt idx="343">
                  <c:v>0.8</c:v>
                </c:pt>
                <c:pt idx="344">
                  <c:v>0.78</c:v>
                </c:pt>
                <c:pt idx="345">
                  <c:v>0.64</c:v>
                </c:pt>
                <c:pt idx="346">
                  <c:v>0.78</c:v>
                </c:pt>
                <c:pt idx="347">
                  <c:v>0.78</c:v>
                </c:pt>
                <c:pt idx="348">
                  <c:v>0.76</c:v>
                </c:pt>
                <c:pt idx="349">
                  <c:v>0.8</c:v>
                </c:pt>
                <c:pt idx="350">
                  <c:v>0.74</c:v>
                </c:pt>
                <c:pt idx="351">
                  <c:v>0.82</c:v>
                </c:pt>
                <c:pt idx="352">
                  <c:v>0.8</c:v>
                </c:pt>
                <c:pt idx="353">
                  <c:v>0.78</c:v>
                </c:pt>
                <c:pt idx="354">
                  <c:v>0.8</c:v>
                </c:pt>
                <c:pt idx="355">
                  <c:v>0.76</c:v>
                </c:pt>
                <c:pt idx="356">
                  <c:v>0.8</c:v>
                </c:pt>
                <c:pt idx="357">
                  <c:v>0.62</c:v>
                </c:pt>
                <c:pt idx="358">
                  <c:v>0.76</c:v>
                </c:pt>
                <c:pt idx="359">
                  <c:v>0.76</c:v>
                </c:pt>
                <c:pt idx="360">
                  <c:v>0.6</c:v>
                </c:pt>
                <c:pt idx="361">
                  <c:v>0.76</c:v>
                </c:pt>
                <c:pt idx="362">
                  <c:v>0.76</c:v>
                </c:pt>
                <c:pt idx="363">
                  <c:v>0.78</c:v>
                </c:pt>
                <c:pt idx="364">
                  <c:v>0.66</c:v>
                </c:pt>
                <c:pt idx="365">
                  <c:v>0.76</c:v>
                </c:pt>
                <c:pt idx="366">
                  <c:v>0.76</c:v>
                </c:pt>
                <c:pt idx="367">
                  <c:v>0.74</c:v>
                </c:pt>
                <c:pt idx="368">
                  <c:v>0.72</c:v>
                </c:pt>
                <c:pt idx="369">
                  <c:v>0.68</c:v>
                </c:pt>
                <c:pt idx="370">
                  <c:v>0.76</c:v>
                </c:pt>
                <c:pt idx="371">
                  <c:v>0.7</c:v>
                </c:pt>
                <c:pt idx="372">
                  <c:v>0.72</c:v>
                </c:pt>
                <c:pt idx="373">
                  <c:v>0.74</c:v>
                </c:pt>
                <c:pt idx="374">
                  <c:v>0.7</c:v>
                </c:pt>
                <c:pt idx="375">
                  <c:v>0.72</c:v>
                </c:pt>
                <c:pt idx="376">
                  <c:v>0.68</c:v>
                </c:pt>
                <c:pt idx="377">
                  <c:v>0.68</c:v>
                </c:pt>
                <c:pt idx="378">
                  <c:v>0.72</c:v>
                </c:pt>
                <c:pt idx="379">
                  <c:v>0.62</c:v>
                </c:pt>
                <c:pt idx="380">
                  <c:v>0.5</c:v>
                </c:pt>
                <c:pt idx="381">
                  <c:v>0.6</c:v>
                </c:pt>
                <c:pt idx="382">
                  <c:v>0.66</c:v>
                </c:pt>
                <c:pt idx="383">
                  <c:v>0.57999999999999996</c:v>
                </c:pt>
                <c:pt idx="384">
                  <c:v>0.6</c:v>
                </c:pt>
                <c:pt idx="385">
                  <c:v>0.54</c:v>
                </c:pt>
                <c:pt idx="386">
                  <c:v>0.6</c:v>
                </c:pt>
                <c:pt idx="387">
                  <c:v>0.46</c:v>
                </c:pt>
                <c:pt idx="388">
                  <c:v>0.56000000000000005</c:v>
                </c:pt>
                <c:pt idx="389">
                  <c:v>0.52</c:v>
                </c:pt>
                <c:pt idx="390">
                  <c:v>0.46</c:v>
                </c:pt>
                <c:pt idx="391">
                  <c:v>0.62</c:v>
                </c:pt>
                <c:pt idx="392">
                  <c:v>0.44</c:v>
                </c:pt>
                <c:pt idx="393">
                  <c:v>0.5</c:v>
                </c:pt>
                <c:pt idx="394">
                  <c:v>0.52</c:v>
                </c:pt>
                <c:pt idx="395">
                  <c:v>0.46</c:v>
                </c:pt>
                <c:pt idx="396">
                  <c:v>0.38</c:v>
                </c:pt>
                <c:pt idx="397">
                  <c:v>0.36</c:v>
                </c:pt>
                <c:pt idx="398">
                  <c:v>0.4</c:v>
                </c:pt>
                <c:pt idx="399">
                  <c:v>0.3</c:v>
                </c:pt>
                <c:pt idx="400">
                  <c:v>0.36</c:v>
                </c:pt>
                <c:pt idx="401">
                  <c:v>0.38</c:v>
                </c:pt>
                <c:pt idx="402">
                  <c:v>0.32</c:v>
                </c:pt>
                <c:pt idx="403">
                  <c:v>0.3</c:v>
                </c:pt>
                <c:pt idx="404">
                  <c:v>0.26</c:v>
                </c:pt>
                <c:pt idx="405">
                  <c:v>0.28000000000000003</c:v>
                </c:pt>
                <c:pt idx="406">
                  <c:v>0.34</c:v>
                </c:pt>
                <c:pt idx="407">
                  <c:v>0.26</c:v>
                </c:pt>
                <c:pt idx="408">
                  <c:v>0.8</c:v>
                </c:pt>
                <c:pt idx="409">
                  <c:v>0.72</c:v>
                </c:pt>
                <c:pt idx="410">
                  <c:v>0.82</c:v>
                </c:pt>
                <c:pt idx="411">
                  <c:v>0.8</c:v>
                </c:pt>
                <c:pt idx="412">
                  <c:v>0.82</c:v>
                </c:pt>
                <c:pt idx="413">
                  <c:v>0.68</c:v>
                </c:pt>
                <c:pt idx="414">
                  <c:v>0.74</c:v>
                </c:pt>
                <c:pt idx="415">
                  <c:v>0.6</c:v>
                </c:pt>
                <c:pt idx="416">
                  <c:v>0.74</c:v>
                </c:pt>
                <c:pt idx="417">
                  <c:v>0.72</c:v>
                </c:pt>
                <c:pt idx="418">
                  <c:v>0.7</c:v>
                </c:pt>
                <c:pt idx="419">
                  <c:v>0.57999999999999996</c:v>
                </c:pt>
                <c:pt idx="420">
                  <c:v>0.54</c:v>
                </c:pt>
                <c:pt idx="421">
                  <c:v>0.72</c:v>
                </c:pt>
                <c:pt idx="422">
                  <c:v>0.74</c:v>
                </c:pt>
                <c:pt idx="423">
                  <c:v>0.6</c:v>
                </c:pt>
                <c:pt idx="424">
                  <c:v>0.68</c:v>
                </c:pt>
                <c:pt idx="425">
                  <c:v>0.57999999999999996</c:v>
                </c:pt>
                <c:pt idx="426">
                  <c:v>0.62</c:v>
                </c:pt>
                <c:pt idx="427">
                  <c:v>0.4</c:v>
                </c:pt>
                <c:pt idx="428">
                  <c:v>0.36</c:v>
                </c:pt>
                <c:pt idx="429">
                  <c:v>0.26</c:v>
                </c:pt>
                <c:pt idx="430">
                  <c:v>0.38</c:v>
                </c:pt>
                <c:pt idx="431">
                  <c:v>0.74</c:v>
                </c:pt>
                <c:pt idx="432">
                  <c:v>0.62</c:v>
                </c:pt>
                <c:pt idx="433">
                  <c:v>0.46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FC-40A1-A05B-A52653740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05664"/>
        <c:axId val="2098697984"/>
      </c:scatterChart>
      <c:valAx>
        <c:axId val="2098716704"/>
        <c:scaling>
          <c:orientation val="minMax"/>
          <c:max val="4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STUDENT </a:t>
                </a:r>
              </a:p>
            </c:rich>
          </c:tx>
          <c:layout>
            <c:manualLayout>
              <c:xMode val="edge"/>
              <c:yMode val="edge"/>
              <c:x val="0.47608278057984099"/>
              <c:y val="0.95060522182555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4864"/>
        <c:crosses val="autoZero"/>
        <c:crossBetween val="midCat"/>
      </c:valAx>
      <c:valAx>
        <c:axId val="209872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16704"/>
        <c:crosses val="autoZero"/>
        <c:crossBetween val="midCat"/>
      </c:valAx>
      <c:valAx>
        <c:axId val="2098697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05664"/>
        <c:crosses val="max"/>
        <c:crossBetween val="midCat"/>
      </c:valAx>
      <c:valAx>
        <c:axId val="209870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869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471322987211974"/>
          <c:y val="0.10707622298065984"/>
          <c:w val="0.57057354025576057"/>
          <c:h val="3.839617317459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INFLUENCE UTME</a:t>
            </a:r>
            <a:r>
              <a:rPr lang="en-US" baseline="0"/>
              <a:t> VS PUTME </a:t>
            </a:r>
            <a:r>
              <a:rPr lang="en-US"/>
              <a:t>IN TOTAL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4C-4807-85DE-D34424A5EA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04C-4807-85DE-D34424A5EAF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8.1158374065483461E-3"/>
          <c:y val="0.85391341563806544"/>
          <c:w val="0.98159373691180385"/>
          <c:h val="0.12231663999046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Coeffients of UTME vs PUTME on the influence of  Admission(&gt;=50). </a:t>
            </a:r>
          </a:p>
        </c:rich>
      </c:tx>
      <c:layout>
        <c:manualLayout>
          <c:xMode val="edge"/>
          <c:yMode val="edge"/>
          <c:x val="9.34250445538890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597025371828522"/>
          <c:y val="0.23694444444444446"/>
          <c:w val="0.84080752405949255"/>
          <c:h val="0.6417672790901137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Sheet2!$AE$7</c:f>
              <c:strCache>
                <c:ptCount val="1"/>
                <c:pt idx="0">
                  <c:v>Influence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6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translucentPowder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9FCC-4E49-B985-367E5871FDB4}"/>
              </c:ext>
            </c:extLst>
          </c:dPt>
          <c:cat>
            <c:strRef>
              <c:f>Sheet2!$AD$8:$AD$9</c:f>
              <c:strCache>
                <c:ptCount val="2"/>
                <c:pt idx="0">
                  <c:v>UTME</c:v>
                </c:pt>
                <c:pt idx="1">
                  <c:v>PTUME</c:v>
                </c:pt>
              </c:strCache>
            </c:strRef>
          </c:cat>
          <c:val>
            <c:numRef>
              <c:f>Sheet2!$AE$8:$AE$9</c:f>
              <c:numCache>
                <c:formatCode>0.00</c:formatCode>
                <c:ptCount val="2"/>
                <c:pt idx="0">
                  <c:v>3.4995944407484498</c:v>
                </c:pt>
                <c:pt idx="1">
                  <c:v>7.4455759329809199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5D-4116-A193-A377C1685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6353216"/>
        <c:axId val="356348416"/>
        <c:axId val="0"/>
      </c:bar3DChart>
      <c:catAx>
        <c:axId val="35635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48416"/>
        <c:crosses val="autoZero"/>
        <c:auto val="1"/>
        <c:lblAlgn val="ctr"/>
        <c:lblOffset val="100"/>
        <c:noMultiLvlLbl val="0"/>
      </c:catAx>
      <c:valAx>
        <c:axId val="35634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5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/>
              <a:t>UTME vs PUTME Scores of Students IN %</a:t>
            </a:r>
          </a:p>
          <a:p>
            <a:pPr>
              <a:defRPr/>
            </a:pPr>
            <a:r>
              <a:rPr lang="en-US" sz="1600" b="1" i="0" u="none" strike="noStrike" cap="all" normalizeH="0" baseline="0"/>
              <a:t>2022-2025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85282632353876E-2"/>
          <c:y val="0.14199114204739779"/>
          <c:w val="0.85869013934233829"/>
          <c:h val="0.7514144112557378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JAMB/Utme Score (%)(Over 400)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910517256411555E-2"/>
                  <c:y val="-5.562080250733941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Sheet2!$E$2:$E$435</c:f>
              <c:numCache>
                <c:formatCode>0.00%</c:formatCode>
                <c:ptCount val="434"/>
                <c:pt idx="0">
                  <c:v>0.44500000000000001</c:v>
                </c:pt>
                <c:pt idx="1">
                  <c:v>0.42249999999999999</c:v>
                </c:pt>
                <c:pt idx="2">
                  <c:v>0.51249999999999996</c:v>
                </c:pt>
                <c:pt idx="3">
                  <c:v>0.52</c:v>
                </c:pt>
                <c:pt idx="4">
                  <c:v>0.52</c:v>
                </c:pt>
                <c:pt idx="5">
                  <c:v>0.45</c:v>
                </c:pt>
                <c:pt idx="6">
                  <c:v>0.48249999999999998</c:v>
                </c:pt>
                <c:pt idx="7">
                  <c:v>0.42</c:v>
                </c:pt>
                <c:pt idx="8">
                  <c:v>0.495</c:v>
                </c:pt>
                <c:pt idx="9">
                  <c:v>0.49</c:v>
                </c:pt>
                <c:pt idx="10">
                  <c:v>0.52500000000000002</c:v>
                </c:pt>
                <c:pt idx="11">
                  <c:v>0.58250000000000002</c:v>
                </c:pt>
                <c:pt idx="12">
                  <c:v>0.45750000000000002</c:v>
                </c:pt>
                <c:pt idx="13">
                  <c:v>0.45750000000000002</c:v>
                </c:pt>
                <c:pt idx="14">
                  <c:v>0.45500000000000002</c:v>
                </c:pt>
                <c:pt idx="15">
                  <c:v>0.50749999999999995</c:v>
                </c:pt>
                <c:pt idx="16">
                  <c:v>0.48749999999999999</c:v>
                </c:pt>
                <c:pt idx="17">
                  <c:v>0.44500000000000001</c:v>
                </c:pt>
                <c:pt idx="18">
                  <c:v>0.52500000000000002</c:v>
                </c:pt>
                <c:pt idx="19">
                  <c:v>0.48499999999999999</c:v>
                </c:pt>
                <c:pt idx="20">
                  <c:v>0.50749999999999995</c:v>
                </c:pt>
                <c:pt idx="21">
                  <c:v>0.40749999999999997</c:v>
                </c:pt>
                <c:pt idx="22">
                  <c:v>0.4425</c:v>
                </c:pt>
                <c:pt idx="23">
                  <c:v>0.41</c:v>
                </c:pt>
                <c:pt idx="24">
                  <c:v>0.39</c:v>
                </c:pt>
                <c:pt idx="25">
                  <c:v>0.44750000000000001</c:v>
                </c:pt>
                <c:pt idx="26">
                  <c:v>0.42499999999999999</c:v>
                </c:pt>
                <c:pt idx="27">
                  <c:v>0.42249999999999999</c:v>
                </c:pt>
                <c:pt idx="28">
                  <c:v>0.46</c:v>
                </c:pt>
                <c:pt idx="29">
                  <c:v>0.39</c:v>
                </c:pt>
                <c:pt idx="30">
                  <c:v>0.48749999999999999</c:v>
                </c:pt>
                <c:pt idx="31">
                  <c:v>0.46500000000000002</c:v>
                </c:pt>
                <c:pt idx="32">
                  <c:v>0.48499999999999999</c:v>
                </c:pt>
                <c:pt idx="33">
                  <c:v>0.49</c:v>
                </c:pt>
                <c:pt idx="34">
                  <c:v>0.58250000000000002</c:v>
                </c:pt>
                <c:pt idx="35">
                  <c:v>0.4425</c:v>
                </c:pt>
                <c:pt idx="36">
                  <c:v>0.34</c:v>
                </c:pt>
                <c:pt idx="37">
                  <c:v>0.59499999999999997</c:v>
                </c:pt>
                <c:pt idx="38">
                  <c:v>0.55500000000000005</c:v>
                </c:pt>
                <c:pt idx="39">
                  <c:v>0.45250000000000001</c:v>
                </c:pt>
                <c:pt idx="40">
                  <c:v>0.55249999999999999</c:v>
                </c:pt>
                <c:pt idx="41">
                  <c:v>0.43</c:v>
                </c:pt>
                <c:pt idx="42">
                  <c:v>0.54749999999999999</c:v>
                </c:pt>
                <c:pt idx="43">
                  <c:v>0.46750000000000003</c:v>
                </c:pt>
                <c:pt idx="44">
                  <c:v>0.44</c:v>
                </c:pt>
                <c:pt idx="45">
                  <c:v>0.52</c:v>
                </c:pt>
                <c:pt idx="46">
                  <c:v>0.39750000000000002</c:v>
                </c:pt>
                <c:pt idx="47">
                  <c:v>0.35499999999999998</c:v>
                </c:pt>
                <c:pt idx="48">
                  <c:v>0.495</c:v>
                </c:pt>
                <c:pt idx="49">
                  <c:v>0.51249999999999996</c:v>
                </c:pt>
                <c:pt idx="50">
                  <c:v>0.45250000000000001</c:v>
                </c:pt>
                <c:pt idx="51">
                  <c:v>0.47</c:v>
                </c:pt>
                <c:pt idx="52">
                  <c:v>0.42749999999999999</c:v>
                </c:pt>
                <c:pt idx="53">
                  <c:v>0.44</c:v>
                </c:pt>
                <c:pt idx="54">
                  <c:v>0.35749999999999998</c:v>
                </c:pt>
                <c:pt idx="55">
                  <c:v>0.35499999999999998</c:v>
                </c:pt>
                <c:pt idx="56">
                  <c:v>0.4325</c:v>
                </c:pt>
                <c:pt idx="57">
                  <c:v>0.58750000000000002</c:v>
                </c:pt>
                <c:pt idx="58">
                  <c:v>0.48749999999999999</c:v>
                </c:pt>
                <c:pt idx="59">
                  <c:v>0.39750000000000002</c:v>
                </c:pt>
                <c:pt idx="60">
                  <c:v>0.41249999999999998</c:v>
                </c:pt>
                <c:pt idx="61">
                  <c:v>0.57250000000000001</c:v>
                </c:pt>
                <c:pt idx="62">
                  <c:v>0.48</c:v>
                </c:pt>
                <c:pt idx="63">
                  <c:v>0.47749999999999998</c:v>
                </c:pt>
                <c:pt idx="64">
                  <c:v>0.47</c:v>
                </c:pt>
                <c:pt idx="65">
                  <c:v>0.49</c:v>
                </c:pt>
                <c:pt idx="66">
                  <c:v>0.48749999999999999</c:v>
                </c:pt>
                <c:pt idx="67">
                  <c:v>0.505</c:v>
                </c:pt>
                <c:pt idx="68">
                  <c:v>0.48249999999999998</c:v>
                </c:pt>
                <c:pt idx="69">
                  <c:v>0.35749999999999998</c:v>
                </c:pt>
                <c:pt idx="70">
                  <c:v>0.48749999999999999</c:v>
                </c:pt>
                <c:pt idx="71">
                  <c:v>0.46250000000000002</c:v>
                </c:pt>
                <c:pt idx="72">
                  <c:v>0.42249999999999999</c:v>
                </c:pt>
                <c:pt idx="73">
                  <c:v>0.51749999999999996</c:v>
                </c:pt>
                <c:pt idx="74">
                  <c:v>0.47249999999999998</c:v>
                </c:pt>
                <c:pt idx="75">
                  <c:v>0.41</c:v>
                </c:pt>
                <c:pt idx="76">
                  <c:v>0.38750000000000001</c:v>
                </c:pt>
                <c:pt idx="77">
                  <c:v>0.36499999999999999</c:v>
                </c:pt>
                <c:pt idx="78">
                  <c:v>0.42</c:v>
                </c:pt>
                <c:pt idx="79">
                  <c:v>0.46750000000000003</c:v>
                </c:pt>
                <c:pt idx="80">
                  <c:v>0.47749999999999998</c:v>
                </c:pt>
                <c:pt idx="81">
                  <c:v>0.47</c:v>
                </c:pt>
                <c:pt idx="82">
                  <c:v>0.46750000000000003</c:v>
                </c:pt>
                <c:pt idx="83">
                  <c:v>0.42499999999999999</c:v>
                </c:pt>
                <c:pt idx="84">
                  <c:v>0.38</c:v>
                </c:pt>
                <c:pt idx="85">
                  <c:v>0.38</c:v>
                </c:pt>
                <c:pt idx="86">
                  <c:v>0.49249999999999999</c:v>
                </c:pt>
                <c:pt idx="87">
                  <c:v>0.47249999999999998</c:v>
                </c:pt>
                <c:pt idx="88">
                  <c:v>0.46500000000000002</c:v>
                </c:pt>
                <c:pt idx="89">
                  <c:v>0.42249999999999999</c:v>
                </c:pt>
                <c:pt idx="90">
                  <c:v>0.50249999999999995</c:v>
                </c:pt>
                <c:pt idx="91">
                  <c:v>0.51</c:v>
                </c:pt>
                <c:pt idx="92">
                  <c:v>0.44500000000000001</c:v>
                </c:pt>
                <c:pt idx="93">
                  <c:v>0.42249999999999999</c:v>
                </c:pt>
                <c:pt idx="94">
                  <c:v>0.34</c:v>
                </c:pt>
                <c:pt idx="95">
                  <c:v>0.42</c:v>
                </c:pt>
                <c:pt idx="96">
                  <c:v>0.44</c:v>
                </c:pt>
                <c:pt idx="97">
                  <c:v>0.47749999999999998</c:v>
                </c:pt>
                <c:pt idx="98">
                  <c:v>0.41749999999999998</c:v>
                </c:pt>
                <c:pt idx="99">
                  <c:v>0.3775</c:v>
                </c:pt>
                <c:pt idx="100">
                  <c:v>0.4325</c:v>
                </c:pt>
                <c:pt idx="101">
                  <c:v>0.45</c:v>
                </c:pt>
                <c:pt idx="102">
                  <c:v>0.40749999999999997</c:v>
                </c:pt>
                <c:pt idx="103">
                  <c:v>0.42249999999999999</c:v>
                </c:pt>
                <c:pt idx="104">
                  <c:v>0.41499999999999998</c:v>
                </c:pt>
                <c:pt idx="105">
                  <c:v>0.3725</c:v>
                </c:pt>
                <c:pt idx="106">
                  <c:v>0.36249999999999999</c:v>
                </c:pt>
                <c:pt idx="107">
                  <c:v>0.42249999999999999</c:v>
                </c:pt>
                <c:pt idx="108">
                  <c:v>0.44</c:v>
                </c:pt>
                <c:pt idx="109">
                  <c:v>0.45750000000000002</c:v>
                </c:pt>
                <c:pt idx="110">
                  <c:v>0.42749999999999999</c:v>
                </c:pt>
                <c:pt idx="111">
                  <c:v>0.42749999999999999</c:v>
                </c:pt>
                <c:pt idx="112">
                  <c:v>0.71499999999999997</c:v>
                </c:pt>
                <c:pt idx="113">
                  <c:v>0.51500000000000001</c:v>
                </c:pt>
                <c:pt idx="114">
                  <c:v>0.5</c:v>
                </c:pt>
                <c:pt idx="115">
                  <c:v>0.44750000000000001</c:v>
                </c:pt>
                <c:pt idx="116">
                  <c:v>0.46250000000000002</c:v>
                </c:pt>
                <c:pt idx="117">
                  <c:v>0.4425</c:v>
                </c:pt>
                <c:pt idx="118">
                  <c:v>0.50249999999999995</c:v>
                </c:pt>
                <c:pt idx="119">
                  <c:v>0.44</c:v>
                </c:pt>
                <c:pt idx="120">
                  <c:v>0.46250000000000002</c:v>
                </c:pt>
                <c:pt idx="121">
                  <c:v>0.46</c:v>
                </c:pt>
                <c:pt idx="122">
                  <c:v>0.45750000000000002</c:v>
                </c:pt>
                <c:pt idx="123">
                  <c:v>0.45500000000000002</c:v>
                </c:pt>
                <c:pt idx="124">
                  <c:v>0.39</c:v>
                </c:pt>
                <c:pt idx="125">
                  <c:v>0.47</c:v>
                </c:pt>
                <c:pt idx="126">
                  <c:v>0.40500000000000003</c:v>
                </c:pt>
                <c:pt idx="127">
                  <c:v>0.48249999999999998</c:v>
                </c:pt>
                <c:pt idx="128">
                  <c:v>0.44</c:v>
                </c:pt>
                <c:pt idx="129">
                  <c:v>0.4975</c:v>
                </c:pt>
                <c:pt idx="130">
                  <c:v>0.4375</c:v>
                </c:pt>
                <c:pt idx="131">
                  <c:v>0.45</c:v>
                </c:pt>
                <c:pt idx="132">
                  <c:v>0.48749999999999999</c:v>
                </c:pt>
                <c:pt idx="133">
                  <c:v>0.50249999999999995</c:v>
                </c:pt>
                <c:pt idx="134">
                  <c:v>0.42249999999999999</c:v>
                </c:pt>
                <c:pt idx="135">
                  <c:v>0.4425</c:v>
                </c:pt>
                <c:pt idx="136">
                  <c:v>0.375</c:v>
                </c:pt>
                <c:pt idx="137">
                  <c:v>0.375</c:v>
                </c:pt>
                <c:pt idx="138">
                  <c:v>0.41</c:v>
                </c:pt>
                <c:pt idx="139">
                  <c:v>0.41499999999999998</c:v>
                </c:pt>
                <c:pt idx="140">
                  <c:v>0.49249999999999999</c:v>
                </c:pt>
                <c:pt idx="141">
                  <c:v>0.42499999999999999</c:v>
                </c:pt>
                <c:pt idx="142">
                  <c:v>0.35499999999999998</c:v>
                </c:pt>
                <c:pt idx="143">
                  <c:v>0.61250000000000004</c:v>
                </c:pt>
                <c:pt idx="144">
                  <c:v>0.44750000000000001</c:v>
                </c:pt>
                <c:pt idx="145">
                  <c:v>0.44750000000000001</c:v>
                </c:pt>
                <c:pt idx="146">
                  <c:v>0.42749999999999999</c:v>
                </c:pt>
                <c:pt idx="147">
                  <c:v>0.56499999999999995</c:v>
                </c:pt>
                <c:pt idx="148">
                  <c:v>0.48</c:v>
                </c:pt>
                <c:pt idx="149">
                  <c:v>0.435</c:v>
                </c:pt>
                <c:pt idx="150">
                  <c:v>0.42749999999999999</c:v>
                </c:pt>
                <c:pt idx="151">
                  <c:v>0.42</c:v>
                </c:pt>
                <c:pt idx="152">
                  <c:v>0.41749999999999998</c:v>
                </c:pt>
                <c:pt idx="153">
                  <c:v>0.55249999999999999</c:v>
                </c:pt>
                <c:pt idx="154">
                  <c:v>0.61250000000000004</c:v>
                </c:pt>
                <c:pt idx="155">
                  <c:v>0.39750000000000002</c:v>
                </c:pt>
                <c:pt idx="156">
                  <c:v>0.45250000000000001</c:v>
                </c:pt>
                <c:pt idx="157">
                  <c:v>0.52500000000000002</c:v>
                </c:pt>
                <c:pt idx="158">
                  <c:v>0.41749999999999998</c:v>
                </c:pt>
                <c:pt idx="159">
                  <c:v>0.41</c:v>
                </c:pt>
                <c:pt idx="160">
                  <c:v>0.36499999999999999</c:v>
                </c:pt>
                <c:pt idx="161">
                  <c:v>0.40500000000000003</c:v>
                </c:pt>
                <c:pt idx="162">
                  <c:v>0.41749999999999998</c:v>
                </c:pt>
                <c:pt idx="163">
                  <c:v>0.41499999999999998</c:v>
                </c:pt>
                <c:pt idx="164">
                  <c:v>0.55249999999999999</c:v>
                </c:pt>
                <c:pt idx="165">
                  <c:v>0.54249999999999998</c:v>
                </c:pt>
                <c:pt idx="166">
                  <c:v>0.41749999999999998</c:v>
                </c:pt>
                <c:pt idx="167">
                  <c:v>0.4975</c:v>
                </c:pt>
                <c:pt idx="168">
                  <c:v>0.48499999999999999</c:v>
                </c:pt>
                <c:pt idx="169">
                  <c:v>0.44</c:v>
                </c:pt>
                <c:pt idx="170">
                  <c:v>0.45750000000000002</c:v>
                </c:pt>
                <c:pt idx="171">
                  <c:v>0.435</c:v>
                </c:pt>
                <c:pt idx="172">
                  <c:v>0.42249999999999999</c:v>
                </c:pt>
                <c:pt idx="173">
                  <c:v>0.42</c:v>
                </c:pt>
                <c:pt idx="174">
                  <c:v>0.42249999999999999</c:v>
                </c:pt>
                <c:pt idx="175">
                  <c:v>0.46750000000000003</c:v>
                </c:pt>
                <c:pt idx="176">
                  <c:v>0.46</c:v>
                </c:pt>
                <c:pt idx="177">
                  <c:v>0.4</c:v>
                </c:pt>
                <c:pt idx="178">
                  <c:v>0.49249999999999999</c:v>
                </c:pt>
                <c:pt idx="179">
                  <c:v>0.48749999999999999</c:v>
                </c:pt>
                <c:pt idx="180">
                  <c:v>0.48749999999999999</c:v>
                </c:pt>
                <c:pt idx="181">
                  <c:v>0.38500000000000001</c:v>
                </c:pt>
                <c:pt idx="182">
                  <c:v>0.41749999999999998</c:v>
                </c:pt>
                <c:pt idx="183">
                  <c:v>0.48</c:v>
                </c:pt>
                <c:pt idx="184">
                  <c:v>0.48249999999999998</c:v>
                </c:pt>
                <c:pt idx="185">
                  <c:v>0.46750000000000003</c:v>
                </c:pt>
                <c:pt idx="186">
                  <c:v>0.35749999999999998</c:v>
                </c:pt>
                <c:pt idx="187">
                  <c:v>0.46250000000000002</c:v>
                </c:pt>
                <c:pt idx="188">
                  <c:v>0.40250000000000002</c:v>
                </c:pt>
                <c:pt idx="189">
                  <c:v>0.3775</c:v>
                </c:pt>
                <c:pt idx="190">
                  <c:v>0.46</c:v>
                </c:pt>
                <c:pt idx="191">
                  <c:v>0.41749999999999998</c:v>
                </c:pt>
                <c:pt idx="192">
                  <c:v>0.39250000000000002</c:v>
                </c:pt>
                <c:pt idx="193">
                  <c:v>0.41749999999999998</c:v>
                </c:pt>
                <c:pt idx="194">
                  <c:v>0.435</c:v>
                </c:pt>
                <c:pt idx="195">
                  <c:v>0.42499999999999999</c:v>
                </c:pt>
                <c:pt idx="196">
                  <c:v>0.47749999999999998</c:v>
                </c:pt>
                <c:pt idx="197">
                  <c:v>0.42749999999999999</c:v>
                </c:pt>
                <c:pt idx="198">
                  <c:v>0.44</c:v>
                </c:pt>
                <c:pt idx="199">
                  <c:v>0.40749999999999997</c:v>
                </c:pt>
                <c:pt idx="200">
                  <c:v>0.36749999999999999</c:v>
                </c:pt>
                <c:pt idx="201">
                  <c:v>0.45</c:v>
                </c:pt>
                <c:pt idx="202">
                  <c:v>0.45250000000000001</c:v>
                </c:pt>
                <c:pt idx="203">
                  <c:v>0.47499999999999998</c:v>
                </c:pt>
                <c:pt idx="204">
                  <c:v>0.4975</c:v>
                </c:pt>
                <c:pt idx="205">
                  <c:v>0.42</c:v>
                </c:pt>
                <c:pt idx="206">
                  <c:v>0.495</c:v>
                </c:pt>
                <c:pt idx="207">
                  <c:v>0.45500000000000002</c:v>
                </c:pt>
                <c:pt idx="208">
                  <c:v>0.42249999999999999</c:v>
                </c:pt>
                <c:pt idx="209">
                  <c:v>0.42499999999999999</c:v>
                </c:pt>
                <c:pt idx="210">
                  <c:v>0.40500000000000003</c:v>
                </c:pt>
                <c:pt idx="211">
                  <c:v>0.46500000000000002</c:v>
                </c:pt>
                <c:pt idx="212">
                  <c:v>0.4425</c:v>
                </c:pt>
                <c:pt idx="213">
                  <c:v>0.41249999999999998</c:v>
                </c:pt>
                <c:pt idx="214">
                  <c:v>0.36249999999999999</c:v>
                </c:pt>
                <c:pt idx="215">
                  <c:v>0.45</c:v>
                </c:pt>
                <c:pt idx="216">
                  <c:v>0.495</c:v>
                </c:pt>
                <c:pt idx="217">
                  <c:v>0.53749999999999998</c:v>
                </c:pt>
                <c:pt idx="218">
                  <c:v>0.50249999999999995</c:v>
                </c:pt>
                <c:pt idx="219">
                  <c:v>0.36</c:v>
                </c:pt>
                <c:pt idx="220">
                  <c:v>0.495</c:v>
                </c:pt>
                <c:pt idx="221">
                  <c:v>0.4</c:v>
                </c:pt>
                <c:pt idx="222">
                  <c:v>0.41249999999999998</c:v>
                </c:pt>
                <c:pt idx="223">
                  <c:v>0.40749999999999997</c:v>
                </c:pt>
                <c:pt idx="224">
                  <c:v>0.40250000000000002</c:v>
                </c:pt>
                <c:pt idx="225">
                  <c:v>0.46</c:v>
                </c:pt>
                <c:pt idx="226">
                  <c:v>0.3725</c:v>
                </c:pt>
                <c:pt idx="227">
                  <c:v>0.46500000000000002</c:v>
                </c:pt>
                <c:pt idx="228">
                  <c:v>0.48</c:v>
                </c:pt>
                <c:pt idx="229">
                  <c:v>0.46750000000000003</c:v>
                </c:pt>
                <c:pt idx="230">
                  <c:v>0.35749999999999998</c:v>
                </c:pt>
                <c:pt idx="231">
                  <c:v>0.46250000000000002</c:v>
                </c:pt>
                <c:pt idx="232">
                  <c:v>0.45</c:v>
                </c:pt>
                <c:pt idx="233">
                  <c:v>0.40749999999999997</c:v>
                </c:pt>
                <c:pt idx="234">
                  <c:v>0.3775</c:v>
                </c:pt>
                <c:pt idx="235">
                  <c:v>0.38750000000000001</c:v>
                </c:pt>
                <c:pt idx="236">
                  <c:v>0.51500000000000001</c:v>
                </c:pt>
                <c:pt idx="237">
                  <c:v>0.46750000000000003</c:v>
                </c:pt>
                <c:pt idx="238">
                  <c:v>0.57999999999999996</c:v>
                </c:pt>
                <c:pt idx="239">
                  <c:v>0.41249999999999998</c:v>
                </c:pt>
                <c:pt idx="240">
                  <c:v>0.44750000000000001</c:v>
                </c:pt>
                <c:pt idx="241">
                  <c:v>0.62250000000000005</c:v>
                </c:pt>
                <c:pt idx="242">
                  <c:v>0.49</c:v>
                </c:pt>
                <c:pt idx="243">
                  <c:v>0.40500000000000003</c:v>
                </c:pt>
                <c:pt idx="244">
                  <c:v>0.51500000000000001</c:v>
                </c:pt>
                <c:pt idx="245">
                  <c:v>0.56499999999999995</c:v>
                </c:pt>
                <c:pt idx="246">
                  <c:v>0.57250000000000001</c:v>
                </c:pt>
                <c:pt idx="247">
                  <c:v>0.38</c:v>
                </c:pt>
                <c:pt idx="248">
                  <c:v>0.56499999999999995</c:v>
                </c:pt>
                <c:pt idx="249">
                  <c:v>0.44500000000000001</c:v>
                </c:pt>
                <c:pt idx="250">
                  <c:v>0.66249999999999998</c:v>
                </c:pt>
                <c:pt idx="251">
                  <c:v>0.42</c:v>
                </c:pt>
                <c:pt idx="252">
                  <c:v>0.40500000000000003</c:v>
                </c:pt>
                <c:pt idx="253">
                  <c:v>0.47749999999999998</c:v>
                </c:pt>
                <c:pt idx="254">
                  <c:v>0.47</c:v>
                </c:pt>
                <c:pt idx="255">
                  <c:v>0.48749999999999999</c:v>
                </c:pt>
                <c:pt idx="256">
                  <c:v>0.42</c:v>
                </c:pt>
                <c:pt idx="257">
                  <c:v>0.53749999999999998</c:v>
                </c:pt>
                <c:pt idx="258">
                  <c:v>0.57999999999999996</c:v>
                </c:pt>
                <c:pt idx="259">
                  <c:v>0.87250000000000005</c:v>
                </c:pt>
                <c:pt idx="260">
                  <c:v>0.435</c:v>
                </c:pt>
                <c:pt idx="261">
                  <c:v>0.47499999999999998</c:v>
                </c:pt>
                <c:pt idx="262">
                  <c:v>0.41749999999999998</c:v>
                </c:pt>
                <c:pt idx="263">
                  <c:v>0.4375</c:v>
                </c:pt>
                <c:pt idx="264">
                  <c:v>0.35749999999999998</c:v>
                </c:pt>
                <c:pt idx="265">
                  <c:v>0.39250000000000002</c:v>
                </c:pt>
                <c:pt idx="266">
                  <c:v>0.5575</c:v>
                </c:pt>
                <c:pt idx="267">
                  <c:v>0.46250000000000002</c:v>
                </c:pt>
                <c:pt idx="268">
                  <c:v>0.435</c:v>
                </c:pt>
                <c:pt idx="269">
                  <c:v>0.5575</c:v>
                </c:pt>
                <c:pt idx="270">
                  <c:v>0.47499999999999998</c:v>
                </c:pt>
                <c:pt idx="271">
                  <c:v>0.34499999999999997</c:v>
                </c:pt>
                <c:pt idx="272">
                  <c:v>0.5</c:v>
                </c:pt>
                <c:pt idx="273">
                  <c:v>0.46750000000000003</c:v>
                </c:pt>
                <c:pt idx="274">
                  <c:v>0.46500000000000002</c:v>
                </c:pt>
                <c:pt idx="275">
                  <c:v>0.46</c:v>
                </c:pt>
                <c:pt idx="276">
                  <c:v>0.44500000000000001</c:v>
                </c:pt>
                <c:pt idx="277">
                  <c:v>0.40749999999999997</c:v>
                </c:pt>
                <c:pt idx="278">
                  <c:v>0.45500000000000002</c:v>
                </c:pt>
                <c:pt idx="279">
                  <c:v>0.46500000000000002</c:v>
                </c:pt>
                <c:pt idx="280">
                  <c:v>0.3725</c:v>
                </c:pt>
                <c:pt idx="281">
                  <c:v>0.75</c:v>
                </c:pt>
                <c:pt idx="282">
                  <c:v>0.5</c:v>
                </c:pt>
                <c:pt idx="283">
                  <c:v>0.42499999999999999</c:v>
                </c:pt>
                <c:pt idx="284">
                  <c:v>0.42749999999999999</c:v>
                </c:pt>
                <c:pt idx="285">
                  <c:v>0.39250000000000002</c:v>
                </c:pt>
                <c:pt idx="286">
                  <c:v>0.60250000000000004</c:v>
                </c:pt>
                <c:pt idx="287">
                  <c:v>0.78</c:v>
                </c:pt>
                <c:pt idx="288">
                  <c:v>0.51749999999999996</c:v>
                </c:pt>
                <c:pt idx="289">
                  <c:v>0.45250000000000001</c:v>
                </c:pt>
                <c:pt idx="290">
                  <c:v>0.39250000000000002</c:v>
                </c:pt>
                <c:pt idx="291">
                  <c:v>0.42</c:v>
                </c:pt>
                <c:pt idx="292">
                  <c:v>0.4325</c:v>
                </c:pt>
                <c:pt idx="293">
                  <c:v>0.51</c:v>
                </c:pt>
                <c:pt idx="294">
                  <c:v>0.42749999999999999</c:v>
                </c:pt>
                <c:pt idx="295">
                  <c:v>0.45750000000000002</c:v>
                </c:pt>
                <c:pt idx="296">
                  <c:v>0.72</c:v>
                </c:pt>
                <c:pt idx="297">
                  <c:v>0.47749999999999998</c:v>
                </c:pt>
                <c:pt idx="298">
                  <c:v>0.47249999999999998</c:v>
                </c:pt>
                <c:pt idx="299">
                  <c:v>0.41749999999999998</c:v>
                </c:pt>
                <c:pt idx="300">
                  <c:v>0.51</c:v>
                </c:pt>
                <c:pt idx="301">
                  <c:v>0.495</c:v>
                </c:pt>
                <c:pt idx="302">
                  <c:v>0.46250000000000002</c:v>
                </c:pt>
                <c:pt idx="303">
                  <c:v>0.45250000000000001</c:v>
                </c:pt>
                <c:pt idx="304">
                  <c:v>0.39250000000000002</c:v>
                </c:pt>
                <c:pt idx="305">
                  <c:v>0.61499999999999999</c:v>
                </c:pt>
                <c:pt idx="306">
                  <c:v>0.47749999999999998</c:v>
                </c:pt>
                <c:pt idx="307">
                  <c:v>0.435</c:v>
                </c:pt>
                <c:pt idx="308">
                  <c:v>0.39</c:v>
                </c:pt>
                <c:pt idx="309">
                  <c:v>0.46750000000000003</c:v>
                </c:pt>
                <c:pt idx="310">
                  <c:v>0.41749999999999998</c:v>
                </c:pt>
                <c:pt idx="311">
                  <c:v>0.5</c:v>
                </c:pt>
                <c:pt idx="312">
                  <c:v>0.505</c:v>
                </c:pt>
                <c:pt idx="313">
                  <c:v>0.37</c:v>
                </c:pt>
                <c:pt idx="314">
                  <c:v>0.64500000000000002</c:v>
                </c:pt>
                <c:pt idx="315">
                  <c:v>0.41249999999999998</c:v>
                </c:pt>
                <c:pt idx="316">
                  <c:v>0.45750000000000002</c:v>
                </c:pt>
                <c:pt idx="317">
                  <c:v>0.49249999999999999</c:v>
                </c:pt>
                <c:pt idx="318">
                  <c:v>0.3775</c:v>
                </c:pt>
                <c:pt idx="319">
                  <c:v>0.40749999999999997</c:v>
                </c:pt>
                <c:pt idx="320">
                  <c:v>0.46</c:v>
                </c:pt>
                <c:pt idx="321">
                  <c:v>0.44750000000000001</c:v>
                </c:pt>
                <c:pt idx="322">
                  <c:v>0.42499999999999999</c:v>
                </c:pt>
                <c:pt idx="323">
                  <c:v>0.47499999999999998</c:v>
                </c:pt>
                <c:pt idx="324">
                  <c:v>0.54249999999999998</c:v>
                </c:pt>
                <c:pt idx="325">
                  <c:v>0.61</c:v>
                </c:pt>
                <c:pt idx="326">
                  <c:v>0.54</c:v>
                </c:pt>
                <c:pt idx="327">
                  <c:v>0.47749999999999998</c:v>
                </c:pt>
                <c:pt idx="328">
                  <c:v>0.54749999999999999</c:v>
                </c:pt>
                <c:pt idx="329">
                  <c:v>0.56000000000000005</c:v>
                </c:pt>
                <c:pt idx="330">
                  <c:v>0.48</c:v>
                </c:pt>
                <c:pt idx="331">
                  <c:v>0.51</c:v>
                </c:pt>
                <c:pt idx="332">
                  <c:v>0.52500000000000002</c:v>
                </c:pt>
                <c:pt idx="333">
                  <c:v>0.52500000000000002</c:v>
                </c:pt>
                <c:pt idx="334">
                  <c:v>0.44</c:v>
                </c:pt>
                <c:pt idx="335">
                  <c:v>0.4975</c:v>
                </c:pt>
                <c:pt idx="336">
                  <c:v>0.44500000000000001</c:v>
                </c:pt>
                <c:pt idx="337">
                  <c:v>0.46250000000000002</c:v>
                </c:pt>
                <c:pt idx="338">
                  <c:v>0.5</c:v>
                </c:pt>
                <c:pt idx="339">
                  <c:v>0.47249999999999998</c:v>
                </c:pt>
                <c:pt idx="340">
                  <c:v>0.48</c:v>
                </c:pt>
                <c:pt idx="341">
                  <c:v>0.4375</c:v>
                </c:pt>
                <c:pt idx="342">
                  <c:v>0.47749999999999998</c:v>
                </c:pt>
                <c:pt idx="343">
                  <c:v>0.435</c:v>
                </c:pt>
                <c:pt idx="344">
                  <c:v>0.45</c:v>
                </c:pt>
                <c:pt idx="345">
                  <c:v>0.58250000000000002</c:v>
                </c:pt>
                <c:pt idx="346">
                  <c:v>0.4425</c:v>
                </c:pt>
                <c:pt idx="347">
                  <c:v>0.44</c:v>
                </c:pt>
                <c:pt idx="348">
                  <c:v>0.46</c:v>
                </c:pt>
                <c:pt idx="349">
                  <c:v>0.41499999999999998</c:v>
                </c:pt>
                <c:pt idx="350">
                  <c:v>0.47499999999999998</c:v>
                </c:pt>
                <c:pt idx="351">
                  <c:v>0.39500000000000002</c:v>
                </c:pt>
                <c:pt idx="352">
                  <c:v>0.41499999999999998</c:v>
                </c:pt>
                <c:pt idx="353">
                  <c:v>0.43</c:v>
                </c:pt>
                <c:pt idx="354">
                  <c:v>0.40500000000000003</c:v>
                </c:pt>
                <c:pt idx="355">
                  <c:v>0.44500000000000001</c:v>
                </c:pt>
                <c:pt idx="356">
                  <c:v>0.40250000000000002</c:v>
                </c:pt>
                <c:pt idx="357">
                  <c:v>0.5625</c:v>
                </c:pt>
                <c:pt idx="358">
                  <c:v>0.42249999999999999</c:v>
                </c:pt>
                <c:pt idx="359">
                  <c:v>0.42</c:v>
                </c:pt>
                <c:pt idx="360">
                  <c:v>0.57999999999999996</c:v>
                </c:pt>
                <c:pt idx="361">
                  <c:v>0.41499999999999998</c:v>
                </c:pt>
                <c:pt idx="362">
                  <c:v>0.41499999999999998</c:v>
                </c:pt>
                <c:pt idx="363">
                  <c:v>0.39500000000000002</c:v>
                </c:pt>
                <c:pt idx="364">
                  <c:v>0.51500000000000001</c:v>
                </c:pt>
                <c:pt idx="365">
                  <c:v>0.40250000000000002</c:v>
                </c:pt>
                <c:pt idx="366">
                  <c:v>0.4</c:v>
                </c:pt>
                <c:pt idx="367">
                  <c:v>0.41</c:v>
                </c:pt>
                <c:pt idx="368">
                  <c:v>0.42749999999999999</c:v>
                </c:pt>
                <c:pt idx="369">
                  <c:v>0.46250000000000002</c:v>
                </c:pt>
                <c:pt idx="370">
                  <c:v>0.3775</c:v>
                </c:pt>
                <c:pt idx="371">
                  <c:v>0.4375</c:v>
                </c:pt>
                <c:pt idx="372">
                  <c:v>0.40749999999999997</c:v>
                </c:pt>
                <c:pt idx="373">
                  <c:v>0.37</c:v>
                </c:pt>
                <c:pt idx="374">
                  <c:v>0.41</c:v>
                </c:pt>
                <c:pt idx="375">
                  <c:v>0.39</c:v>
                </c:pt>
                <c:pt idx="376">
                  <c:v>0.42749999999999999</c:v>
                </c:pt>
                <c:pt idx="377">
                  <c:v>0.42249999999999999</c:v>
                </c:pt>
                <c:pt idx="378">
                  <c:v>0.3775</c:v>
                </c:pt>
                <c:pt idx="379">
                  <c:v>0.47749999999999998</c:v>
                </c:pt>
                <c:pt idx="380">
                  <c:v>0.59</c:v>
                </c:pt>
                <c:pt idx="381">
                  <c:v>0.48749999999999999</c:v>
                </c:pt>
                <c:pt idx="382">
                  <c:v>0.41749999999999998</c:v>
                </c:pt>
                <c:pt idx="383">
                  <c:v>0.4975</c:v>
                </c:pt>
                <c:pt idx="384">
                  <c:v>0.46750000000000003</c:v>
                </c:pt>
                <c:pt idx="385">
                  <c:v>0.5</c:v>
                </c:pt>
                <c:pt idx="386">
                  <c:v>0.43</c:v>
                </c:pt>
                <c:pt idx="387">
                  <c:v>0.5675</c:v>
                </c:pt>
                <c:pt idx="388">
                  <c:v>0.45</c:v>
                </c:pt>
                <c:pt idx="389">
                  <c:v>0.46250000000000002</c:v>
                </c:pt>
                <c:pt idx="390">
                  <c:v>0.50749999999999995</c:v>
                </c:pt>
                <c:pt idx="391">
                  <c:v>0.34499999999999997</c:v>
                </c:pt>
                <c:pt idx="392">
                  <c:v>0.50249999999999995</c:v>
                </c:pt>
                <c:pt idx="393">
                  <c:v>0.4375</c:v>
                </c:pt>
                <c:pt idx="394">
                  <c:v>0.40749999999999997</c:v>
                </c:pt>
                <c:pt idx="395">
                  <c:v>0.41499999999999998</c:v>
                </c:pt>
                <c:pt idx="396">
                  <c:v>0.4375</c:v>
                </c:pt>
                <c:pt idx="397">
                  <c:v>0.45500000000000002</c:v>
                </c:pt>
                <c:pt idx="398">
                  <c:v>0.41499999999999998</c:v>
                </c:pt>
                <c:pt idx="399">
                  <c:v>0.50249999999999995</c:v>
                </c:pt>
                <c:pt idx="400">
                  <c:v>0.4375</c:v>
                </c:pt>
                <c:pt idx="401">
                  <c:v>0.41499999999999998</c:v>
                </c:pt>
                <c:pt idx="402">
                  <c:v>0.46750000000000003</c:v>
                </c:pt>
                <c:pt idx="403">
                  <c:v>0.48249999999999998</c:v>
                </c:pt>
                <c:pt idx="404">
                  <c:v>0.47249999999999998</c:v>
                </c:pt>
                <c:pt idx="405">
                  <c:v>0.4325</c:v>
                </c:pt>
                <c:pt idx="406">
                  <c:v>0.36499999999999999</c:v>
                </c:pt>
                <c:pt idx="407">
                  <c:v>0.41749999999999998</c:v>
                </c:pt>
                <c:pt idx="408">
                  <c:v>0.51249999999999996</c:v>
                </c:pt>
                <c:pt idx="409">
                  <c:v>0.54500000000000004</c:v>
                </c:pt>
                <c:pt idx="410">
                  <c:v>0.42249999999999999</c:v>
                </c:pt>
                <c:pt idx="411">
                  <c:v>0.4325</c:v>
                </c:pt>
                <c:pt idx="412">
                  <c:v>0.39250000000000002</c:v>
                </c:pt>
                <c:pt idx="413">
                  <c:v>0.5</c:v>
                </c:pt>
                <c:pt idx="414">
                  <c:v>0.42749999999999999</c:v>
                </c:pt>
                <c:pt idx="415">
                  <c:v>0.5575</c:v>
                </c:pt>
                <c:pt idx="416">
                  <c:v>0.41249999999999998</c:v>
                </c:pt>
                <c:pt idx="417">
                  <c:v>0.40749999999999997</c:v>
                </c:pt>
                <c:pt idx="418">
                  <c:v>0.42499999999999999</c:v>
                </c:pt>
                <c:pt idx="419">
                  <c:v>0.53500000000000003</c:v>
                </c:pt>
                <c:pt idx="420">
                  <c:v>0.5675</c:v>
                </c:pt>
                <c:pt idx="421">
                  <c:v>0.38500000000000001</c:v>
                </c:pt>
                <c:pt idx="422">
                  <c:v>0.35</c:v>
                </c:pt>
                <c:pt idx="423">
                  <c:v>0.45750000000000002</c:v>
                </c:pt>
                <c:pt idx="424">
                  <c:v>0.36749999999999999</c:v>
                </c:pt>
                <c:pt idx="425">
                  <c:v>0.42249999999999999</c:v>
                </c:pt>
                <c:pt idx="426">
                  <c:v>0.37</c:v>
                </c:pt>
                <c:pt idx="427">
                  <c:v>0.4975</c:v>
                </c:pt>
                <c:pt idx="428">
                  <c:v>0.44500000000000001</c:v>
                </c:pt>
                <c:pt idx="429">
                  <c:v>0.4</c:v>
                </c:pt>
                <c:pt idx="430">
                  <c:v>0.61499999999999999</c:v>
                </c:pt>
                <c:pt idx="431">
                  <c:v>0.58750000000000002</c:v>
                </c:pt>
                <c:pt idx="432">
                  <c:v>0.40250000000000002</c:v>
                </c:pt>
                <c:pt idx="433">
                  <c:v>0.45750000000000002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E5-4C8E-AC13-0D6182DB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16704"/>
        <c:axId val="2098724864"/>
      </c:scatterChart>
      <c:scatterChart>
        <c:scatterStyle val="lineMarker"/>
        <c:varyColors val="0"/>
        <c:ser>
          <c:idx val="1"/>
          <c:order val="1"/>
          <c:tx>
            <c:strRef>
              <c:f>Sheet2!$F$1</c:f>
              <c:strCache>
                <c:ptCount val="1"/>
                <c:pt idx="0">
                  <c:v>PUTME Score (%)(Over 50)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>
                <a:softEdge rad="0"/>
              </a:effectLst>
            </c:spPr>
          </c:marker>
          <c:yVal>
            <c:numRef>
              <c:f>Sheet2!$F$2:$F$435</c:f>
              <c:numCache>
                <c:formatCode>0.00%</c:formatCode>
                <c:ptCount val="434"/>
                <c:pt idx="0">
                  <c:v>0.88</c:v>
                </c:pt>
                <c:pt idx="1">
                  <c:v>0.9</c:v>
                </c:pt>
                <c:pt idx="2">
                  <c:v>0.8</c:v>
                </c:pt>
                <c:pt idx="3">
                  <c:v>0.76</c:v>
                </c:pt>
                <c:pt idx="4">
                  <c:v>0.74</c:v>
                </c:pt>
                <c:pt idx="5">
                  <c:v>0.8</c:v>
                </c:pt>
                <c:pt idx="6">
                  <c:v>0.76</c:v>
                </c:pt>
                <c:pt idx="7">
                  <c:v>0.8</c:v>
                </c:pt>
                <c:pt idx="8">
                  <c:v>0.72</c:v>
                </c:pt>
                <c:pt idx="9">
                  <c:v>0.72</c:v>
                </c:pt>
                <c:pt idx="10">
                  <c:v>0.68</c:v>
                </c:pt>
                <c:pt idx="11">
                  <c:v>0.62</c:v>
                </c:pt>
                <c:pt idx="12">
                  <c:v>0.74</c:v>
                </c:pt>
                <c:pt idx="13">
                  <c:v>0.74</c:v>
                </c:pt>
                <c:pt idx="14">
                  <c:v>0.74</c:v>
                </c:pt>
                <c:pt idx="15">
                  <c:v>0.68</c:v>
                </c:pt>
                <c:pt idx="16">
                  <c:v>0.7</c:v>
                </c:pt>
                <c:pt idx="17">
                  <c:v>0.74</c:v>
                </c:pt>
                <c:pt idx="18">
                  <c:v>0.66</c:v>
                </c:pt>
                <c:pt idx="19">
                  <c:v>0.7</c:v>
                </c:pt>
                <c:pt idx="20">
                  <c:v>0.66</c:v>
                </c:pt>
                <c:pt idx="21">
                  <c:v>0.76</c:v>
                </c:pt>
                <c:pt idx="22">
                  <c:v>0.72</c:v>
                </c:pt>
                <c:pt idx="23">
                  <c:v>0.74</c:v>
                </c:pt>
                <c:pt idx="24">
                  <c:v>0.76</c:v>
                </c:pt>
                <c:pt idx="25">
                  <c:v>0.7</c:v>
                </c:pt>
                <c:pt idx="26">
                  <c:v>0.72</c:v>
                </c:pt>
                <c:pt idx="27">
                  <c:v>0.72</c:v>
                </c:pt>
                <c:pt idx="28">
                  <c:v>0.68</c:v>
                </c:pt>
                <c:pt idx="29">
                  <c:v>0.74</c:v>
                </c:pt>
                <c:pt idx="30">
                  <c:v>0.64</c:v>
                </c:pt>
                <c:pt idx="31">
                  <c:v>0.66</c:v>
                </c:pt>
                <c:pt idx="32">
                  <c:v>0.64</c:v>
                </c:pt>
                <c:pt idx="33">
                  <c:v>0.62</c:v>
                </c:pt>
                <c:pt idx="34">
                  <c:v>0.52</c:v>
                </c:pt>
                <c:pt idx="35">
                  <c:v>0.66</c:v>
                </c:pt>
                <c:pt idx="36">
                  <c:v>0.76</c:v>
                </c:pt>
                <c:pt idx="37">
                  <c:v>0.5</c:v>
                </c:pt>
                <c:pt idx="38">
                  <c:v>0.54</c:v>
                </c:pt>
                <c:pt idx="39">
                  <c:v>0.64</c:v>
                </c:pt>
                <c:pt idx="40">
                  <c:v>0.54</c:v>
                </c:pt>
                <c:pt idx="41">
                  <c:v>0.66</c:v>
                </c:pt>
                <c:pt idx="42">
                  <c:v>0.54</c:v>
                </c:pt>
                <c:pt idx="43">
                  <c:v>0.62</c:v>
                </c:pt>
                <c:pt idx="44">
                  <c:v>0.64</c:v>
                </c:pt>
                <c:pt idx="45">
                  <c:v>0.56000000000000005</c:v>
                </c:pt>
                <c:pt idx="46">
                  <c:v>0.68</c:v>
                </c:pt>
                <c:pt idx="47">
                  <c:v>0.72</c:v>
                </c:pt>
                <c:pt idx="48">
                  <c:v>0.57999999999999996</c:v>
                </c:pt>
                <c:pt idx="49">
                  <c:v>0.56000000000000005</c:v>
                </c:pt>
                <c:pt idx="50">
                  <c:v>0.62</c:v>
                </c:pt>
                <c:pt idx="51">
                  <c:v>0.6</c:v>
                </c:pt>
                <c:pt idx="52">
                  <c:v>0.64</c:v>
                </c:pt>
                <c:pt idx="53">
                  <c:v>0.62</c:v>
                </c:pt>
                <c:pt idx="54">
                  <c:v>0.7</c:v>
                </c:pt>
                <c:pt idx="55">
                  <c:v>0.7</c:v>
                </c:pt>
                <c:pt idx="56">
                  <c:v>0.62</c:v>
                </c:pt>
                <c:pt idx="57">
                  <c:v>0.46</c:v>
                </c:pt>
                <c:pt idx="58">
                  <c:v>0.56000000000000005</c:v>
                </c:pt>
                <c:pt idx="59">
                  <c:v>0.64</c:v>
                </c:pt>
                <c:pt idx="60">
                  <c:v>0.62</c:v>
                </c:pt>
                <c:pt idx="61">
                  <c:v>0.46</c:v>
                </c:pt>
                <c:pt idx="62">
                  <c:v>0.54</c:v>
                </c:pt>
                <c:pt idx="63">
                  <c:v>0.54</c:v>
                </c:pt>
                <c:pt idx="64">
                  <c:v>0.54</c:v>
                </c:pt>
                <c:pt idx="65">
                  <c:v>0.52</c:v>
                </c:pt>
                <c:pt idx="66">
                  <c:v>0.52</c:v>
                </c:pt>
                <c:pt idx="67">
                  <c:v>0.5</c:v>
                </c:pt>
                <c:pt idx="68">
                  <c:v>0.52</c:v>
                </c:pt>
                <c:pt idx="69">
                  <c:v>0.64</c:v>
                </c:pt>
                <c:pt idx="70">
                  <c:v>0.5</c:v>
                </c:pt>
                <c:pt idx="71">
                  <c:v>0.52</c:v>
                </c:pt>
                <c:pt idx="72">
                  <c:v>0.56000000000000005</c:v>
                </c:pt>
                <c:pt idx="73">
                  <c:v>0.46</c:v>
                </c:pt>
                <c:pt idx="74">
                  <c:v>0.5</c:v>
                </c:pt>
                <c:pt idx="75">
                  <c:v>0.56000000000000005</c:v>
                </c:pt>
                <c:pt idx="76">
                  <c:v>0.57999999999999996</c:v>
                </c:pt>
                <c:pt idx="77">
                  <c:v>0.6</c:v>
                </c:pt>
                <c:pt idx="78">
                  <c:v>0.54</c:v>
                </c:pt>
                <c:pt idx="79">
                  <c:v>0.48</c:v>
                </c:pt>
                <c:pt idx="80">
                  <c:v>0.46</c:v>
                </c:pt>
                <c:pt idx="81">
                  <c:v>0.46</c:v>
                </c:pt>
                <c:pt idx="82">
                  <c:v>0.46</c:v>
                </c:pt>
                <c:pt idx="83">
                  <c:v>0.5</c:v>
                </c:pt>
                <c:pt idx="84">
                  <c:v>0.54</c:v>
                </c:pt>
                <c:pt idx="85">
                  <c:v>0.54</c:v>
                </c:pt>
                <c:pt idx="86">
                  <c:v>0.42</c:v>
                </c:pt>
                <c:pt idx="87">
                  <c:v>0.44</c:v>
                </c:pt>
                <c:pt idx="88">
                  <c:v>0.44</c:v>
                </c:pt>
                <c:pt idx="89">
                  <c:v>0.48</c:v>
                </c:pt>
                <c:pt idx="90">
                  <c:v>0.4</c:v>
                </c:pt>
                <c:pt idx="91">
                  <c:v>0.38</c:v>
                </c:pt>
                <c:pt idx="92">
                  <c:v>0.44</c:v>
                </c:pt>
                <c:pt idx="93">
                  <c:v>0.46</c:v>
                </c:pt>
                <c:pt idx="94">
                  <c:v>0.54</c:v>
                </c:pt>
                <c:pt idx="95">
                  <c:v>0.46</c:v>
                </c:pt>
                <c:pt idx="96">
                  <c:v>0.44</c:v>
                </c:pt>
                <c:pt idx="97">
                  <c:v>0.4</c:v>
                </c:pt>
                <c:pt idx="98">
                  <c:v>0.46</c:v>
                </c:pt>
                <c:pt idx="99">
                  <c:v>0.5</c:v>
                </c:pt>
                <c:pt idx="100">
                  <c:v>0.44</c:v>
                </c:pt>
                <c:pt idx="101">
                  <c:v>0.42</c:v>
                </c:pt>
                <c:pt idx="102">
                  <c:v>0.46</c:v>
                </c:pt>
                <c:pt idx="103">
                  <c:v>0.44</c:v>
                </c:pt>
                <c:pt idx="104">
                  <c:v>0.44</c:v>
                </c:pt>
                <c:pt idx="105">
                  <c:v>0.48</c:v>
                </c:pt>
                <c:pt idx="106">
                  <c:v>0.48</c:v>
                </c:pt>
                <c:pt idx="107">
                  <c:v>0.42</c:v>
                </c:pt>
                <c:pt idx="108">
                  <c:v>0.4</c:v>
                </c:pt>
                <c:pt idx="109">
                  <c:v>0.38</c:v>
                </c:pt>
                <c:pt idx="110">
                  <c:v>0.4</c:v>
                </c:pt>
                <c:pt idx="111">
                  <c:v>0.38</c:v>
                </c:pt>
                <c:pt idx="112">
                  <c:v>0.74</c:v>
                </c:pt>
                <c:pt idx="113">
                  <c:v>0.88</c:v>
                </c:pt>
                <c:pt idx="114">
                  <c:v>0.78</c:v>
                </c:pt>
                <c:pt idx="115">
                  <c:v>0.82</c:v>
                </c:pt>
                <c:pt idx="116">
                  <c:v>0.8</c:v>
                </c:pt>
                <c:pt idx="117">
                  <c:v>0.82</c:v>
                </c:pt>
                <c:pt idx="118">
                  <c:v>0.76</c:v>
                </c:pt>
                <c:pt idx="119">
                  <c:v>0.82</c:v>
                </c:pt>
                <c:pt idx="120">
                  <c:v>0.78</c:v>
                </c:pt>
                <c:pt idx="121">
                  <c:v>0.78</c:v>
                </c:pt>
                <c:pt idx="122">
                  <c:v>0.78</c:v>
                </c:pt>
                <c:pt idx="123">
                  <c:v>0.78</c:v>
                </c:pt>
                <c:pt idx="124">
                  <c:v>0.84</c:v>
                </c:pt>
                <c:pt idx="125">
                  <c:v>0.76</c:v>
                </c:pt>
                <c:pt idx="126">
                  <c:v>0.82</c:v>
                </c:pt>
                <c:pt idx="127">
                  <c:v>0.74</c:v>
                </c:pt>
                <c:pt idx="128">
                  <c:v>0.78</c:v>
                </c:pt>
                <c:pt idx="129">
                  <c:v>0.72</c:v>
                </c:pt>
                <c:pt idx="130">
                  <c:v>0.78</c:v>
                </c:pt>
                <c:pt idx="131">
                  <c:v>0.76</c:v>
                </c:pt>
                <c:pt idx="132">
                  <c:v>0.72</c:v>
                </c:pt>
                <c:pt idx="133">
                  <c:v>0.7</c:v>
                </c:pt>
                <c:pt idx="134">
                  <c:v>0.78</c:v>
                </c:pt>
                <c:pt idx="135">
                  <c:v>0.76</c:v>
                </c:pt>
                <c:pt idx="136">
                  <c:v>0.82</c:v>
                </c:pt>
                <c:pt idx="137">
                  <c:v>0.82</c:v>
                </c:pt>
                <c:pt idx="138">
                  <c:v>0.78</c:v>
                </c:pt>
                <c:pt idx="139">
                  <c:v>0.76</c:v>
                </c:pt>
                <c:pt idx="140">
                  <c:v>0.68</c:v>
                </c:pt>
                <c:pt idx="141">
                  <c:v>0.74</c:v>
                </c:pt>
                <c:pt idx="142">
                  <c:v>0.8</c:v>
                </c:pt>
                <c:pt idx="143">
                  <c:v>0.54</c:v>
                </c:pt>
                <c:pt idx="144">
                  <c:v>0.7</c:v>
                </c:pt>
                <c:pt idx="145">
                  <c:v>0.7</c:v>
                </c:pt>
                <c:pt idx="146">
                  <c:v>0.72</c:v>
                </c:pt>
                <c:pt idx="147">
                  <c:v>0.57999999999999996</c:v>
                </c:pt>
                <c:pt idx="148">
                  <c:v>0.66</c:v>
                </c:pt>
                <c:pt idx="149">
                  <c:v>0.7</c:v>
                </c:pt>
                <c:pt idx="150">
                  <c:v>0.68</c:v>
                </c:pt>
                <c:pt idx="151">
                  <c:v>0.68</c:v>
                </c:pt>
                <c:pt idx="152">
                  <c:v>0.66</c:v>
                </c:pt>
                <c:pt idx="153">
                  <c:v>0.52</c:v>
                </c:pt>
                <c:pt idx="154">
                  <c:v>0.46</c:v>
                </c:pt>
                <c:pt idx="155">
                  <c:v>0.66</c:v>
                </c:pt>
                <c:pt idx="156">
                  <c:v>0.6</c:v>
                </c:pt>
                <c:pt idx="157">
                  <c:v>0.52</c:v>
                </c:pt>
                <c:pt idx="158">
                  <c:v>0.62</c:v>
                </c:pt>
                <c:pt idx="159">
                  <c:v>0.62</c:v>
                </c:pt>
                <c:pt idx="160">
                  <c:v>0.66</c:v>
                </c:pt>
                <c:pt idx="161">
                  <c:v>0.62</c:v>
                </c:pt>
                <c:pt idx="162">
                  <c:v>0.6</c:v>
                </c:pt>
                <c:pt idx="163">
                  <c:v>0.6</c:v>
                </c:pt>
                <c:pt idx="164">
                  <c:v>0.46</c:v>
                </c:pt>
                <c:pt idx="165">
                  <c:v>0.46</c:v>
                </c:pt>
                <c:pt idx="166">
                  <c:v>0.57999999999999996</c:v>
                </c:pt>
                <c:pt idx="167">
                  <c:v>0.5</c:v>
                </c:pt>
                <c:pt idx="168">
                  <c:v>0.5</c:v>
                </c:pt>
                <c:pt idx="169">
                  <c:v>0.54</c:v>
                </c:pt>
                <c:pt idx="170">
                  <c:v>0.52</c:v>
                </c:pt>
                <c:pt idx="171">
                  <c:v>0.54</c:v>
                </c:pt>
                <c:pt idx="172">
                  <c:v>0.54</c:v>
                </c:pt>
                <c:pt idx="173">
                  <c:v>0.54</c:v>
                </c:pt>
                <c:pt idx="174">
                  <c:v>0.52</c:v>
                </c:pt>
                <c:pt idx="175">
                  <c:v>0.46</c:v>
                </c:pt>
                <c:pt idx="176">
                  <c:v>0.46</c:v>
                </c:pt>
                <c:pt idx="177">
                  <c:v>0.52</c:v>
                </c:pt>
                <c:pt idx="178">
                  <c:v>0.42</c:v>
                </c:pt>
                <c:pt idx="179">
                  <c:v>0.42</c:v>
                </c:pt>
                <c:pt idx="180">
                  <c:v>0.42</c:v>
                </c:pt>
                <c:pt idx="181">
                  <c:v>0.52</c:v>
                </c:pt>
                <c:pt idx="182">
                  <c:v>0.46</c:v>
                </c:pt>
                <c:pt idx="183">
                  <c:v>0.38</c:v>
                </c:pt>
                <c:pt idx="184">
                  <c:v>0.38</c:v>
                </c:pt>
                <c:pt idx="185">
                  <c:v>0.38</c:v>
                </c:pt>
                <c:pt idx="186">
                  <c:v>0.48</c:v>
                </c:pt>
                <c:pt idx="187">
                  <c:v>0.38</c:v>
                </c:pt>
                <c:pt idx="188">
                  <c:v>0.38</c:v>
                </c:pt>
                <c:pt idx="189">
                  <c:v>0.78</c:v>
                </c:pt>
                <c:pt idx="190">
                  <c:v>0.32</c:v>
                </c:pt>
                <c:pt idx="191">
                  <c:v>0.36</c:v>
                </c:pt>
                <c:pt idx="192">
                  <c:v>0.38</c:v>
                </c:pt>
                <c:pt idx="193">
                  <c:v>0.34</c:v>
                </c:pt>
                <c:pt idx="194">
                  <c:v>0.32</c:v>
                </c:pt>
                <c:pt idx="195">
                  <c:v>0.32</c:v>
                </c:pt>
                <c:pt idx="196">
                  <c:v>0.74</c:v>
                </c:pt>
                <c:pt idx="197">
                  <c:v>0.34</c:v>
                </c:pt>
                <c:pt idx="198">
                  <c:v>0.28000000000000003</c:v>
                </c:pt>
                <c:pt idx="199">
                  <c:v>0.28000000000000003</c:v>
                </c:pt>
                <c:pt idx="200">
                  <c:v>0.32</c:v>
                </c:pt>
                <c:pt idx="201">
                  <c:v>0.68</c:v>
                </c:pt>
                <c:pt idx="202">
                  <c:v>0.68</c:v>
                </c:pt>
                <c:pt idx="203">
                  <c:v>0.68</c:v>
                </c:pt>
                <c:pt idx="204">
                  <c:v>0.68</c:v>
                </c:pt>
                <c:pt idx="205">
                  <c:v>0.26</c:v>
                </c:pt>
                <c:pt idx="206">
                  <c:v>0.68</c:v>
                </c:pt>
                <c:pt idx="207">
                  <c:v>0.22</c:v>
                </c:pt>
                <c:pt idx="208">
                  <c:v>0.24</c:v>
                </c:pt>
                <c:pt idx="209">
                  <c:v>0.66</c:v>
                </c:pt>
                <c:pt idx="210">
                  <c:v>0.66</c:v>
                </c:pt>
                <c:pt idx="211">
                  <c:v>0.64</c:v>
                </c:pt>
                <c:pt idx="212">
                  <c:v>0.62</c:v>
                </c:pt>
                <c:pt idx="213">
                  <c:v>0.62</c:v>
                </c:pt>
                <c:pt idx="214">
                  <c:v>0.62</c:v>
                </c:pt>
                <c:pt idx="215">
                  <c:v>0.6</c:v>
                </c:pt>
                <c:pt idx="216">
                  <c:v>0.6</c:v>
                </c:pt>
                <c:pt idx="217">
                  <c:v>0.57999999999999996</c:v>
                </c:pt>
                <c:pt idx="218">
                  <c:v>0.52</c:v>
                </c:pt>
                <c:pt idx="219">
                  <c:v>0.5</c:v>
                </c:pt>
                <c:pt idx="220">
                  <c:v>0.48</c:v>
                </c:pt>
                <c:pt idx="221">
                  <c:v>0.48</c:v>
                </c:pt>
                <c:pt idx="222">
                  <c:v>0.46</c:v>
                </c:pt>
                <c:pt idx="223">
                  <c:v>0.44</c:v>
                </c:pt>
                <c:pt idx="224">
                  <c:v>0.4</c:v>
                </c:pt>
                <c:pt idx="225">
                  <c:v>0.36</c:v>
                </c:pt>
                <c:pt idx="226">
                  <c:v>0.34</c:v>
                </c:pt>
                <c:pt idx="227">
                  <c:v>0.34</c:v>
                </c:pt>
                <c:pt idx="228">
                  <c:v>0.38</c:v>
                </c:pt>
                <c:pt idx="229">
                  <c:v>0.38</c:v>
                </c:pt>
                <c:pt idx="230">
                  <c:v>0.48</c:v>
                </c:pt>
                <c:pt idx="231">
                  <c:v>0.38</c:v>
                </c:pt>
                <c:pt idx="232">
                  <c:v>0.36</c:v>
                </c:pt>
                <c:pt idx="233">
                  <c:v>0.8</c:v>
                </c:pt>
                <c:pt idx="234">
                  <c:v>0.42</c:v>
                </c:pt>
                <c:pt idx="235">
                  <c:v>0.8</c:v>
                </c:pt>
                <c:pt idx="236">
                  <c:v>0.8</c:v>
                </c:pt>
                <c:pt idx="237">
                  <c:v>0.78</c:v>
                </c:pt>
                <c:pt idx="238">
                  <c:v>0.62</c:v>
                </c:pt>
                <c:pt idx="239">
                  <c:v>0.74</c:v>
                </c:pt>
                <c:pt idx="240">
                  <c:v>0.86</c:v>
                </c:pt>
                <c:pt idx="241">
                  <c:v>0.62</c:v>
                </c:pt>
                <c:pt idx="242">
                  <c:v>0.8</c:v>
                </c:pt>
                <c:pt idx="243">
                  <c:v>0.8</c:v>
                </c:pt>
                <c:pt idx="244">
                  <c:v>0.57999999999999996</c:v>
                </c:pt>
                <c:pt idx="245">
                  <c:v>0.8</c:v>
                </c:pt>
                <c:pt idx="246">
                  <c:v>0.54</c:v>
                </c:pt>
                <c:pt idx="247">
                  <c:v>0.62</c:v>
                </c:pt>
                <c:pt idx="248">
                  <c:v>0.74</c:v>
                </c:pt>
                <c:pt idx="249">
                  <c:v>0.84</c:v>
                </c:pt>
                <c:pt idx="250">
                  <c:v>0.54</c:v>
                </c:pt>
                <c:pt idx="251">
                  <c:v>0.84</c:v>
                </c:pt>
                <c:pt idx="252">
                  <c:v>0.57999999999999996</c:v>
                </c:pt>
                <c:pt idx="253">
                  <c:v>0.82</c:v>
                </c:pt>
                <c:pt idx="254">
                  <c:v>0.72</c:v>
                </c:pt>
                <c:pt idx="255">
                  <c:v>0.82</c:v>
                </c:pt>
                <c:pt idx="256">
                  <c:v>0.6</c:v>
                </c:pt>
                <c:pt idx="257">
                  <c:v>0.62</c:v>
                </c:pt>
                <c:pt idx="258">
                  <c:v>0.76</c:v>
                </c:pt>
                <c:pt idx="259">
                  <c:v>0.82</c:v>
                </c:pt>
                <c:pt idx="260">
                  <c:v>0.46</c:v>
                </c:pt>
                <c:pt idx="261">
                  <c:v>0.82</c:v>
                </c:pt>
                <c:pt idx="262">
                  <c:v>0.74</c:v>
                </c:pt>
                <c:pt idx="263">
                  <c:v>0.82</c:v>
                </c:pt>
                <c:pt idx="264">
                  <c:v>0.6</c:v>
                </c:pt>
                <c:pt idx="265">
                  <c:v>0.86</c:v>
                </c:pt>
                <c:pt idx="266">
                  <c:v>0.76</c:v>
                </c:pt>
                <c:pt idx="267">
                  <c:v>0.64</c:v>
                </c:pt>
                <c:pt idx="268">
                  <c:v>0.8</c:v>
                </c:pt>
                <c:pt idx="269">
                  <c:v>0.62</c:v>
                </c:pt>
                <c:pt idx="270">
                  <c:v>0.86</c:v>
                </c:pt>
                <c:pt idx="271">
                  <c:v>0.72</c:v>
                </c:pt>
                <c:pt idx="272">
                  <c:v>0.8</c:v>
                </c:pt>
                <c:pt idx="273">
                  <c:v>0.84</c:v>
                </c:pt>
                <c:pt idx="274">
                  <c:v>0.76</c:v>
                </c:pt>
                <c:pt idx="275">
                  <c:v>0.8</c:v>
                </c:pt>
                <c:pt idx="276">
                  <c:v>0.57999999999999996</c:v>
                </c:pt>
                <c:pt idx="277">
                  <c:v>0.82</c:v>
                </c:pt>
                <c:pt idx="278">
                  <c:v>0.68</c:v>
                </c:pt>
                <c:pt idx="279">
                  <c:v>0.52</c:v>
                </c:pt>
                <c:pt idx="280">
                  <c:v>0.72</c:v>
                </c:pt>
                <c:pt idx="281">
                  <c:v>0.72</c:v>
                </c:pt>
                <c:pt idx="282">
                  <c:v>0.68</c:v>
                </c:pt>
                <c:pt idx="283">
                  <c:v>0.72</c:v>
                </c:pt>
                <c:pt idx="284">
                  <c:v>0.74</c:v>
                </c:pt>
                <c:pt idx="285">
                  <c:v>0.78</c:v>
                </c:pt>
                <c:pt idx="286">
                  <c:v>0.62</c:v>
                </c:pt>
                <c:pt idx="287">
                  <c:v>0.86</c:v>
                </c:pt>
                <c:pt idx="288">
                  <c:v>0.72</c:v>
                </c:pt>
                <c:pt idx="289">
                  <c:v>0.32</c:v>
                </c:pt>
                <c:pt idx="290">
                  <c:v>0.84</c:v>
                </c:pt>
                <c:pt idx="291">
                  <c:v>0.38</c:v>
                </c:pt>
                <c:pt idx="292">
                  <c:v>0.72</c:v>
                </c:pt>
                <c:pt idx="293">
                  <c:v>0.46</c:v>
                </c:pt>
                <c:pt idx="294">
                  <c:v>0.72</c:v>
                </c:pt>
                <c:pt idx="295">
                  <c:v>0.82</c:v>
                </c:pt>
                <c:pt idx="296">
                  <c:v>0.78</c:v>
                </c:pt>
                <c:pt idx="297">
                  <c:v>0.86</c:v>
                </c:pt>
                <c:pt idx="298">
                  <c:v>0.68</c:v>
                </c:pt>
                <c:pt idx="299">
                  <c:v>0.68</c:v>
                </c:pt>
                <c:pt idx="300">
                  <c:v>0.78</c:v>
                </c:pt>
                <c:pt idx="301">
                  <c:v>0.42</c:v>
                </c:pt>
                <c:pt idx="302">
                  <c:v>0.36</c:v>
                </c:pt>
                <c:pt idx="303">
                  <c:v>0.82</c:v>
                </c:pt>
                <c:pt idx="304">
                  <c:v>0.52</c:v>
                </c:pt>
                <c:pt idx="305">
                  <c:v>0.66</c:v>
                </c:pt>
                <c:pt idx="306">
                  <c:v>0.8</c:v>
                </c:pt>
                <c:pt idx="307">
                  <c:v>0.72</c:v>
                </c:pt>
                <c:pt idx="308">
                  <c:v>0.78</c:v>
                </c:pt>
                <c:pt idx="309">
                  <c:v>0.86</c:v>
                </c:pt>
                <c:pt idx="310">
                  <c:v>0.64</c:v>
                </c:pt>
                <c:pt idx="311">
                  <c:v>0.46</c:v>
                </c:pt>
                <c:pt idx="312">
                  <c:v>0.82</c:v>
                </c:pt>
                <c:pt idx="313">
                  <c:v>0.66</c:v>
                </c:pt>
                <c:pt idx="314">
                  <c:v>0.66</c:v>
                </c:pt>
                <c:pt idx="315">
                  <c:v>0.68</c:v>
                </c:pt>
                <c:pt idx="316">
                  <c:v>0.78</c:v>
                </c:pt>
                <c:pt idx="317">
                  <c:v>0.54</c:v>
                </c:pt>
                <c:pt idx="318">
                  <c:v>0.57999999999999996</c:v>
                </c:pt>
                <c:pt idx="319">
                  <c:v>0.7</c:v>
                </c:pt>
                <c:pt idx="320">
                  <c:v>0.8</c:v>
                </c:pt>
                <c:pt idx="321">
                  <c:v>0.7</c:v>
                </c:pt>
                <c:pt idx="322">
                  <c:v>0.8</c:v>
                </c:pt>
                <c:pt idx="323">
                  <c:v>0.46</c:v>
                </c:pt>
                <c:pt idx="324">
                  <c:v>0.46</c:v>
                </c:pt>
                <c:pt idx="325">
                  <c:v>0.78</c:v>
                </c:pt>
                <c:pt idx="326">
                  <c:v>0.82</c:v>
                </c:pt>
                <c:pt idx="327">
                  <c:v>0.86</c:v>
                </c:pt>
                <c:pt idx="328">
                  <c:v>0.78</c:v>
                </c:pt>
                <c:pt idx="329">
                  <c:v>0.74</c:v>
                </c:pt>
                <c:pt idx="330">
                  <c:v>0.82</c:v>
                </c:pt>
                <c:pt idx="331">
                  <c:v>0.78</c:v>
                </c:pt>
                <c:pt idx="332">
                  <c:v>0.76</c:v>
                </c:pt>
                <c:pt idx="333">
                  <c:v>0.76</c:v>
                </c:pt>
                <c:pt idx="334">
                  <c:v>0.84</c:v>
                </c:pt>
                <c:pt idx="335">
                  <c:v>0.78</c:v>
                </c:pt>
                <c:pt idx="336">
                  <c:v>0.82</c:v>
                </c:pt>
                <c:pt idx="337">
                  <c:v>0.8</c:v>
                </c:pt>
                <c:pt idx="338">
                  <c:v>0.76</c:v>
                </c:pt>
                <c:pt idx="339">
                  <c:v>0.78</c:v>
                </c:pt>
                <c:pt idx="340">
                  <c:v>0.76</c:v>
                </c:pt>
                <c:pt idx="341">
                  <c:v>0.8</c:v>
                </c:pt>
                <c:pt idx="342">
                  <c:v>0.76</c:v>
                </c:pt>
                <c:pt idx="343">
                  <c:v>0.8</c:v>
                </c:pt>
                <c:pt idx="344">
                  <c:v>0.78</c:v>
                </c:pt>
                <c:pt idx="345">
                  <c:v>0.64</c:v>
                </c:pt>
                <c:pt idx="346">
                  <c:v>0.78</c:v>
                </c:pt>
                <c:pt idx="347">
                  <c:v>0.78</c:v>
                </c:pt>
                <c:pt idx="348">
                  <c:v>0.76</c:v>
                </c:pt>
                <c:pt idx="349">
                  <c:v>0.8</c:v>
                </c:pt>
                <c:pt idx="350">
                  <c:v>0.74</c:v>
                </c:pt>
                <c:pt idx="351">
                  <c:v>0.82</c:v>
                </c:pt>
                <c:pt idx="352">
                  <c:v>0.8</c:v>
                </c:pt>
                <c:pt idx="353">
                  <c:v>0.78</c:v>
                </c:pt>
                <c:pt idx="354">
                  <c:v>0.8</c:v>
                </c:pt>
                <c:pt idx="355">
                  <c:v>0.76</c:v>
                </c:pt>
                <c:pt idx="356">
                  <c:v>0.8</c:v>
                </c:pt>
                <c:pt idx="357">
                  <c:v>0.62</c:v>
                </c:pt>
                <c:pt idx="358">
                  <c:v>0.76</c:v>
                </c:pt>
                <c:pt idx="359">
                  <c:v>0.76</c:v>
                </c:pt>
                <c:pt idx="360">
                  <c:v>0.6</c:v>
                </c:pt>
                <c:pt idx="361">
                  <c:v>0.76</c:v>
                </c:pt>
                <c:pt idx="362">
                  <c:v>0.76</c:v>
                </c:pt>
                <c:pt idx="363">
                  <c:v>0.78</c:v>
                </c:pt>
                <c:pt idx="364">
                  <c:v>0.66</c:v>
                </c:pt>
                <c:pt idx="365">
                  <c:v>0.76</c:v>
                </c:pt>
                <c:pt idx="366">
                  <c:v>0.76</c:v>
                </c:pt>
                <c:pt idx="367">
                  <c:v>0.74</c:v>
                </c:pt>
                <c:pt idx="368">
                  <c:v>0.72</c:v>
                </c:pt>
                <c:pt idx="369">
                  <c:v>0.68</c:v>
                </c:pt>
                <c:pt idx="370">
                  <c:v>0.76</c:v>
                </c:pt>
                <c:pt idx="371">
                  <c:v>0.7</c:v>
                </c:pt>
                <c:pt idx="372">
                  <c:v>0.72</c:v>
                </c:pt>
                <c:pt idx="373">
                  <c:v>0.74</c:v>
                </c:pt>
                <c:pt idx="374">
                  <c:v>0.7</c:v>
                </c:pt>
                <c:pt idx="375">
                  <c:v>0.72</c:v>
                </c:pt>
                <c:pt idx="376">
                  <c:v>0.68</c:v>
                </c:pt>
                <c:pt idx="377">
                  <c:v>0.68</c:v>
                </c:pt>
                <c:pt idx="378">
                  <c:v>0.72</c:v>
                </c:pt>
                <c:pt idx="379">
                  <c:v>0.62</c:v>
                </c:pt>
                <c:pt idx="380">
                  <c:v>0.5</c:v>
                </c:pt>
                <c:pt idx="381">
                  <c:v>0.6</c:v>
                </c:pt>
                <c:pt idx="382">
                  <c:v>0.66</c:v>
                </c:pt>
                <c:pt idx="383">
                  <c:v>0.57999999999999996</c:v>
                </c:pt>
                <c:pt idx="384">
                  <c:v>0.6</c:v>
                </c:pt>
                <c:pt idx="385">
                  <c:v>0.54</c:v>
                </c:pt>
                <c:pt idx="386">
                  <c:v>0.6</c:v>
                </c:pt>
                <c:pt idx="387">
                  <c:v>0.46</c:v>
                </c:pt>
                <c:pt idx="388">
                  <c:v>0.56000000000000005</c:v>
                </c:pt>
                <c:pt idx="389">
                  <c:v>0.52</c:v>
                </c:pt>
                <c:pt idx="390">
                  <c:v>0.46</c:v>
                </c:pt>
                <c:pt idx="391">
                  <c:v>0.62</c:v>
                </c:pt>
                <c:pt idx="392">
                  <c:v>0.44</c:v>
                </c:pt>
                <c:pt idx="393">
                  <c:v>0.5</c:v>
                </c:pt>
                <c:pt idx="394">
                  <c:v>0.52</c:v>
                </c:pt>
                <c:pt idx="395">
                  <c:v>0.46</c:v>
                </c:pt>
                <c:pt idx="396">
                  <c:v>0.38</c:v>
                </c:pt>
                <c:pt idx="397">
                  <c:v>0.36</c:v>
                </c:pt>
                <c:pt idx="398">
                  <c:v>0.4</c:v>
                </c:pt>
                <c:pt idx="399">
                  <c:v>0.3</c:v>
                </c:pt>
                <c:pt idx="400">
                  <c:v>0.36</c:v>
                </c:pt>
                <c:pt idx="401">
                  <c:v>0.38</c:v>
                </c:pt>
                <c:pt idx="402">
                  <c:v>0.32</c:v>
                </c:pt>
                <c:pt idx="403">
                  <c:v>0.3</c:v>
                </c:pt>
                <c:pt idx="404">
                  <c:v>0.26</c:v>
                </c:pt>
                <c:pt idx="405">
                  <c:v>0.28000000000000003</c:v>
                </c:pt>
                <c:pt idx="406">
                  <c:v>0.34</c:v>
                </c:pt>
                <c:pt idx="407">
                  <c:v>0.26</c:v>
                </c:pt>
                <c:pt idx="408">
                  <c:v>0.8</c:v>
                </c:pt>
                <c:pt idx="409">
                  <c:v>0.72</c:v>
                </c:pt>
                <c:pt idx="410">
                  <c:v>0.82</c:v>
                </c:pt>
                <c:pt idx="411">
                  <c:v>0.8</c:v>
                </c:pt>
                <c:pt idx="412">
                  <c:v>0.82</c:v>
                </c:pt>
                <c:pt idx="413">
                  <c:v>0.68</c:v>
                </c:pt>
                <c:pt idx="414">
                  <c:v>0.74</c:v>
                </c:pt>
                <c:pt idx="415">
                  <c:v>0.6</c:v>
                </c:pt>
                <c:pt idx="416">
                  <c:v>0.74</c:v>
                </c:pt>
                <c:pt idx="417">
                  <c:v>0.72</c:v>
                </c:pt>
                <c:pt idx="418">
                  <c:v>0.7</c:v>
                </c:pt>
                <c:pt idx="419">
                  <c:v>0.57999999999999996</c:v>
                </c:pt>
                <c:pt idx="420">
                  <c:v>0.54</c:v>
                </c:pt>
                <c:pt idx="421">
                  <c:v>0.72</c:v>
                </c:pt>
                <c:pt idx="422">
                  <c:v>0.74</c:v>
                </c:pt>
                <c:pt idx="423">
                  <c:v>0.6</c:v>
                </c:pt>
                <c:pt idx="424">
                  <c:v>0.68</c:v>
                </c:pt>
                <c:pt idx="425">
                  <c:v>0.57999999999999996</c:v>
                </c:pt>
                <c:pt idx="426">
                  <c:v>0.62</c:v>
                </c:pt>
                <c:pt idx="427">
                  <c:v>0.4</c:v>
                </c:pt>
                <c:pt idx="428">
                  <c:v>0.36</c:v>
                </c:pt>
                <c:pt idx="429">
                  <c:v>0.26</c:v>
                </c:pt>
                <c:pt idx="430">
                  <c:v>0.38</c:v>
                </c:pt>
                <c:pt idx="431">
                  <c:v>0.74</c:v>
                </c:pt>
                <c:pt idx="432">
                  <c:v>0.62</c:v>
                </c:pt>
                <c:pt idx="433">
                  <c:v>0.46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E5-4C8E-AC13-0D6182DB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705664"/>
        <c:axId val="2098697984"/>
      </c:scatterChart>
      <c:valAx>
        <c:axId val="2098716704"/>
        <c:scaling>
          <c:orientation val="minMax"/>
          <c:max val="4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STUDENT </a:t>
                </a:r>
              </a:p>
            </c:rich>
          </c:tx>
          <c:layout>
            <c:manualLayout>
              <c:xMode val="edge"/>
              <c:yMode val="edge"/>
              <c:x val="0.47608278057984099"/>
              <c:y val="0.95060522182555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4864"/>
        <c:crosses val="autoZero"/>
        <c:crossBetween val="midCat"/>
      </c:valAx>
      <c:valAx>
        <c:axId val="209872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16704"/>
        <c:crosses val="autoZero"/>
        <c:crossBetween val="midCat"/>
      </c:valAx>
      <c:valAx>
        <c:axId val="209869798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05664"/>
        <c:crosses val="max"/>
        <c:crossBetween val="midCat"/>
      </c:valAx>
      <c:valAx>
        <c:axId val="209870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869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471322987211974"/>
          <c:y val="0.10707622298065984"/>
          <c:w val="0.57057354025576057"/>
          <c:h val="3.839617317459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</xdr:row>
      <xdr:rowOff>0</xdr:rowOff>
    </xdr:from>
    <xdr:to>
      <xdr:col>25</xdr:col>
      <xdr:colOff>489858</xdr:colOff>
      <xdr:row>24</xdr:row>
      <xdr:rowOff>94228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800FE-052C-4153-AE11-B88A38D74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10</xdr:row>
      <xdr:rowOff>0</xdr:rowOff>
    </xdr:from>
    <xdr:to>
      <xdr:col>32</xdr:col>
      <xdr:colOff>438149</xdr:colOff>
      <xdr:row>25</xdr:row>
      <xdr:rowOff>157844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14A824-9BDB-4434-B034-85FB5400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130176</xdr:colOff>
      <xdr:row>30</xdr:row>
      <xdr:rowOff>94192</xdr:rowOff>
    </xdr:from>
    <xdr:to>
      <xdr:col>32</xdr:col>
      <xdr:colOff>114302</xdr:colOff>
      <xdr:row>61</xdr:row>
      <xdr:rowOff>98426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AF6712-527A-4ED4-9137-76D82E4CF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0.09901</cdr:x>
      <cdr:y>0.34224</cdr:y>
    </cdr:from>
    <cdr:to>
      <cdr:x>0.24223</cdr:x>
      <cdr:y>0.38709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4B765C-7D71-8BF9-F320-9048396F0E51}"/>
            </a:ext>
          </a:extLst>
        </cdr:cNvPr>
        <cdr:cNvSpPr txBox="1"/>
      </cdr:nvSpPr>
      <cdr:spPr>
        <a:xfrm xmlns:a="http://schemas.openxmlformats.org/drawingml/2006/main">
          <a:off x="949325" y="1938338"/>
          <a:ext cx="137318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0.16359</cdr:x>
      <cdr:y>0.5861</cdr:y>
    </cdr:from>
    <cdr:to>
      <cdr:x>0.25895</cdr:x>
      <cdr:y>0.6814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88D2108-5D76-6104-4E70-392D6BD6745B}"/>
            </a:ext>
          </a:extLst>
        </cdr:cNvPr>
        <cdr:cNvSpPr txBox="1"/>
      </cdr:nvSpPr>
      <cdr:spPr>
        <a:xfrm xmlns:a="http://schemas.openxmlformats.org/drawingml/2006/main">
          <a:off x="1568450" y="3319462"/>
          <a:ext cx="914400" cy="539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0.20498</cdr:x>
      <cdr:y>0.60291</cdr:y>
    </cdr:from>
    <cdr:to>
      <cdr:x>0.277</cdr:x>
      <cdr:y>0.66318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FA09185-61F8-22BB-F688-09B4F0F27C77}"/>
            </a:ext>
          </a:extLst>
        </cdr:cNvPr>
        <cdr:cNvSpPr txBox="1"/>
      </cdr:nvSpPr>
      <cdr:spPr>
        <a:xfrm xmlns:a="http://schemas.openxmlformats.org/drawingml/2006/main">
          <a:off x="1965325" y="3414712"/>
          <a:ext cx="690562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0.44108</cdr:x>
      <cdr:y>0.29487</cdr:y>
    </cdr:from>
    <cdr:to>
      <cdr:x>0.51874</cdr:x>
      <cdr:y>0.35513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18CEE77-7C12-B50D-494E-405B22F1757B}"/>
            </a:ext>
          </a:extLst>
        </cdr:cNvPr>
        <cdr:cNvSpPr txBox="1"/>
      </cdr:nvSpPr>
      <cdr:spPr>
        <a:xfrm xmlns:a="http://schemas.openxmlformats.org/drawingml/2006/main">
          <a:off x="4229100" y="1670049"/>
          <a:ext cx="744537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0.22352</cdr:x>
      <cdr:y>0.26292</cdr:y>
    </cdr:from>
    <cdr:to>
      <cdr:x>0.31889</cdr:x>
      <cdr:y>0.32318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5B72AEF-F5AD-D6AC-1F82-A149653172E5}"/>
            </a:ext>
          </a:extLst>
        </cdr:cNvPr>
        <cdr:cNvSpPr txBox="1"/>
      </cdr:nvSpPr>
      <cdr:spPr>
        <a:xfrm xmlns:a="http://schemas.openxmlformats.org/drawingml/2006/main">
          <a:off x="2618704" y="1467528"/>
          <a:ext cx="1117332" cy="336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0.44456</cdr:x>
      <cdr:y>0.63291</cdr:y>
    </cdr:from>
    <cdr:to>
      <cdr:x>0.53993</cdr:x>
      <cdr:y>0.69317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4212D62-96BC-9E57-8F09-601933B2A46F}"/>
            </a:ext>
          </a:extLst>
        </cdr:cNvPr>
        <cdr:cNvSpPr txBox="1"/>
      </cdr:nvSpPr>
      <cdr:spPr>
        <a:xfrm xmlns:a="http://schemas.openxmlformats.org/drawingml/2006/main">
          <a:off x="4262438" y="3584574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0.34124</cdr:x>
      <cdr:y>0.58554</cdr:y>
    </cdr:from>
    <cdr:to>
      <cdr:x>0.43661</cdr:x>
      <cdr:y>0.6458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731DE4BF-4329-27CA-C79B-6711C5D210AD}"/>
            </a:ext>
          </a:extLst>
        </cdr:cNvPr>
        <cdr:cNvSpPr txBox="1"/>
      </cdr:nvSpPr>
      <cdr:spPr>
        <a:xfrm xmlns:a="http://schemas.openxmlformats.org/drawingml/2006/main">
          <a:off x="3271837" y="3316286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0.34025</cdr:x>
      <cdr:y>0.30917</cdr:y>
    </cdr:from>
    <cdr:to>
      <cdr:x>0.43562</cdr:x>
      <cdr:y>0.36943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CBE1B639-6C55-A440-C1A6-EFF1925E22B0}"/>
            </a:ext>
          </a:extLst>
        </cdr:cNvPr>
        <cdr:cNvSpPr txBox="1"/>
      </cdr:nvSpPr>
      <cdr:spPr>
        <a:xfrm xmlns:a="http://schemas.openxmlformats.org/drawingml/2006/main">
          <a:off x="3262312" y="1751012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0.0667</cdr:x>
      <cdr:y>0.17456</cdr:y>
    </cdr:from>
    <cdr:to>
      <cdr:x>0.16207</cdr:x>
      <cdr:y>0.23482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9565D23B-361B-B237-CC8C-071A6E6923F3}"/>
            </a:ext>
          </a:extLst>
        </cdr:cNvPr>
        <cdr:cNvSpPr txBox="1"/>
      </cdr:nvSpPr>
      <cdr:spPr>
        <a:xfrm xmlns:a="http://schemas.openxmlformats.org/drawingml/2006/main">
          <a:off x="781438" y="974344"/>
          <a:ext cx="1117332" cy="336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0.06623</cdr:x>
      <cdr:y>0.58281</cdr:y>
    </cdr:from>
    <cdr:to>
      <cdr:x>0.13825</cdr:x>
      <cdr:y>0.64308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1BA582E9-9612-2298-200B-C1BDFEE9EF59}"/>
            </a:ext>
          </a:extLst>
        </cdr:cNvPr>
        <cdr:cNvSpPr txBox="1"/>
      </cdr:nvSpPr>
      <cdr:spPr>
        <a:xfrm xmlns:a="http://schemas.openxmlformats.org/drawingml/2006/main">
          <a:off x="775894" y="3253049"/>
          <a:ext cx="843769" cy="3364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6</xdr:row>
      <xdr:rowOff>0</xdr:rowOff>
    </xdr:from>
    <xdr:to>
      <xdr:col>25</xdr:col>
      <xdr:colOff>489858</xdr:colOff>
      <xdr:row>24</xdr:row>
      <xdr:rowOff>94228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5F215E-175F-4B0A-9871-47125B967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10</xdr:row>
      <xdr:rowOff>0</xdr:rowOff>
    </xdr:from>
    <xdr:to>
      <xdr:col>32</xdr:col>
      <xdr:colOff>438149</xdr:colOff>
      <xdr:row>25</xdr:row>
      <xdr:rowOff>157844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4229EA-F040-4A13-9AF9-820BE1DAA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130176</xdr:colOff>
      <xdr:row>30</xdr:row>
      <xdr:rowOff>94192</xdr:rowOff>
    </xdr:from>
    <xdr:to>
      <xdr:col>32</xdr:col>
      <xdr:colOff>114302</xdr:colOff>
      <xdr:row>61</xdr:row>
      <xdr:rowOff>98426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567A39-AD84-4806-A623-6AD50EEE1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0.09901</cdr:x>
      <cdr:y>0.34224</cdr:y>
    </cdr:from>
    <cdr:to>
      <cdr:x>0.24223</cdr:x>
      <cdr:y>0.38709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B4B765C-7D71-8BF9-F320-9048396F0E51}"/>
            </a:ext>
          </a:extLst>
        </cdr:cNvPr>
        <cdr:cNvSpPr txBox="1"/>
      </cdr:nvSpPr>
      <cdr:spPr>
        <a:xfrm xmlns:a="http://schemas.openxmlformats.org/drawingml/2006/main">
          <a:off x="949325" y="1938338"/>
          <a:ext cx="1373187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0.16359</cdr:x>
      <cdr:y>0.5861</cdr:y>
    </cdr:from>
    <cdr:to>
      <cdr:x>0.25895</cdr:x>
      <cdr:y>0.6814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88D2108-5D76-6104-4E70-392D6BD6745B}"/>
            </a:ext>
          </a:extLst>
        </cdr:cNvPr>
        <cdr:cNvSpPr txBox="1"/>
      </cdr:nvSpPr>
      <cdr:spPr>
        <a:xfrm xmlns:a="http://schemas.openxmlformats.org/drawingml/2006/main">
          <a:off x="1568450" y="3319462"/>
          <a:ext cx="914400" cy="539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0.20498</cdr:x>
      <cdr:y>0.60291</cdr:y>
    </cdr:from>
    <cdr:to>
      <cdr:x>0.277</cdr:x>
      <cdr:y>0.66318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FA09185-61F8-22BB-F688-09B4F0F27C77}"/>
            </a:ext>
          </a:extLst>
        </cdr:cNvPr>
        <cdr:cNvSpPr txBox="1"/>
      </cdr:nvSpPr>
      <cdr:spPr>
        <a:xfrm xmlns:a="http://schemas.openxmlformats.org/drawingml/2006/main">
          <a:off x="1965325" y="3414712"/>
          <a:ext cx="690562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0.44108</cdr:x>
      <cdr:y>0.29487</cdr:y>
    </cdr:from>
    <cdr:to>
      <cdr:x>0.51874</cdr:x>
      <cdr:y>0.35513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18CEE77-7C12-B50D-494E-405B22F1757B}"/>
            </a:ext>
          </a:extLst>
        </cdr:cNvPr>
        <cdr:cNvSpPr txBox="1"/>
      </cdr:nvSpPr>
      <cdr:spPr>
        <a:xfrm xmlns:a="http://schemas.openxmlformats.org/drawingml/2006/main">
          <a:off x="4229100" y="1670049"/>
          <a:ext cx="744537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0.22352</cdr:x>
      <cdr:y>0.26292</cdr:y>
    </cdr:from>
    <cdr:to>
      <cdr:x>0.31889</cdr:x>
      <cdr:y>0.32318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5B72AEF-F5AD-D6AC-1F82-A149653172E5}"/>
            </a:ext>
          </a:extLst>
        </cdr:cNvPr>
        <cdr:cNvSpPr txBox="1"/>
      </cdr:nvSpPr>
      <cdr:spPr>
        <a:xfrm xmlns:a="http://schemas.openxmlformats.org/drawingml/2006/main">
          <a:off x="2618704" y="1467528"/>
          <a:ext cx="1117332" cy="336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0.44456</cdr:x>
      <cdr:y>0.63291</cdr:y>
    </cdr:from>
    <cdr:to>
      <cdr:x>0.53993</cdr:x>
      <cdr:y>0.69317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74212D62-96BC-9E57-8F09-601933B2A46F}"/>
            </a:ext>
          </a:extLst>
        </cdr:cNvPr>
        <cdr:cNvSpPr txBox="1"/>
      </cdr:nvSpPr>
      <cdr:spPr>
        <a:xfrm xmlns:a="http://schemas.openxmlformats.org/drawingml/2006/main">
          <a:off x="4262438" y="3584574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0.34124</cdr:x>
      <cdr:y>0.58554</cdr:y>
    </cdr:from>
    <cdr:to>
      <cdr:x>0.43661</cdr:x>
      <cdr:y>0.6458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731DE4BF-4329-27CA-C79B-6711C5D210AD}"/>
            </a:ext>
          </a:extLst>
        </cdr:cNvPr>
        <cdr:cNvSpPr txBox="1"/>
      </cdr:nvSpPr>
      <cdr:spPr>
        <a:xfrm xmlns:a="http://schemas.openxmlformats.org/drawingml/2006/main">
          <a:off x="3271837" y="3316286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  <cdr:relSizeAnchor xmlns:cdr="http://schemas.openxmlformats.org/drawingml/2006/chartDrawing">
    <cdr:from>
      <cdr:x>0.34025</cdr:x>
      <cdr:y>0.30917</cdr:y>
    </cdr:from>
    <cdr:to>
      <cdr:x>0.43562</cdr:x>
      <cdr:y>0.36943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CBE1B639-6C55-A440-C1A6-EFF1925E22B0}"/>
            </a:ext>
          </a:extLst>
        </cdr:cNvPr>
        <cdr:cNvSpPr txBox="1"/>
      </cdr:nvSpPr>
      <cdr:spPr>
        <a:xfrm xmlns:a="http://schemas.openxmlformats.org/drawingml/2006/main">
          <a:off x="3262312" y="1751012"/>
          <a:ext cx="914400" cy="341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0.0667</cdr:x>
      <cdr:y>0.17456</cdr:y>
    </cdr:from>
    <cdr:to>
      <cdr:x>0.16207</cdr:x>
      <cdr:y>0.23482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9565D23B-361B-B237-CC8C-071A6E6923F3}"/>
            </a:ext>
          </a:extLst>
        </cdr:cNvPr>
        <cdr:cNvSpPr txBox="1"/>
      </cdr:nvSpPr>
      <cdr:spPr>
        <a:xfrm xmlns:a="http://schemas.openxmlformats.org/drawingml/2006/main">
          <a:off x="781438" y="974344"/>
          <a:ext cx="1117332" cy="336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HIGH PUTME</a:t>
          </a:r>
        </a:p>
      </cdr:txBody>
    </cdr:sp>
  </cdr:relSizeAnchor>
  <cdr:relSizeAnchor xmlns:cdr="http://schemas.openxmlformats.org/drawingml/2006/chartDrawing">
    <cdr:from>
      <cdr:x>0.06623</cdr:x>
      <cdr:y>0.58281</cdr:y>
    </cdr:from>
    <cdr:to>
      <cdr:x>0.13825</cdr:x>
      <cdr:y>0.64308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1BA582E9-9612-2298-200B-C1BDFEE9EF59}"/>
            </a:ext>
          </a:extLst>
        </cdr:cNvPr>
        <cdr:cNvSpPr txBox="1"/>
      </cdr:nvSpPr>
      <cdr:spPr>
        <a:xfrm xmlns:a="http://schemas.openxmlformats.org/drawingml/2006/main">
          <a:off x="775894" y="3253049"/>
          <a:ext cx="843769" cy="3364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/>
            <a:t>LOW UTME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0" row="2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6B39405-E877-42B1-AB88-D9C6E22D9B0D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SN6ORr_46zPn-MoY8CV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893D118-F9A0-44F8-9920-BDB20D28F474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2B76-AC62-48BC-BDAB-E74F10FEFB95}">
  <dimension ref="A1:AO436"/>
  <sheetViews>
    <sheetView topLeftCell="T1" zoomScale="60" zoomScaleNormal="60" workbookViewId="0">
      <selection activeCell="AC68" sqref="AC68"/>
    </sheetView>
  </sheetViews>
  <sheetFormatPr defaultRowHeight="14.5" x14ac:dyDescent="0.35"/>
  <cols>
    <col min="2" max="2" width="27.54296875" customWidth="1"/>
    <col min="3" max="3" width="29.08984375" style="14" customWidth="1"/>
    <col min="4" max="4" width="35.1796875" customWidth="1"/>
    <col min="5" max="5" width="38.81640625" customWidth="1"/>
    <col min="6" max="6" width="39.90625" customWidth="1"/>
    <col min="7" max="7" width="40.1796875" customWidth="1"/>
    <col min="8" max="8" width="32.6328125" customWidth="1"/>
    <col min="9" max="9" width="40.453125" customWidth="1"/>
    <col min="10" max="10" width="40.1796875" customWidth="1"/>
    <col min="11" max="11" width="30.7265625" customWidth="1"/>
    <col min="12" max="12" width="29.6328125" customWidth="1"/>
    <col min="13" max="13" width="25.81640625" customWidth="1"/>
    <col min="14" max="14" width="24.08984375" customWidth="1"/>
    <col min="15" max="15" width="34.54296875" customWidth="1"/>
    <col min="16" max="17" width="30.26953125" customWidth="1"/>
    <col min="18" max="18" width="38.453125" customWidth="1"/>
    <col min="19" max="19" width="24.453125" customWidth="1"/>
    <col min="25" max="25" width="16.7265625" customWidth="1"/>
    <col min="26" max="26" width="15.81640625" customWidth="1"/>
    <col min="27" max="27" width="8.7265625" hidden="1" customWidth="1"/>
    <col min="28" max="28" width="2" customWidth="1"/>
    <col min="29" max="29" width="24.36328125" customWidth="1"/>
    <col min="30" max="30" width="13.6328125" customWidth="1"/>
    <col min="31" max="31" width="18.1796875" customWidth="1"/>
    <col min="32" max="32" width="33.54296875" customWidth="1"/>
    <col min="33" max="36" width="8.7265625" customWidth="1"/>
    <col min="37" max="37" width="53.36328125" customWidth="1"/>
    <col min="38" max="38" width="8.7265625" customWidth="1"/>
  </cols>
  <sheetData>
    <row r="1" spans="1:41" x14ac:dyDescent="0.35">
      <c r="A1" t="s">
        <v>27</v>
      </c>
      <c r="B1" s="2" t="s">
        <v>6</v>
      </c>
      <c r="C1" s="15" t="s">
        <v>4</v>
      </c>
      <c r="D1" s="2" t="s">
        <v>5</v>
      </c>
      <c r="E1" s="2" t="s">
        <v>2</v>
      </c>
      <c r="F1" s="2" t="s">
        <v>3</v>
      </c>
      <c r="G1" s="2" t="s">
        <v>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1" t="s">
        <v>7</v>
      </c>
      <c r="N1" s="1" t="s">
        <v>28</v>
      </c>
      <c r="O1" s="12" t="s">
        <v>29</v>
      </c>
      <c r="P1" s="12" t="s">
        <v>18</v>
      </c>
      <c r="Q1" s="12" t="s">
        <v>19</v>
      </c>
      <c r="R1" s="12" t="s">
        <v>30</v>
      </c>
      <c r="S1" s="19" t="s">
        <v>25</v>
      </c>
      <c r="T1" s="20"/>
      <c r="U1" s="20"/>
      <c r="V1" s="20"/>
      <c r="W1" s="20"/>
      <c r="X1" s="20"/>
      <c r="Y1" s="20"/>
    </row>
    <row r="2" spans="1:41" x14ac:dyDescent="0.35">
      <c r="A2">
        <v>2022</v>
      </c>
      <c r="B2" s="3">
        <v>178</v>
      </c>
      <c r="C2" s="7">
        <v>44</v>
      </c>
      <c r="D2" s="3">
        <f t="shared" ref="D2:D65" si="0">B2 / 8</f>
        <v>22.25</v>
      </c>
      <c r="E2" s="10">
        <f t="shared" ref="E2:E65" si="1">B2 / 400</f>
        <v>0.44500000000000001</v>
      </c>
      <c r="F2" s="10">
        <f t="shared" ref="F2:F65" si="2">C2 / 50</f>
        <v>0.88</v>
      </c>
      <c r="G2" s="3">
        <f t="shared" ref="G2:G65" si="3">SUM(D2 + C2)</f>
        <v>66.25</v>
      </c>
      <c r="H2" s="3">
        <f>IF(G2&gt;=50,1,0)</f>
        <v>1</v>
      </c>
      <c r="I2" s="3">
        <f t="shared" ref="I2:I65" si="4" xml:space="preserve"> (D:D - AVERAGE(D:D)) / STDEV(D:D)</f>
        <v>-0.20931121967056582</v>
      </c>
      <c r="J2" s="3">
        <f t="shared" ref="J2:J65" si="5" xml:space="preserve"> (C:C - AVERAGE(C:C)) / STDEV(C:C)</f>
        <v>1.6562987362255943</v>
      </c>
      <c r="K2" s="3">
        <f t="shared" ref="K2:K65" si="6">1/(1+EXP(-($AD$68 +$AD$69 * I2 +$AD$70 * J2 )))</f>
        <v>0.99999982778102658</v>
      </c>
      <c r="L2" s="3">
        <f>IF(K2=0, -1000, IF(K2=1, -1000, H2 * LN(K2) + (1 - H2) * LN(1 - K2)))</f>
        <v>-1.7221898824515021E-7</v>
      </c>
      <c r="M2" s="9">
        <f>IF(G2=0, 0,  C2  / G2 )</f>
        <v>0.66415094339622638</v>
      </c>
      <c r="N2" s="9">
        <f>IF(G2=0, 0,  D2  / G2 )</f>
        <v>0.33584905660377357</v>
      </c>
      <c r="O2">
        <f>CORREL(B2:B435, C2:C435)</f>
        <v>1.3183993925777836E-2</v>
      </c>
      <c r="P2">
        <f>_xlfn.RANK.AVG(B2,$B$2:$B$435)</f>
        <v>230.5</v>
      </c>
      <c r="Q2">
        <f>_xlfn.RANK.AVG(C2,$C$2:$C$435)</f>
        <v>2.5</v>
      </c>
      <c r="R2">
        <f>CORREL(P2:P435, Q2:Q435)</f>
        <v>-3.9539466982586445E-2</v>
      </c>
      <c r="S2" s="21" t="s">
        <v>8</v>
      </c>
      <c r="T2" s="21"/>
      <c r="U2" s="21"/>
      <c r="V2" s="21"/>
      <c r="W2" s="21"/>
    </row>
    <row r="3" spans="1:41" x14ac:dyDescent="0.35">
      <c r="A3">
        <v>2022</v>
      </c>
      <c r="B3" s="3">
        <v>169</v>
      </c>
      <c r="C3" s="7">
        <v>45</v>
      </c>
      <c r="D3" s="3">
        <f t="shared" si="0"/>
        <v>21.125</v>
      </c>
      <c r="E3" s="10">
        <f t="shared" si="1"/>
        <v>0.42249999999999999</v>
      </c>
      <c r="F3" s="10">
        <f t="shared" si="2"/>
        <v>0.9</v>
      </c>
      <c r="G3" s="3">
        <f t="shared" si="3"/>
        <v>66.125</v>
      </c>
      <c r="H3" s="3">
        <f t="shared" ref="H3:H66" si="7">IF(G3&gt;=50,1,0)</f>
        <v>1</v>
      </c>
      <c r="I3" s="3">
        <f t="shared" si="4"/>
        <v>-0.54645333267395979</v>
      </c>
      <c r="J3" s="3">
        <f t="shared" si="5"/>
        <v>1.7845473805649177</v>
      </c>
      <c r="K3" s="3">
        <f t="shared" si="6"/>
        <v>0.99999978433152947</v>
      </c>
      <c r="L3" s="3">
        <f>IF(K3=0, -1000, IF(K3=1, -1000, H3 * LN(K3) + (1 - H3) * LN(1 - K3)))</f>
        <v>-2.1566849378323433E-7</v>
      </c>
      <c r="M3" s="9">
        <f t="shared" ref="M3:M66" si="8">IF(G3=0, 0,  C3  / G3 )</f>
        <v>0.6805293005671077</v>
      </c>
      <c r="N3" s="9">
        <f t="shared" ref="N3:N66" si="9">IF(G3=0, 0,  D3  / G3 )</f>
        <v>0.31947069943289225</v>
      </c>
      <c r="P3">
        <f t="shared" ref="P3:P66" si="10">_xlfn.RANK.AVG(B3,$B$2:$B$435)</f>
        <v>299</v>
      </c>
      <c r="Q3">
        <f>_xlfn.RANK.AVG(C3,$C$2:$C$435)</f>
        <v>1</v>
      </c>
      <c r="S3" s="11" t="s">
        <v>9</v>
      </c>
      <c r="T3" s="22" t="s">
        <v>10</v>
      </c>
      <c r="U3" s="22"/>
      <c r="V3" s="22"/>
      <c r="W3" s="22"/>
    </row>
    <row r="4" spans="1:41" x14ac:dyDescent="0.35">
      <c r="A4">
        <v>2022</v>
      </c>
      <c r="B4" s="3">
        <v>205</v>
      </c>
      <c r="C4" s="7">
        <v>40</v>
      </c>
      <c r="D4" s="3">
        <f t="shared" si="0"/>
        <v>25.625</v>
      </c>
      <c r="E4" s="10">
        <f t="shared" si="1"/>
        <v>0.51249999999999996</v>
      </c>
      <c r="F4" s="10">
        <f t="shared" si="2"/>
        <v>0.8</v>
      </c>
      <c r="G4" s="3">
        <f t="shared" si="3"/>
        <v>65.625</v>
      </c>
      <c r="H4" s="3">
        <f t="shared" si="7"/>
        <v>1</v>
      </c>
      <c r="I4" s="3">
        <f t="shared" si="4"/>
        <v>0.80211511933961621</v>
      </c>
      <c r="J4" s="3">
        <f t="shared" si="5"/>
        <v>1.1433041588683004</v>
      </c>
      <c r="K4" s="3">
        <f t="shared" si="6"/>
        <v>0.99999977214150526</v>
      </c>
      <c r="L4" s="3">
        <f>IF(K4=0, -1000, IF(K4=1, -1000, H4 * LN(K4) + (1 - H4) * LN(1 - K4)))</f>
        <v>-2.2785852069880349E-7</v>
      </c>
      <c r="M4" s="9">
        <f t="shared" si="8"/>
        <v>0.60952380952380958</v>
      </c>
      <c r="N4" s="9">
        <f t="shared" si="9"/>
        <v>0.39047619047619048</v>
      </c>
      <c r="P4">
        <f t="shared" si="10"/>
        <v>65</v>
      </c>
      <c r="Q4">
        <f t="shared" ref="Q4:Q67" si="11">_xlfn.RANK.AVG(C4,$C$2:$C$435)</f>
        <v>50.5</v>
      </c>
      <c r="S4" s="11">
        <f xml:space="preserve"> AVERAGE(M:M)</f>
        <v>0.56734584765113982</v>
      </c>
      <c r="T4" s="11">
        <f xml:space="preserve"> AVERAGE(N2:N435)</f>
        <v>0.43265415234886034</v>
      </c>
      <c r="U4" s="22"/>
      <c r="V4" s="22"/>
      <c r="W4" s="22"/>
    </row>
    <row r="5" spans="1:41" ht="14.5" customHeight="1" x14ac:dyDescent="0.35">
      <c r="A5">
        <v>2022</v>
      </c>
      <c r="B5" s="3">
        <v>208</v>
      </c>
      <c r="C5" s="7">
        <v>38</v>
      </c>
      <c r="D5" s="3">
        <f t="shared" si="0"/>
        <v>26</v>
      </c>
      <c r="E5" s="10">
        <f t="shared" si="1"/>
        <v>0.52</v>
      </c>
      <c r="F5" s="10">
        <f t="shared" si="2"/>
        <v>0.76</v>
      </c>
      <c r="G5" s="3">
        <f t="shared" si="3"/>
        <v>64</v>
      </c>
      <c r="H5" s="3">
        <f t="shared" si="7"/>
        <v>1</v>
      </c>
      <c r="I5" s="3">
        <f t="shared" si="4"/>
        <v>0.91449582367408089</v>
      </c>
      <c r="J5" s="3">
        <f t="shared" si="5"/>
        <v>0.88680687018965354</v>
      </c>
      <c r="K5" s="3">
        <f t="shared" si="6"/>
        <v>0.99999896183798032</v>
      </c>
      <c r="L5" s="3">
        <f t="shared" ref="L5:L68" si="12">IF(K5=0, -1000, IF(K5=1, -1000, H5 * LN(K5) + (1 - H5) * LN(1 - K5)))</f>
        <v>-1.0381625585747703E-6</v>
      </c>
      <c r="M5" s="9">
        <f t="shared" si="8"/>
        <v>0.59375</v>
      </c>
      <c r="N5" s="9">
        <f t="shared" si="9"/>
        <v>0.40625</v>
      </c>
      <c r="P5">
        <f t="shared" si="10"/>
        <v>56</v>
      </c>
      <c r="Q5">
        <f t="shared" si="11"/>
        <v>103</v>
      </c>
    </row>
    <row r="6" spans="1:41" ht="21" customHeight="1" x14ac:dyDescent="0.5">
      <c r="A6">
        <v>2022</v>
      </c>
      <c r="B6" s="3">
        <v>208</v>
      </c>
      <c r="C6" s="7">
        <v>37</v>
      </c>
      <c r="D6" s="3">
        <f t="shared" si="0"/>
        <v>26</v>
      </c>
      <c r="E6" s="10">
        <f t="shared" si="1"/>
        <v>0.52</v>
      </c>
      <c r="F6" s="10">
        <f t="shared" si="2"/>
        <v>0.74</v>
      </c>
      <c r="G6" s="3">
        <f t="shared" si="3"/>
        <v>63</v>
      </c>
      <c r="H6" s="3">
        <f t="shared" si="7"/>
        <v>1</v>
      </c>
      <c r="I6" s="3">
        <f t="shared" si="4"/>
        <v>0.91449582367408089</v>
      </c>
      <c r="J6" s="3">
        <f t="shared" si="5"/>
        <v>0.75855822585033006</v>
      </c>
      <c r="K6" s="3">
        <f t="shared" si="6"/>
        <v>0.99999730247355578</v>
      </c>
      <c r="L6" s="3">
        <f t="shared" si="12"/>
        <v>-2.6975300825485035E-6</v>
      </c>
      <c r="M6" s="9">
        <f t="shared" si="8"/>
        <v>0.58730158730158732</v>
      </c>
      <c r="N6" s="9">
        <f t="shared" si="9"/>
        <v>0.41269841269841268</v>
      </c>
      <c r="P6">
        <f t="shared" si="10"/>
        <v>56</v>
      </c>
      <c r="Q6">
        <f t="shared" si="11"/>
        <v>128</v>
      </c>
      <c r="AD6" s="18" t="s">
        <v>26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spans="1:41" x14ac:dyDescent="0.35">
      <c r="A7">
        <v>2022</v>
      </c>
      <c r="B7" s="3">
        <v>180</v>
      </c>
      <c r="C7" s="7">
        <v>40</v>
      </c>
      <c r="D7" s="3">
        <f t="shared" si="0"/>
        <v>22.5</v>
      </c>
      <c r="E7" s="10">
        <f t="shared" si="1"/>
        <v>0.45</v>
      </c>
      <c r="F7" s="10">
        <f t="shared" si="2"/>
        <v>0.8</v>
      </c>
      <c r="G7" s="3">
        <f t="shared" si="3"/>
        <v>62.5</v>
      </c>
      <c r="H7" s="3">
        <f t="shared" si="7"/>
        <v>1</v>
      </c>
      <c r="I7" s="3">
        <f t="shared" si="4"/>
        <v>-0.13439075011425605</v>
      </c>
      <c r="J7" s="3">
        <f t="shared" si="5"/>
        <v>1.1433041588683004</v>
      </c>
      <c r="K7" s="3">
        <f t="shared" si="6"/>
        <v>0.99999396029939169</v>
      </c>
      <c r="L7" s="3">
        <f t="shared" si="12"/>
        <v>-6.0397188473719883E-6</v>
      </c>
      <c r="M7" s="9">
        <f t="shared" si="8"/>
        <v>0.64</v>
      </c>
      <c r="N7" s="9">
        <f t="shared" si="9"/>
        <v>0.36</v>
      </c>
      <c r="P7">
        <f t="shared" si="10"/>
        <v>216.5</v>
      </c>
      <c r="Q7">
        <f t="shared" si="11"/>
        <v>50.5</v>
      </c>
      <c r="AD7" s="4" t="s">
        <v>22</v>
      </c>
      <c r="AE7" s="4" t="s">
        <v>23</v>
      </c>
      <c r="AF7" s="4"/>
    </row>
    <row r="8" spans="1:41" x14ac:dyDescent="0.35">
      <c r="A8">
        <v>2022</v>
      </c>
      <c r="B8" s="3">
        <v>193</v>
      </c>
      <c r="C8" s="7">
        <v>38</v>
      </c>
      <c r="D8" s="3">
        <f t="shared" si="0"/>
        <v>24.125</v>
      </c>
      <c r="E8" s="10">
        <f t="shared" si="1"/>
        <v>0.48249999999999998</v>
      </c>
      <c r="F8" s="10">
        <f t="shared" si="2"/>
        <v>0.76</v>
      </c>
      <c r="G8" s="3">
        <f t="shared" si="3"/>
        <v>62.125</v>
      </c>
      <c r="H8" s="3">
        <f t="shared" si="7"/>
        <v>1</v>
      </c>
      <c r="I8" s="3">
        <f t="shared" si="4"/>
        <v>0.35259230200175751</v>
      </c>
      <c r="J8" s="3">
        <f t="shared" si="5"/>
        <v>0.88680687018965354</v>
      </c>
      <c r="K8" s="3">
        <f t="shared" si="6"/>
        <v>0.99999258221925114</v>
      </c>
      <c r="L8" s="3">
        <f t="shared" si="12"/>
        <v>-7.4178082607356823E-6</v>
      </c>
      <c r="M8" s="9">
        <f t="shared" si="8"/>
        <v>0.61167002012072436</v>
      </c>
      <c r="N8" s="9">
        <f t="shared" si="9"/>
        <v>0.38832997987927564</v>
      </c>
      <c r="P8">
        <f t="shared" si="10"/>
        <v>124</v>
      </c>
      <c r="Q8">
        <f t="shared" si="11"/>
        <v>103</v>
      </c>
      <c r="AD8" t="s">
        <v>1</v>
      </c>
      <c r="AE8" s="14">
        <f>AD69</f>
        <v>3.4995944407484498</v>
      </c>
    </row>
    <row r="9" spans="1:41" x14ac:dyDescent="0.35">
      <c r="A9">
        <v>2022</v>
      </c>
      <c r="B9" s="3">
        <v>168</v>
      </c>
      <c r="C9" s="7">
        <v>40</v>
      </c>
      <c r="D9" s="3">
        <f t="shared" si="0"/>
        <v>21</v>
      </c>
      <c r="E9" s="10">
        <f t="shared" si="1"/>
        <v>0.42</v>
      </c>
      <c r="F9" s="10">
        <f t="shared" si="2"/>
        <v>0.8</v>
      </c>
      <c r="G9" s="3">
        <f t="shared" si="3"/>
        <v>61</v>
      </c>
      <c r="H9" s="3">
        <f t="shared" si="7"/>
        <v>1</v>
      </c>
      <c r="I9" s="3">
        <f t="shared" si="4"/>
        <v>-0.58391356745211476</v>
      </c>
      <c r="J9" s="3">
        <f t="shared" si="5"/>
        <v>1.1433041588683004</v>
      </c>
      <c r="K9" s="3">
        <f t="shared" si="6"/>
        <v>0.99997087843652011</v>
      </c>
      <c r="L9" s="3">
        <f t="shared" si="12"/>
        <v>-2.9121987520856962E-5</v>
      </c>
      <c r="M9" s="9">
        <f t="shared" si="8"/>
        <v>0.65573770491803274</v>
      </c>
      <c r="N9" s="9">
        <f t="shared" si="9"/>
        <v>0.34426229508196721</v>
      </c>
      <c r="P9">
        <f t="shared" si="10"/>
        <v>311.5</v>
      </c>
      <c r="Q9">
        <f>_xlfn.RANK.AVG(C9,$C$2:$C$435)</f>
        <v>50.5</v>
      </c>
      <c r="AD9" t="s">
        <v>24</v>
      </c>
      <c r="AE9" s="14">
        <f>AD70</f>
        <v>7.4455759329809199</v>
      </c>
    </row>
    <row r="10" spans="1:41" x14ac:dyDescent="0.35">
      <c r="A10">
        <v>2022</v>
      </c>
      <c r="B10" s="3">
        <v>198</v>
      </c>
      <c r="C10" s="7">
        <v>36</v>
      </c>
      <c r="D10" s="3">
        <f t="shared" si="0"/>
        <v>24.75</v>
      </c>
      <c r="E10" s="10">
        <f t="shared" si="1"/>
        <v>0.495</v>
      </c>
      <c r="F10" s="10">
        <f t="shared" si="2"/>
        <v>0.72</v>
      </c>
      <c r="G10" s="3">
        <f t="shared" si="3"/>
        <v>60.75</v>
      </c>
      <c r="H10" s="3">
        <f t="shared" si="7"/>
        <v>1</v>
      </c>
      <c r="I10" s="3">
        <f t="shared" si="4"/>
        <v>0.539893475892532</v>
      </c>
      <c r="J10" s="3">
        <f t="shared" si="5"/>
        <v>0.63030958151100658</v>
      </c>
      <c r="K10" s="3">
        <f t="shared" si="6"/>
        <v>0.99997399852595248</v>
      </c>
      <c r="L10" s="3">
        <f t="shared" si="12"/>
        <v>-2.6001812091707276E-5</v>
      </c>
      <c r="M10" s="9">
        <f t="shared" si="8"/>
        <v>0.59259259259259256</v>
      </c>
      <c r="N10" s="9">
        <f t="shared" si="9"/>
        <v>0.40740740740740738</v>
      </c>
      <c r="P10">
        <f t="shared" si="10"/>
        <v>97.5</v>
      </c>
      <c r="Q10">
        <f t="shared" si="11"/>
        <v>152</v>
      </c>
    </row>
    <row r="11" spans="1:41" x14ac:dyDescent="0.35">
      <c r="A11">
        <v>2022</v>
      </c>
      <c r="B11" s="3">
        <v>196</v>
      </c>
      <c r="C11" s="7">
        <v>36</v>
      </c>
      <c r="D11" s="3">
        <f t="shared" si="0"/>
        <v>24.5</v>
      </c>
      <c r="E11" s="10">
        <f t="shared" si="1"/>
        <v>0.49</v>
      </c>
      <c r="F11" s="10">
        <f t="shared" si="2"/>
        <v>0.72</v>
      </c>
      <c r="G11" s="3">
        <f t="shared" si="3"/>
        <v>60.5</v>
      </c>
      <c r="H11" s="3">
        <f t="shared" si="7"/>
        <v>1</v>
      </c>
      <c r="I11" s="3">
        <f t="shared" si="4"/>
        <v>0.46497300633622218</v>
      </c>
      <c r="J11" s="3">
        <f t="shared" si="5"/>
        <v>0.63030958151100658</v>
      </c>
      <c r="K11" s="3">
        <f t="shared" si="6"/>
        <v>0.99996620419458149</v>
      </c>
      <c r="L11" s="3">
        <f t="shared" si="12"/>
        <v>-3.3796376509611764E-5</v>
      </c>
      <c r="M11" s="9">
        <f t="shared" si="8"/>
        <v>0.5950413223140496</v>
      </c>
      <c r="N11" s="9">
        <f t="shared" si="9"/>
        <v>0.4049586776859504</v>
      </c>
      <c r="P11">
        <f t="shared" si="10"/>
        <v>106.5</v>
      </c>
      <c r="Q11">
        <f t="shared" si="11"/>
        <v>152</v>
      </c>
    </row>
    <row r="12" spans="1:41" x14ac:dyDescent="0.35">
      <c r="A12">
        <v>2022</v>
      </c>
      <c r="B12" s="3">
        <v>210</v>
      </c>
      <c r="C12" s="7">
        <v>34</v>
      </c>
      <c r="D12" s="3">
        <f t="shared" si="0"/>
        <v>26.25</v>
      </c>
      <c r="E12" s="10">
        <f t="shared" si="1"/>
        <v>0.52500000000000002</v>
      </c>
      <c r="F12" s="10">
        <f t="shared" si="2"/>
        <v>0.68</v>
      </c>
      <c r="G12" s="3">
        <f t="shared" si="3"/>
        <v>60.25</v>
      </c>
      <c r="H12" s="3">
        <f t="shared" si="7"/>
        <v>1</v>
      </c>
      <c r="I12" s="3">
        <f t="shared" si="4"/>
        <v>0.9894162932303906</v>
      </c>
      <c r="J12" s="3">
        <f t="shared" si="5"/>
        <v>0.37381229283235973</v>
      </c>
      <c r="K12" s="3">
        <f t="shared" si="6"/>
        <v>0.99996359284535663</v>
      </c>
      <c r="L12" s="3">
        <f t="shared" si="12"/>
        <v>-3.6407817399910459E-5</v>
      </c>
      <c r="M12" s="9">
        <f t="shared" si="8"/>
        <v>0.56431535269709543</v>
      </c>
      <c r="N12" s="9">
        <f t="shared" si="9"/>
        <v>0.43568464730290457</v>
      </c>
      <c r="P12">
        <f t="shared" si="10"/>
        <v>52</v>
      </c>
      <c r="Q12">
        <f t="shared" si="11"/>
        <v>189.5</v>
      </c>
    </row>
    <row r="13" spans="1:41" x14ac:dyDescent="0.35">
      <c r="A13">
        <v>2022</v>
      </c>
      <c r="B13" s="3">
        <v>233</v>
      </c>
      <c r="C13" s="7">
        <v>31</v>
      </c>
      <c r="D13" s="3">
        <f t="shared" si="0"/>
        <v>29.125</v>
      </c>
      <c r="E13" s="10">
        <f t="shared" si="1"/>
        <v>0.58250000000000002</v>
      </c>
      <c r="F13" s="10">
        <f t="shared" si="2"/>
        <v>0.62</v>
      </c>
      <c r="G13" s="3">
        <f t="shared" si="3"/>
        <v>60.125</v>
      </c>
      <c r="H13" s="3">
        <f t="shared" si="7"/>
        <v>1</v>
      </c>
      <c r="I13" s="3">
        <f t="shared" si="4"/>
        <v>1.8510016931279532</v>
      </c>
      <c r="J13" s="3">
        <f t="shared" si="5"/>
        <v>-1.0933640185610671E-2</v>
      </c>
      <c r="K13" s="3">
        <f t="shared" si="6"/>
        <v>0.99996868096739366</v>
      </c>
      <c r="L13" s="3">
        <f t="shared" si="12"/>
        <v>-3.1319523057478199E-5</v>
      </c>
      <c r="M13" s="9">
        <f t="shared" si="8"/>
        <v>0.51559251559251562</v>
      </c>
      <c r="N13" s="9">
        <f t="shared" si="9"/>
        <v>0.48440748440748443</v>
      </c>
      <c r="P13">
        <f t="shared" si="10"/>
        <v>20</v>
      </c>
      <c r="Q13">
        <f t="shared" si="11"/>
        <v>239.5</v>
      </c>
    </row>
    <row r="14" spans="1:41" x14ac:dyDescent="0.35">
      <c r="A14">
        <v>2022</v>
      </c>
      <c r="B14" s="3">
        <v>183</v>
      </c>
      <c r="C14" s="7">
        <v>37</v>
      </c>
      <c r="D14" s="3">
        <f t="shared" si="0"/>
        <v>22.875</v>
      </c>
      <c r="E14" s="10">
        <f t="shared" si="1"/>
        <v>0.45750000000000002</v>
      </c>
      <c r="F14" s="10">
        <f t="shared" si="2"/>
        <v>0.74</v>
      </c>
      <c r="G14" s="3">
        <f t="shared" si="3"/>
        <v>59.875</v>
      </c>
      <c r="H14" s="3">
        <f t="shared" si="7"/>
        <v>1</v>
      </c>
      <c r="I14" s="3">
        <f t="shared" si="4"/>
        <v>-2.2010045779791373E-2</v>
      </c>
      <c r="J14" s="3">
        <f t="shared" si="5"/>
        <v>0.75855822585033006</v>
      </c>
      <c r="K14" s="3">
        <f t="shared" si="6"/>
        <v>0.99992850288111024</v>
      </c>
      <c r="L14" s="3">
        <f t="shared" si="12"/>
        <v>-7.1499674930601372E-5</v>
      </c>
      <c r="M14" s="9">
        <f t="shared" si="8"/>
        <v>0.6179540709812108</v>
      </c>
      <c r="N14" s="9">
        <f t="shared" si="9"/>
        <v>0.38204592901878914</v>
      </c>
      <c r="P14">
        <f t="shared" si="10"/>
        <v>197</v>
      </c>
      <c r="Q14">
        <f t="shared" si="11"/>
        <v>128</v>
      </c>
    </row>
    <row r="15" spans="1:41" x14ac:dyDescent="0.35">
      <c r="A15">
        <v>2022</v>
      </c>
      <c r="B15" s="3">
        <v>183</v>
      </c>
      <c r="C15" s="7">
        <v>37</v>
      </c>
      <c r="D15" s="3">
        <f t="shared" si="0"/>
        <v>22.875</v>
      </c>
      <c r="E15" s="10">
        <f t="shared" si="1"/>
        <v>0.45750000000000002</v>
      </c>
      <c r="F15" s="10">
        <f t="shared" si="2"/>
        <v>0.74</v>
      </c>
      <c r="G15" s="3">
        <f t="shared" si="3"/>
        <v>59.875</v>
      </c>
      <c r="H15" s="3">
        <f t="shared" si="7"/>
        <v>1</v>
      </c>
      <c r="I15" s="3">
        <f t="shared" si="4"/>
        <v>-2.2010045779791373E-2</v>
      </c>
      <c r="J15" s="3">
        <f t="shared" si="5"/>
        <v>0.75855822585033006</v>
      </c>
      <c r="K15" s="3">
        <f t="shared" si="6"/>
        <v>0.99992850288111024</v>
      </c>
      <c r="L15" s="3">
        <f t="shared" si="12"/>
        <v>-7.1499674930601372E-5</v>
      </c>
      <c r="M15" s="9">
        <f t="shared" si="8"/>
        <v>0.6179540709812108</v>
      </c>
      <c r="N15" s="9">
        <f t="shared" si="9"/>
        <v>0.38204592901878914</v>
      </c>
      <c r="P15">
        <f t="shared" si="10"/>
        <v>197</v>
      </c>
      <c r="Q15">
        <f t="shared" si="11"/>
        <v>128</v>
      </c>
    </row>
    <row r="16" spans="1:41" x14ac:dyDescent="0.35">
      <c r="A16">
        <v>2022</v>
      </c>
      <c r="B16" s="3">
        <v>182</v>
      </c>
      <c r="C16" s="7">
        <v>37</v>
      </c>
      <c r="D16" s="3">
        <f t="shared" si="0"/>
        <v>22.75</v>
      </c>
      <c r="E16" s="10">
        <f t="shared" si="1"/>
        <v>0.45500000000000002</v>
      </c>
      <c r="F16" s="10">
        <f t="shared" si="2"/>
        <v>0.74</v>
      </c>
      <c r="G16" s="3">
        <f t="shared" si="3"/>
        <v>59.75</v>
      </c>
      <c r="H16" s="3">
        <f t="shared" si="7"/>
        <v>1</v>
      </c>
      <c r="I16" s="3">
        <f t="shared" si="4"/>
        <v>-5.9470280557946266E-2</v>
      </c>
      <c r="J16" s="3">
        <f t="shared" si="5"/>
        <v>0.75855822585033006</v>
      </c>
      <c r="K16" s="3">
        <f t="shared" si="6"/>
        <v>0.99991848860976384</v>
      </c>
      <c r="L16" s="3">
        <f t="shared" si="12"/>
        <v>-8.1514712470058895E-5</v>
      </c>
      <c r="M16" s="9">
        <f t="shared" si="8"/>
        <v>0.61924686192468614</v>
      </c>
      <c r="N16" s="9">
        <f t="shared" si="9"/>
        <v>0.3807531380753138</v>
      </c>
      <c r="P16">
        <f t="shared" si="10"/>
        <v>204</v>
      </c>
      <c r="Q16">
        <f t="shared" si="11"/>
        <v>128</v>
      </c>
    </row>
    <row r="17" spans="1:17" x14ac:dyDescent="0.35">
      <c r="A17">
        <v>2022</v>
      </c>
      <c r="B17" s="3">
        <v>203</v>
      </c>
      <c r="C17" s="7">
        <v>34</v>
      </c>
      <c r="D17" s="3">
        <f t="shared" si="0"/>
        <v>25.375</v>
      </c>
      <c r="E17" s="10">
        <f t="shared" si="1"/>
        <v>0.50749999999999995</v>
      </c>
      <c r="F17" s="10">
        <f t="shared" si="2"/>
        <v>0.68</v>
      </c>
      <c r="G17" s="3">
        <f t="shared" si="3"/>
        <v>59.375</v>
      </c>
      <c r="H17" s="3">
        <f t="shared" si="7"/>
        <v>1</v>
      </c>
      <c r="I17" s="3">
        <f t="shared" si="4"/>
        <v>0.72719464978330639</v>
      </c>
      <c r="J17" s="3">
        <f t="shared" si="5"/>
        <v>0.37381229283235973</v>
      </c>
      <c r="K17" s="3">
        <f t="shared" si="6"/>
        <v>0.99990886153146064</v>
      </c>
      <c r="L17" s="3">
        <f t="shared" si="12"/>
        <v>-9.1142621901944414E-5</v>
      </c>
      <c r="M17" s="9">
        <f t="shared" si="8"/>
        <v>0.57263157894736838</v>
      </c>
      <c r="N17" s="9">
        <f t="shared" si="9"/>
        <v>0.42736842105263156</v>
      </c>
      <c r="P17">
        <f t="shared" si="10"/>
        <v>72</v>
      </c>
      <c r="Q17">
        <f t="shared" si="11"/>
        <v>189.5</v>
      </c>
    </row>
    <row r="18" spans="1:17" x14ac:dyDescent="0.35">
      <c r="A18">
        <v>2022</v>
      </c>
      <c r="B18" s="3">
        <v>195</v>
      </c>
      <c r="C18" s="7">
        <v>35</v>
      </c>
      <c r="D18" s="3">
        <f t="shared" si="0"/>
        <v>24.375</v>
      </c>
      <c r="E18" s="10">
        <f t="shared" si="1"/>
        <v>0.48749999999999999</v>
      </c>
      <c r="F18" s="10">
        <f t="shared" si="2"/>
        <v>0.7</v>
      </c>
      <c r="G18" s="3">
        <f t="shared" si="3"/>
        <v>59.375</v>
      </c>
      <c r="H18" s="3">
        <f t="shared" si="7"/>
        <v>1</v>
      </c>
      <c r="I18" s="3">
        <f t="shared" si="4"/>
        <v>0.42751277155806727</v>
      </c>
      <c r="J18" s="3">
        <f t="shared" si="5"/>
        <v>0.50206093717168321</v>
      </c>
      <c r="K18" s="3">
        <f t="shared" si="6"/>
        <v>0.99989989185745931</v>
      </c>
      <c r="L18" s="3">
        <f t="shared" si="12"/>
        <v>-1.0011315369523163E-4</v>
      </c>
      <c r="M18" s="9">
        <f t="shared" si="8"/>
        <v>0.58947368421052626</v>
      </c>
      <c r="N18" s="9">
        <f t="shared" si="9"/>
        <v>0.41052631578947368</v>
      </c>
      <c r="P18">
        <f t="shared" si="10"/>
        <v>113.5</v>
      </c>
      <c r="Q18">
        <f t="shared" si="11"/>
        <v>171.5</v>
      </c>
    </row>
    <row r="19" spans="1:17" x14ac:dyDescent="0.35">
      <c r="A19">
        <v>2022</v>
      </c>
      <c r="B19" s="3">
        <v>178</v>
      </c>
      <c r="C19" s="7">
        <v>37</v>
      </c>
      <c r="D19" s="3">
        <f t="shared" si="0"/>
        <v>22.25</v>
      </c>
      <c r="E19" s="10">
        <f t="shared" si="1"/>
        <v>0.44500000000000001</v>
      </c>
      <c r="F19" s="10">
        <f t="shared" si="2"/>
        <v>0.74</v>
      </c>
      <c r="G19" s="3">
        <f t="shared" si="3"/>
        <v>59.25</v>
      </c>
      <c r="H19" s="3">
        <f t="shared" si="7"/>
        <v>1</v>
      </c>
      <c r="I19" s="3">
        <f t="shared" si="4"/>
        <v>-0.20931121967056582</v>
      </c>
      <c r="J19" s="3">
        <f t="shared" si="5"/>
        <v>0.75855822585033006</v>
      </c>
      <c r="K19" s="3">
        <f t="shared" si="6"/>
        <v>0.99986230114481423</v>
      </c>
      <c r="L19" s="3">
        <f t="shared" si="12"/>
        <v>-1.377083365435261E-4</v>
      </c>
      <c r="M19" s="9">
        <f t="shared" si="8"/>
        <v>0.62447257383966248</v>
      </c>
      <c r="N19" s="9">
        <f t="shared" si="9"/>
        <v>0.37552742616033757</v>
      </c>
      <c r="P19">
        <f t="shared" si="10"/>
        <v>230.5</v>
      </c>
      <c r="Q19">
        <f t="shared" si="11"/>
        <v>128</v>
      </c>
    </row>
    <row r="20" spans="1:17" x14ac:dyDescent="0.35">
      <c r="A20">
        <v>2022</v>
      </c>
      <c r="B20" s="3">
        <v>210</v>
      </c>
      <c r="C20" s="7">
        <v>33</v>
      </c>
      <c r="D20" s="3">
        <f t="shared" si="0"/>
        <v>26.25</v>
      </c>
      <c r="E20" s="10">
        <f t="shared" si="1"/>
        <v>0.52500000000000002</v>
      </c>
      <c r="F20" s="10">
        <f t="shared" si="2"/>
        <v>0.66</v>
      </c>
      <c r="G20" s="3">
        <f t="shared" si="3"/>
        <v>59.25</v>
      </c>
      <c r="H20" s="3">
        <f t="shared" si="7"/>
        <v>1</v>
      </c>
      <c r="I20" s="3">
        <f t="shared" si="4"/>
        <v>0.9894162932303906</v>
      </c>
      <c r="J20" s="3">
        <f t="shared" si="5"/>
        <v>0.24556364849303625</v>
      </c>
      <c r="K20" s="3">
        <f t="shared" si="6"/>
        <v>0.99990540618052148</v>
      </c>
      <c r="L20" s="3">
        <f t="shared" si="12"/>
        <v>-9.459829375602007E-5</v>
      </c>
      <c r="M20" s="9">
        <f t="shared" si="8"/>
        <v>0.55696202531645567</v>
      </c>
      <c r="N20" s="9">
        <f t="shared" si="9"/>
        <v>0.44303797468354428</v>
      </c>
      <c r="P20">
        <f t="shared" si="10"/>
        <v>52</v>
      </c>
      <c r="Q20">
        <f t="shared" si="11"/>
        <v>208.5</v>
      </c>
    </row>
    <row r="21" spans="1:17" x14ac:dyDescent="0.35">
      <c r="A21">
        <v>2022</v>
      </c>
      <c r="B21" s="3">
        <v>194</v>
      </c>
      <c r="C21" s="7">
        <v>35</v>
      </c>
      <c r="D21" s="3">
        <f t="shared" si="0"/>
        <v>24.25</v>
      </c>
      <c r="E21" s="10">
        <f t="shared" si="1"/>
        <v>0.48499999999999999</v>
      </c>
      <c r="F21" s="10">
        <f t="shared" si="2"/>
        <v>0.7</v>
      </c>
      <c r="G21" s="3">
        <f t="shared" si="3"/>
        <v>59.25</v>
      </c>
      <c r="H21" s="3">
        <f t="shared" si="7"/>
        <v>1</v>
      </c>
      <c r="I21" s="3">
        <f t="shared" si="4"/>
        <v>0.39005253677991242</v>
      </c>
      <c r="J21" s="3">
        <f t="shared" si="5"/>
        <v>0.50206093717168321</v>
      </c>
      <c r="K21" s="3">
        <f t="shared" si="6"/>
        <v>0.99988587062952106</v>
      </c>
      <c r="L21" s="3">
        <f t="shared" si="12"/>
        <v>-1.1413588373112026E-4</v>
      </c>
      <c r="M21" s="9">
        <f t="shared" si="8"/>
        <v>0.59071729957805907</v>
      </c>
      <c r="N21" s="9">
        <f t="shared" si="9"/>
        <v>0.40928270042194093</v>
      </c>
      <c r="P21">
        <f t="shared" si="10"/>
        <v>120</v>
      </c>
      <c r="Q21">
        <f t="shared" si="11"/>
        <v>171.5</v>
      </c>
    </row>
    <row r="22" spans="1:17" x14ac:dyDescent="0.35">
      <c r="A22">
        <v>2022</v>
      </c>
      <c r="B22" s="3">
        <v>203</v>
      </c>
      <c r="C22" s="7">
        <v>33</v>
      </c>
      <c r="D22" s="3">
        <f t="shared" si="0"/>
        <v>25.375</v>
      </c>
      <c r="E22" s="10">
        <f t="shared" si="1"/>
        <v>0.50749999999999995</v>
      </c>
      <c r="F22" s="10">
        <f t="shared" si="2"/>
        <v>0.66</v>
      </c>
      <c r="G22" s="3">
        <f t="shared" si="3"/>
        <v>58.375</v>
      </c>
      <c r="H22" s="3">
        <f t="shared" si="7"/>
        <v>1</v>
      </c>
      <c r="I22" s="3">
        <f t="shared" si="4"/>
        <v>0.72719464978330639</v>
      </c>
      <c r="J22" s="3">
        <f t="shared" si="5"/>
        <v>0.24556364849303625</v>
      </c>
      <c r="K22" s="3">
        <f t="shared" si="6"/>
        <v>0.99976322286513764</v>
      </c>
      <c r="L22" s="3">
        <f t="shared" si="12"/>
        <v>-2.3680517099379224E-4</v>
      </c>
      <c r="M22" s="9">
        <f t="shared" si="8"/>
        <v>0.56531049250535337</v>
      </c>
      <c r="N22" s="9">
        <f t="shared" si="9"/>
        <v>0.43468950749464669</v>
      </c>
      <c r="P22">
        <f t="shared" si="10"/>
        <v>72</v>
      </c>
      <c r="Q22">
        <f t="shared" si="11"/>
        <v>208.5</v>
      </c>
    </row>
    <row r="23" spans="1:17" x14ac:dyDescent="0.35">
      <c r="A23">
        <v>2022</v>
      </c>
      <c r="B23" s="3">
        <v>163</v>
      </c>
      <c r="C23" s="7">
        <v>38</v>
      </c>
      <c r="D23" s="3">
        <f t="shared" si="0"/>
        <v>20.375</v>
      </c>
      <c r="E23" s="10">
        <f t="shared" si="1"/>
        <v>0.40749999999999997</v>
      </c>
      <c r="F23" s="10">
        <f t="shared" si="2"/>
        <v>0.76</v>
      </c>
      <c r="G23" s="3">
        <f t="shared" si="3"/>
        <v>58.375</v>
      </c>
      <c r="H23" s="3">
        <f t="shared" si="7"/>
        <v>1</v>
      </c>
      <c r="I23" s="3">
        <f t="shared" si="4"/>
        <v>-0.77121474134288914</v>
      </c>
      <c r="J23" s="3">
        <f t="shared" si="5"/>
        <v>0.88680687018965354</v>
      </c>
      <c r="K23" s="3">
        <f t="shared" si="6"/>
        <v>0.99962143886145705</v>
      </c>
      <c r="L23" s="3">
        <f>IF(K23=0, -1000, IF(K23=1, -1000, H23 * LN(K23) + (1 - H23) * LN(1 - K23)))</f>
        <v>-3.7863281089957855E-4</v>
      </c>
      <c r="M23" s="9">
        <f t="shared" si="8"/>
        <v>0.65096359743040688</v>
      </c>
      <c r="N23" s="9">
        <f t="shared" si="9"/>
        <v>0.34903640256959317</v>
      </c>
      <c r="P23">
        <f t="shared" si="10"/>
        <v>356.5</v>
      </c>
      <c r="Q23">
        <f t="shared" si="11"/>
        <v>103</v>
      </c>
    </row>
    <row r="24" spans="1:17" x14ac:dyDescent="0.35">
      <c r="A24">
        <v>2022</v>
      </c>
      <c r="B24" s="3">
        <v>177</v>
      </c>
      <c r="C24" s="7">
        <v>36</v>
      </c>
      <c r="D24" s="3">
        <f t="shared" si="0"/>
        <v>22.125</v>
      </c>
      <c r="E24" s="10">
        <f t="shared" si="1"/>
        <v>0.4425</v>
      </c>
      <c r="F24" s="10">
        <f t="shared" si="2"/>
        <v>0.72</v>
      </c>
      <c r="G24" s="3">
        <f t="shared" si="3"/>
        <v>58.125</v>
      </c>
      <c r="H24" s="3">
        <f t="shared" si="7"/>
        <v>1</v>
      </c>
      <c r="I24" s="3">
        <f t="shared" si="4"/>
        <v>-0.2467714544487207</v>
      </c>
      <c r="J24" s="3">
        <f t="shared" si="5"/>
        <v>0.63030958151100658</v>
      </c>
      <c r="K24" s="3">
        <f t="shared" si="6"/>
        <v>0.99959219889612483</v>
      </c>
      <c r="L24" s="3">
        <f t="shared" si="12"/>
        <v>-4.0788427735825996E-4</v>
      </c>
      <c r="M24" s="9">
        <f t="shared" si="8"/>
        <v>0.61935483870967745</v>
      </c>
      <c r="N24" s="9">
        <f t="shared" si="9"/>
        <v>0.38064516129032255</v>
      </c>
      <c r="P24">
        <f t="shared" si="10"/>
        <v>237.5</v>
      </c>
      <c r="Q24">
        <f t="shared" si="11"/>
        <v>152</v>
      </c>
    </row>
    <row r="25" spans="1:17" x14ac:dyDescent="0.35">
      <c r="A25">
        <v>2022</v>
      </c>
      <c r="B25" s="3">
        <v>164</v>
      </c>
      <c r="C25" s="7">
        <v>37</v>
      </c>
      <c r="D25" s="3">
        <f t="shared" si="0"/>
        <v>20.5</v>
      </c>
      <c r="E25" s="10">
        <f t="shared" si="1"/>
        <v>0.41</v>
      </c>
      <c r="F25" s="10">
        <f t="shared" si="2"/>
        <v>0.74</v>
      </c>
      <c r="G25" s="3">
        <f t="shared" si="3"/>
        <v>57.5</v>
      </c>
      <c r="H25" s="3">
        <f t="shared" si="7"/>
        <v>1</v>
      </c>
      <c r="I25" s="3">
        <f t="shared" si="4"/>
        <v>-0.73375450656473429</v>
      </c>
      <c r="J25" s="3">
        <f t="shared" si="5"/>
        <v>0.75855822585033006</v>
      </c>
      <c r="K25" s="3">
        <f t="shared" si="6"/>
        <v>0.99913763132987765</v>
      </c>
      <c r="L25" s="3">
        <f t="shared" si="12"/>
        <v>-8.6274072389767799E-4</v>
      </c>
      <c r="M25" s="9">
        <f t="shared" si="8"/>
        <v>0.64347826086956517</v>
      </c>
      <c r="N25" s="9">
        <f t="shared" si="9"/>
        <v>0.35652173913043478</v>
      </c>
      <c r="P25">
        <f t="shared" si="10"/>
        <v>348.5</v>
      </c>
      <c r="Q25">
        <f t="shared" si="11"/>
        <v>128</v>
      </c>
    </row>
    <row r="26" spans="1:17" x14ac:dyDescent="0.35">
      <c r="A26">
        <v>2022</v>
      </c>
      <c r="B26" s="3">
        <v>156</v>
      </c>
      <c r="C26" s="7">
        <v>38</v>
      </c>
      <c r="D26" s="3">
        <f t="shared" si="0"/>
        <v>19.5</v>
      </c>
      <c r="E26" s="10">
        <f t="shared" si="1"/>
        <v>0.39</v>
      </c>
      <c r="F26" s="10">
        <f t="shared" si="2"/>
        <v>0.76</v>
      </c>
      <c r="G26" s="3">
        <f t="shared" si="3"/>
        <v>57.5</v>
      </c>
      <c r="H26" s="3">
        <f t="shared" si="7"/>
        <v>1</v>
      </c>
      <c r="I26" s="3">
        <f t="shared" si="4"/>
        <v>-1.0334363847899735</v>
      </c>
      <c r="J26" s="3">
        <f t="shared" si="5"/>
        <v>0.88680687018965354</v>
      </c>
      <c r="K26" s="3">
        <f t="shared" si="6"/>
        <v>0.99905283055202632</v>
      </c>
      <c r="L26" s="3">
        <f t="shared" si="12"/>
        <v>-9.4761829640133144E-4</v>
      </c>
      <c r="M26" s="9">
        <f t="shared" si="8"/>
        <v>0.66086956521739126</v>
      </c>
      <c r="N26" s="9">
        <f t="shared" si="9"/>
        <v>0.33913043478260868</v>
      </c>
      <c r="P26">
        <f t="shared" si="10"/>
        <v>390</v>
      </c>
      <c r="Q26">
        <f t="shared" si="11"/>
        <v>103</v>
      </c>
    </row>
    <row r="27" spans="1:17" x14ac:dyDescent="0.35">
      <c r="A27">
        <v>2022</v>
      </c>
      <c r="B27" s="3">
        <v>179</v>
      </c>
      <c r="C27" s="7">
        <v>35</v>
      </c>
      <c r="D27" s="3">
        <f t="shared" si="0"/>
        <v>22.375</v>
      </c>
      <c r="E27" s="10">
        <f t="shared" si="1"/>
        <v>0.44750000000000001</v>
      </c>
      <c r="F27" s="10">
        <f t="shared" si="2"/>
        <v>0.7</v>
      </c>
      <c r="G27" s="3">
        <f t="shared" si="3"/>
        <v>57.375</v>
      </c>
      <c r="H27" s="3">
        <f t="shared" si="7"/>
        <v>1</v>
      </c>
      <c r="I27" s="3">
        <f t="shared" si="4"/>
        <v>-0.17185098489241094</v>
      </c>
      <c r="J27" s="3">
        <f t="shared" si="5"/>
        <v>0.50206093717168321</v>
      </c>
      <c r="K27" s="3">
        <f t="shared" si="6"/>
        <v>0.99918509953445867</v>
      </c>
      <c r="L27" s="3">
        <f t="shared" si="12"/>
        <v>-8.1523267741770791E-4</v>
      </c>
      <c r="M27" s="9">
        <f t="shared" si="8"/>
        <v>0.61002178649237471</v>
      </c>
      <c r="N27" s="9">
        <f t="shared" si="9"/>
        <v>0.38997821350762529</v>
      </c>
      <c r="P27">
        <f t="shared" si="10"/>
        <v>223.5</v>
      </c>
      <c r="Q27">
        <f t="shared" si="11"/>
        <v>171.5</v>
      </c>
    </row>
    <row r="28" spans="1:17" x14ac:dyDescent="0.35">
      <c r="A28">
        <v>2022</v>
      </c>
      <c r="B28" s="3">
        <v>170</v>
      </c>
      <c r="C28" s="7">
        <v>36</v>
      </c>
      <c r="D28" s="3">
        <f t="shared" si="0"/>
        <v>21.25</v>
      </c>
      <c r="E28" s="10">
        <f t="shared" si="1"/>
        <v>0.42499999999999999</v>
      </c>
      <c r="F28" s="10">
        <f t="shared" si="2"/>
        <v>0.72</v>
      </c>
      <c r="G28" s="3">
        <f t="shared" si="3"/>
        <v>57.25</v>
      </c>
      <c r="H28" s="3">
        <f t="shared" si="7"/>
        <v>1</v>
      </c>
      <c r="I28" s="3">
        <f t="shared" si="4"/>
        <v>-0.50899309789580494</v>
      </c>
      <c r="J28" s="3">
        <f t="shared" si="5"/>
        <v>0.63030958151100658</v>
      </c>
      <c r="K28" s="3">
        <f t="shared" si="6"/>
        <v>0.99897971625355864</v>
      </c>
      <c r="L28" s="3">
        <f t="shared" si="12"/>
        <v>-1.0208045902054127E-3</v>
      </c>
      <c r="M28" s="9">
        <f t="shared" si="8"/>
        <v>0.62882096069868998</v>
      </c>
      <c r="N28" s="9">
        <f t="shared" si="9"/>
        <v>0.37117903930131002</v>
      </c>
      <c r="P28">
        <f t="shared" si="10"/>
        <v>287.5</v>
      </c>
      <c r="Q28">
        <f t="shared" si="11"/>
        <v>152</v>
      </c>
    </row>
    <row r="29" spans="1:17" x14ac:dyDescent="0.35">
      <c r="A29">
        <v>2022</v>
      </c>
      <c r="B29" s="3">
        <v>169</v>
      </c>
      <c r="C29" s="7">
        <v>36</v>
      </c>
      <c r="D29" s="3">
        <f t="shared" si="0"/>
        <v>21.125</v>
      </c>
      <c r="E29" s="10">
        <f t="shared" si="1"/>
        <v>0.42249999999999999</v>
      </c>
      <c r="F29" s="10">
        <f t="shared" si="2"/>
        <v>0.72</v>
      </c>
      <c r="G29" s="3">
        <f t="shared" si="3"/>
        <v>57.125</v>
      </c>
      <c r="H29" s="3">
        <f t="shared" si="7"/>
        <v>1</v>
      </c>
      <c r="I29" s="3">
        <f t="shared" si="4"/>
        <v>-0.54645333267395979</v>
      </c>
      <c r="J29" s="3">
        <f t="shared" si="5"/>
        <v>0.63030958151100658</v>
      </c>
      <c r="K29" s="3">
        <f t="shared" si="6"/>
        <v>0.99883696438913105</v>
      </c>
      <c r="L29" s="3">
        <f t="shared" si="12"/>
        <v>-1.1637124616369462E-3</v>
      </c>
      <c r="M29" s="9">
        <f t="shared" si="8"/>
        <v>0.63019693654266962</v>
      </c>
      <c r="N29" s="9">
        <f t="shared" si="9"/>
        <v>0.36980306345733044</v>
      </c>
      <c r="P29">
        <f t="shared" si="10"/>
        <v>299</v>
      </c>
      <c r="Q29">
        <f t="shared" si="11"/>
        <v>152</v>
      </c>
    </row>
    <row r="30" spans="1:17" x14ac:dyDescent="0.35">
      <c r="A30">
        <v>2022</v>
      </c>
      <c r="B30" s="3">
        <v>184</v>
      </c>
      <c r="C30" s="7">
        <v>34</v>
      </c>
      <c r="D30" s="3">
        <f t="shared" si="0"/>
        <v>23</v>
      </c>
      <c r="E30" s="10">
        <f t="shared" si="1"/>
        <v>0.46</v>
      </c>
      <c r="F30" s="10">
        <f t="shared" si="2"/>
        <v>0.68</v>
      </c>
      <c r="G30" s="3">
        <f t="shared" si="3"/>
        <v>57</v>
      </c>
      <c r="H30" s="3">
        <f t="shared" si="7"/>
        <v>1</v>
      </c>
      <c r="I30" s="3">
        <f t="shared" si="4"/>
        <v>1.5450188998363515E-2</v>
      </c>
      <c r="J30" s="3">
        <f t="shared" si="5"/>
        <v>0.37381229283235973</v>
      </c>
      <c r="K30" s="3">
        <f t="shared" si="6"/>
        <v>0.99890096429441044</v>
      </c>
      <c r="L30" s="3">
        <f t="shared" si="12"/>
        <v>-1.0996400881965948E-3</v>
      </c>
      <c r="M30" s="9">
        <f t="shared" si="8"/>
        <v>0.59649122807017541</v>
      </c>
      <c r="N30" s="9">
        <f t="shared" si="9"/>
        <v>0.40350877192982454</v>
      </c>
      <c r="P30">
        <f t="shared" si="10"/>
        <v>188.5</v>
      </c>
      <c r="Q30">
        <f t="shared" si="11"/>
        <v>189.5</v>
      </c>
    </row>
    <row r="31" spans="1:17" x14ac:dyDescent="0.35">
      <c r="A31">
        <v>2022</v>
      </c>
      <c r="B31" s="3">
        <v>156</v>
      </c>
      <c r="C31" s="7">
        <v>37</v>
      </c>
      <c r="D31" s="3">
        <f t="shared" si="0"/>
        <v>19.5</v>
      </c>
      <c r="E31" s="10">
        <f t="shared" si="1"/>
        <v>0.39</v>
      </c>
      <c r="F31" s="10">
        <f t="shared" si="2"/>
        <v>0.74</v>
      </c>
      <c r="G31" s="3">
        <f t="shared" si="3"/>
        <v>56.5</v>
      </c>
      <c r="H31" s="3">
        <f t="shared" si="7"/>
        <v>1</v>
      </c>
      <c r="I31" s="3">
        <f t="shared" si="4"/>
        <v>-1.0334363847899735</v>
      </c>
      <c r="J31" s="3">
        <f t="shared" si="5"/>
        <v>0.75855822585033006</v>
      </c>
      <c r="K31" s="3">
        <f t="shared" si="6"/>
        <v>0.9975426219083442</v>
      </c>
      <c r="L31" s="3">
        <f t="shared" si="12"/>
        <v>-2.4604024007950985E-3</v>
      </c>
      <c r="M31" s="9">
        <f t="shared" si="8"/>
        <v>0.65486725663716816</v>
      </c>
      <c r="N31" s="9">
        <f t="shared" si="9"/>
        <v>0.34513274336283184</v>
      </c>
      <c r="P31">
        <f t="shared" si="10"/>
        <v>390</v>
      </c>
      <c r="Q31">
        <f t="shared" si="11"/>
        <v>128</v>
      </c>
    </row>
    <row r="32" spans="1:17" x14ac:dyDescent="0.35">
      <c r="A32">
        <v>2022</v>
      </c>
      <c r="B32" s="3">
        <v>195</v>
      </c>
      <c r="C32" s="7">
        <v>32</v>
      </c>
      <c r="D32" s="3">
        <f t="shared" si="0"/>
        <v>24.375</v>
      </c>
      <c r="E32" s="10">
        <f t="shared" si="1"/>
        <v>0.48749999999999999</v>
      </c>
      <c r="F32" s="10">
        <f t="shared" si="2"/>
        <v>0.64</v>
      </c>
      <c r="G32" s="3">
        <f t="shared" si="3"/>
        <v>56.375</v>
      </c>
      <c r="H32" s="3">
        <f t="shared" si="7"/>
        <v>1</v>
      </c>
      <c r="I32" s="3">
        <f t="shared" si="4"/>
        <v>0.42751277155806727</v>
      </c>
      <c r="J32" s="3">
        <f t="shared" si="5"/>
        <v>0.11731500415371279</v>
      </c>
      <c r="K32" s="3">
        <f t="shared" si="6"/>
        <v>0.9982467063793603</v>
      </c>
      <c r="L32" s="3">
        <f t="shared" si="12"/>
        <v>-1.7548324388295723E-3</v>
      </c>
      <c r="M32" s="9">
        <f t="shared" si="8"/>
        <v>0.56762749445676275</v>
      </c>
      <c r="N32" s="9">
        <f t="shared" si="9"/>
        <v>0.43237250554323725</v>
      </c>
      <c r="P32">
        <f t="shared" si="10"/>
        <v>113.5</v>
      </c>
      <c r="Q32">
        <f t="shared" si="11"/>
        <v>222</v>
      </c>
    </row>
    <row r="33" spans="1:17" x14ac:dyDescent="0.35">
      <c r="A33">
        <v>2022</v>
      </c>
      <c r="B33" s="3">
        <v>186</v>
      </c>
      <c r="C33" s="7">
        <v>33</v>
      </c>
      <c r="D33" s="3">
        <f t="shared" si="0"/>
        <v>23.25</v>
      </c>
      <c r="E33" s="10">
        <f t="shared" si="1"/>
        <v>0.46500000000000002</v>
      </c>
      <c r="F33" s="10">
        <f t="shared" si="2"/>
        <v>0.66</v>
      </c>
      <c r="G33" s="3">
        <f t="shared" si="3"/>
        <v>56.25</v>
      </c>
      <c r="H33" s="3">
        <f t="shared" si="7"/>
        <v>1</v>
      </c>
      <c r="I33" s="3">
        <f t="shared" si="4"/>
        <v>9.03706585546733E-2</v>
      </c>
      <c r="J33" s="3">
        <f t="shared" si="5"/>
        <v>0.24556364849303625</v>
      </c>
      <c r="K33" s="3">
        <f t="shared" si="6"/>
        <v>0.99780533484009548</v>
      </c>
      <c r="L33" s="3">
        <f t="shared" si="12"/>
        <v>-2.19707696687184E-3</v>
      </c>
      <c r="M33" s="9">
        <f t="shared" si="8"/>
        <v>0.58666666666666667</v>
      </c>
      <c r="N33" s="9">
        <f t="shared" si="9"/>
        <v>0.41333333333333333</v>
      </c>
      <c r="P33">
        <f t="shared" si="10"/>
        <v>171.5</v>
      </c>
      <c r="Q33">
        <f t="shared" si="11"/>
        <v>208.5</v>
      </c>
    </row>
    <row r="34" spans="1:17" x14ac:dyDescent="0.35">
      <c r="A34">
        <v>2022</v>
      </c>
      <c r="B34" s="3">
        <v>194</v>
      </c>
      <c r="C34" s="7">
        <v>32</v>
      </c>
      <c r="D34" s="3">
        <f t="shared" si="0"/>
        <v>24.25</v>
      </c>
      <c r="E34" s="10">
        <f t="shared" si="1"/>
        <v>0.48499999999999999</v>
      </c>
      <c r="F34" s="10">
        <f t="shared" si="2"/>
        <v>0.64</v>
      </c>
      <c r="G34" s="3">
        <f t="shared" si="3"/>
        <v>56.25</v>
      </c>
      <c r="H34" s="3">
        <f t="shared" si="7"/>
        <v>1</v>
      </c>
      <c r="I34" s="3">
        <f t="shared" si="4"/>
        <v>0.39005253677991242</v>
      </c>
      <c r="J34" s="3">
        <f t="shared" si="5"/>
        <v>0.11731500415371279</v>
      </c>
      <c r="K34" s="3">
        <f t="shared" si="6"/>
        <v>0.99800160141610283</v>
      </c>
      <c r="L34" s="3">
        <f t="shared" si="12"/>
        <v>-2.0003980466069453E-3</v>
      </c>
      <c r="M34" s="9">
        <f t="shared" si="8"/>
        <v>0.56888888888888889</v>
      </c>
      <c r="N34" s="9">
        <f t="shared" si="9"/>
        <v>0.43111111111111111</v>
      </c>
      <c r="P34">
        <f t="shared" si="10"/>
        <v>120</v>
      </c>
      <c r="Q34">
        <f t="shared" si="11"/>
        <v>222</v>
      </c>
    </row>
    <row r="35" spans="1:17" x14ac:dyDescent="0.35">
      <c r="A35">
        <v>2022</v>
      </c>
      <c r="B35" s="3">
        <v>196</v>
      </c>
      <c r="C35" s="7">
        <v>31</v>
      </c>
      <c r="D35" s="3">
        <f t="shared" si="0"/>
        <v>24.5</v>
      </c>
      <c r="E35" s="10">
        <f t="shared" si="1"/>
        <v>0.49</v>
      </c>
      <c r="F35" s="10">
        <f t="shared" si="2"/>
        <v>0.62</v>
      </c>
      <c r="G35" s="3">
        <f t="shared" si="3"/>
        <v>55.5</v>
      </c>
      <c r="H35" s="3">
        <f t="shared" si="7"/>
        <v>1</v>
      </c>
      <c r="I35" s="3">
        <f t="shared" si="4"/>
        <v>0.46497300633622218</v>
      </c>
      <c r="J35" s="3">
        <f t="shared" si="5"/>
        <v>-1.0933640185610671E-2</v>
      </c>
      <c r="K35" s="3">
        <f t="shared" si="6"/>
        <v>0.99601297508872366</v>
      </c>
      <c r="L35" s="3">
        <f t="shared" si="12"/>
        <v>-3.9949942848783023E-3</v>
      </c>
      <c r="M35" s="9">
        <f t="shared" si="8"/>
        <v>0.55855855855855852</v>
      </c>
      <c r="N35" s="9">
        <f t="shared" si="9"/>
        <v>0.44144144144144143</v>
      </c>
      <c r="P35">
        <f t="shared" si="10"/>
        <v>106.5</v>
      </c>
      <c r="Q35">
        <f t="shared" si="11"/>
        <v>239.5</v>
      </c>
    </row>
    <row r="36" spans="1:17" x14ac:dyDescent="0.35">
      <c r="A36">
        <v>2022</v>
      </c>
      <c r="B36" s="3">
        <v>233</v>
      </c>
      <c r="C36" s="7">
        <v>26</v>
      </c>
      <c r="D36" s="3">
        <f t="shared" si="0"/>
        <v>29.125</v>
      </c>
      <c r="E36" s="10">
        <f t="shared" si="1"/>
        <v>0.58250000000000002</v>
      </c>
      <c r="F36" s="10">
        <f t="shared" si="2"/>
        <v>0.52</v>
      </c>
      <c r="G36" s="3">
        <f t="shared" si="3"/>
        <v>55.125</v>
      </c>
      <c r="H36" s="3">
        <f t="shared" si="7"/>
        <v>1</v>
      </c>
      <c r="I36" s="3">
        <f t="shared" si="4"/>
        <v>1.8510016931279532</v>
      </c>
      <c r="J36" s="3">
        <f t="shared" si="5"/>
        <v>-0.65217686188222801</v>
      </c>
      <c r="K36" s="3">
        <f t="shared" si="6"/>
        <v>0.99630409897421035</v>
      </c>
      <c r="L36" s="3">
        <f t="shared" si="12"/>
        <v>-3.7027477430514773E-3</v>
      </c>
      <c r="M36" s="9">
        <f t="shared" si="8"/>
        <v>0.47165532879818595</v>
      </c>
      <c r="N36" s="9">
        <f t="shared" si="9"/>
        <v>0.52834467120181405</v>
      </c>
      <c r="P36">
        <f t="shared" si="10"/>
        <v>20</v>
      </c>
      <c r="Q36">
        <f t="shared" si="11"/>
        <v>312.5</v>
      </c>
    </row>
    <row r="37" spans="1:17" x14ac:dyDescent="0.35">
      <c r="A37">
        <v>2022</v>
      </c>
      <c r="B37" s="3">
        <v>177</v>
      </c>
      <c r="C37" s="7">
        <v>33</v>
      </c>
      <c r="D37" s="3">
        <f t="shared" si="0"/>
        <v>22.125</v>
      </c>
      <c r="E37" s="10">
        <f t="shared" si="1"/>
        <v>0.4425</v>
      </c>
      <c r="F37" s="10">
        <f t="shared" si="2"/>
        <v>0.66</v>
      </c>
      <c r="G37" s="3">
        <f t="shared" si="3"/>
        <v>55.125</v>
      </c>
      <c r="H37" s="3">
        <f t="shared" si="7"/>
        <v>1</v>
      </c>
      <c r="I37" s="3">
        <f t="shared" si="4"/>
        <v>-0.2467714544487207</v>
      </c>
      <c r="J37" s="3">
        <f t="shared" si="5"/>
        <v>0.24556364849303625</v>
      </c>
      <c r="K37" s="3">
        <f t="shared" si="6"/>
        <v>0.99289388454235372</v>
      </c>
      <c r="L37" s="3">
        <f t="shared" si="12"/>
        <v>-7.1314841494367343E-3</v>
      </c>
      <c r="M37" s="9">
        <f t="shared" si="8"/>
        <v>0.59863945578231292</v>
      </c>
      <c r="N37" s="9">
        <f t="shared" si="9"/>
        <v>0.40136054421768708</v>
      </c>
      <c r="P37">
        <f t="shared" si="10"/>
        <v>237.5</v>
      </c>
      <c r="Q37">
        <f t="shared" si="11"/>
        <v>208.5</v>
      </c>
    </row>
    <row r="38" spans="1:17" x14ac:dyDescent="0.35">
      <c r="A38">
        <v>2022</v>
      </c>
      <c r="B38" s="3">
        <v>136</v>
      </c>
      <c r="C38" s="7">
        <v>38</v>
      </c>
      <c r="D38" s="3">
        <f t="shared" si="0"/>
        <v>17</v>
      </c>
      <c r="E38" s="10">
        <f t="shared" si="1"/>
        <v>0.34</v>
      </c>
      <c r="F38" s="10">
        <f t="shared" si="2"/>
        <v>0.76</v>
      </c>
      <c r="G38" s="3">
        <f t="shared" si="3"/>
        <v>55</v>
      </c>
      <c r="H38" s="3">
        <f t="shared" si="7"/>
        <v>1</v>
      </c>
      <c r="I38" s="3">
        <f t="shared" si="4"/>
        <v>-1.7826410803530712</v>
      </c>
      <c r="J38" s="3">
        <f t="shared" si="5"/>
        <v>0.88680687018965354</v>
      </c>
      <c r="K38" s="3">
        <f t="shared" si="6"/>
        <v>0.98712071771268517</v>
      </c>
      <c r="L38" s="3">
        <f t="shared" si="12"/>
        <v>-1.2962939314680408E-2</v>
      </c>
      <c r="M38" s="9">
        <f t="shared" si="8"/>
        <v>0.69090909090909092</v>
      </c>
      <c r="N38" s="9">
        <f t="shared" si="9"/>
        <v>0.30909090909090908</v>
      </c>
      <c r="P38">
        <f t="shared" si="10"/>
        <v>433.5</v>
      </c>
      <c r="Q38">
        <f t="shared" si="11"/>
        <v>103</v>
      </c>
    </row>
    <row r="39" spans="1:17" x14ac:dyDescent="0.35">
      <c r="A39">
        <v>2022</v>
      </c>
      <c r="B39" s="3">
        <v>238</v>
      </c>
      <c r="C39" s="7">
        <v>25</v>
      </c>
      <c r="D39" s="3">
        <f t="shared" si="0"/>
        <v>29.75</v>
      </c>
      <c r="E39" s="10">
        <f t="shared" si="1"/>
        <v>0.59499999999999997</v>
      </c>
      <c r="F39" s="10">
        <f t="shared" si="2"/>
        <v>0.5</v>
      </c>
      <c r="G39" s="3">
        <f t="shared" si="3"/>
        <v>54.75</v>
      </c>
      <c r="H39" s="3">
        <f t="shared" si="7"/>
        <v>1</v>
      </c>
      <c r="I39" s="3">
        <f t="shared" si="4"/>
        <v>2.0383028670187273</v>
      </c>
      <c r="J39" s="3">
        <f t="shared" si="5"/>
        <v>-0.78042550622155138</v>
      </c>
      <c r="K39" s="3">
        <f t="shared" si="6"/>
        <v>0.99502043770979209</v>
      </c>
      <c r="L39" s="3">
        <f t="shared" si="12"/>
        <v>-4.9920016226443027E-3</v>
      </c>
      <c r="M39" s="9">
        <f t="shared" si="8"/>
        <v>0.45662100456621002</v>
      </c>
      <c r="N39" s="9">
        <f t="shared" si="9"/>
        <v>0.54337899543378998</v>
      </c>
      <c r="P39">
        <f t="shared" si="10"/>
        <v>15</v>
      </c>
      <c r="Q39">
        <f t="shared" si="11"/>
        <v>326</v>
      </c>
    </row>
    <row r="40" spans="1:17" x14ac:dyDescent="0.35">
      <c r="A40">
        <v>2022</v>
      </c>
      <c r="B40" s="3">
        <v>222</v>
      </c>
      <c r="C40" s="7">
        <v>27</v>
      </c>
      <c r="D40" s="3">
        <f t="shared" si="0"/>
        <v>27.75</v>
      </c>
      <c r="E40" s="10">
        <f t="shared" si="1"/>
        <v>0.55500000000000005</v>
      </c>
      <c r="F40" s="10">
        <f t="shared" si="2"/>
        <v>0.54</v>
      </c>
      <c r="G40" s="3">
        <f t="shared" si="3"/>
        <v>54.75</v>
      </c>
      <c r="H40" s="3">
        <f t="shared" si="7"/>
        <v>1</v>
      </c>
      <c r="I40" s="3">
        <f t="shared" si="4"/>
        <v>1.4389391105682494</v>
      </c>
      <c r="J40" s="3">
        <f t="shared" si="5"/>
        <v>-0.52392821754290453</v>
      </c>
      <c r="K40" s="3">
        <f t="shared" si="6"/>
        <v>0.99399811219244616</v>
      </c>
      <c r="L40" s="3">
        <f t="shared" si="12"/>
        <v>-6.0199715301369671E-3</v>
      </c>
      <c r="M40" s="9">
        <f t="shared" si="8"/>
        <v>0.49315068493150682</v>
      </c>
      <c r="N40" s="9">
        <f t="shared" si="9"/>
        <v>0.50684931506849318</v>
      </c>
      <c r="P40">
        <f t="shared" si="10"/>
        <v>37</v>
      </c>
      <c r="Q40">
        <f t="shared" si="11"/>
        <v>294.5</v>
      </c>
    </row>
    <row r="41" spans="1:17" x14ac:dyDescent="0.35">
      <c r="A41">
        <v>2022</v>
      </c>
      <c r="B41" s="3">
        <v>181</v>
      </c>
      <c r="C41" s="7">
        <v>32</v>
      </c>
      <c r="D41" s="3">
        <f t="shared" si="0"/>
        <v>22.625</v>
      </c>
      <c r="E41" s="10">
        <f t="shared" si="1"/>
        <v>0.45250000000000001</v>
      </c>
      <c r="F41" s="10">
        <f t="shared" si="2"/>
        <v>0.64</v>
      </c>
      <c r="G41" s="3">
        <f t="shared" si="3"/>
        <v>54.625</v>
      </c>
      <c r="H41" s="3">
        <f t="shared" si="7"/>
        <v>1</v>
      </c>
      <c r="I41" s="3">
        <f t="shared" si="4"/>
        <v>-9.6930515336101156E-2</v>
      </c>
      <c r="J41" s="3">
        <f t="shared" si="5"/>
        <v>0.11731500415371279</v>
      </c>
      <c r="K41" s="3">
        <f t="shared" si="6"/>
        <v>0.98911220722035054</v>
      </c>
      <c r="L41" s="3">
        <f t="shared" si="12"/>
        <v>-1.0947498567125577E-2</v>
      </c>
      <c r="M41" s="9">
        <f t="shared" si="8"/>
        <v>0.58581235697940504</v>
      </c>
      <c r="N41" s="9">
        <f t="shared" si="9"/>
        <v>0.41418764302059496</v>
      </c>
      <c r="P41">
        <f t="shared" si="10"/>
        <v>209.5</v>
      </c>
      <c r="Q41">
        <f t="shared" si="11"/>
        <v>222</v>
      </c>
    </row>
    <row r="42" spans="1:17" x14ac:dyDescent="0.35">
      <c r="A42">
        <v>2022</v>
      </c>
      <c r="B42" s="3">
        <v>221</v>
      </c>
      <c r="C42" s="7">
        <v>27</v>
      </c>
      <c r="D42" s="3">
        <f t="shared" si="0"/>
        <v>27.625</v>
      </c>
      <c r="E42" s="10">
        <f t="shared" si="1"/>
        <v>0.55249999999999999</v>
      </c>
      <c r="F42" s="10">
        <f t="shared" si="2"/>
        <v>0.54</v>
      </c>
      <c r="G42" s="3">
        <f t="shared" si="3"/>
        <v>54.625</v>
      </c>
      <c r="H42" s="3">
        <f t="shared" si="7"/>
        <v>1</v>
      </c>
      <c r="I42" s="3">
        <f t="shared" si="4"/>
        <v>1.4014788757900944</v>
      </c>
      <c r="J42" s="3">
        <f t="shared" si="5"/>
        <v>-0.52392821754290453</v>
      </c>
      <c r="K42" s="3">
        <f t="shared" si="6"/>
        <v>0.99316313487388985</v>
      </c>
      <c r="L42" s="3">
        <f t="shared" si="12"/>
        <v>-6.8603435622799618E-3</v>
      </c>
      <c r="M42" s="9">
        <f t="shared" si="8"/>
        <v>0.49427917620137302</v>
      </c>
      <c r="N42" s="9">
        <f t="shared" si="9"/>
        <v>0.50572082379862704</v>
      </c>
      <c r="P42">
        <f t="shared" si="10"/>
        <v>39</v>
      </c>
      <c r="Q42">
        <f t="shared" si="11"/>
        <v>294.5</v>
      </c>
    </row>
    <row r="43" spans="1:17" x14ac:dyDescent="0.35">
      <c r="A43">
        <v>2022</v>
      </c>
      <c r="B43" s="3">
        <v>172</v>
      </c>
      <c r="C43" s="7">
        <v>33</v>
      </c>
      <c r="D43" s="3">
        <f t="shared" si="0"/>
        <v>21.5</v>
      </c>
      <c r="E43" s="10">
        <f t="shared" si="1"/>
        <v>0.43</v>
      </c>
      <c r="F43" s="10">
        <f t="shared" si="2"/>
        <v>0.66</v>
      </c>
      <c r="G43" s="3">
        <f t="shared" si="3"/>
        <v>54.5</v>
      </c>
      <c r="H43" s="3">
        <f t="shared" si="7"/>
        <v>1</v>
      </c>
      <c r="I43" s="3">
        <f t="shared" si="4"/>
        <v>-0.43407262833949517</v>
      </c>
      <c r="J43" s="3">
        <f t="shared" si="5"/>
        <v>0.24556364849303625</v>
      </c>
      <c r="K43" s="3">
        <f t="shared" si="6"/>
        <v>0.98640265248121761</v>
      </c>
      <c r="L43" s="3">
        <f t="shared" si="12"/>
        <v>-1.3690638083288714E-2</v>
      </c>
      <c r="M43" s="9">
        <f t="shared" si="8"/>
        <v>0.60550458715596334</v>
      </c>
      <c r="N43" s="9">
        <f t="shared" si="9"/>
        <v>0.39449541284403672</v>
      </c>
      <c r="P43">
        <f t="shared" si="10"/>
        <v>271</v>
      </c>
      <c r="Q43">
        <f t="shared" si="11"/>
        <v>208.5</v>
      </c>
    </row>
    <row r="44" spans="1:17" x14ac:dyDescent="0.35">
      <c r="A44">
        <v>2022</v>
      </c>
      <c r="B44" s="3">
        <v>219</v>
      </c>
      <c r="C44" s="7">
        <v>27</v>
      </c>
      <c r="D44" s="3">
        <f t="shared" si="0"/>
        <v>27.375</v>
      </c>
      <c r="E44" s="10">
        <f t="shared" si="1"/>
        <v>0.54749999999999999</v>
      </c>
      <c r="F44" s="10">
        <f t="shared" si="2"/>
        <v>0.54</v>
      </c>
      <c r="G44" s="3">
        <f t="shared" si="3"/>
        <v>54.375</v>
      </c>
      <c r="H44" s="3">
        <f t="shared" si="7"/>
        <v>1</v>
      </c>
      <c r="I44" s="3">
        <f t="shared" si="4"/>
        <v>1.3265584062337847</v>
      </c>
      <c r="J44" s="3">
        <f t="shared" si="5"/>
        <v>-0.52392821754290453</v>
      </c>
      <c r="K44" s="3">
        <f t="shared" si="6"/>
        <v>0.99113178845950289</v>
      </c>
      <c r="L44" s="3">
        <f t="shared" si="12"/>
        <v>-8.9077681664639034E-3</v>
      </c>
      <c r="M44" s="9">
        <f t="shared" si="8"/>
        <v>0.49655172413793103</v>
      </c>
      <c r="N44" s="9">
        <f t="shared" si="9"/>
        <v>0.50344827586206897</v>
      </c>
      <c r="P44">
        <f t="shared" si="10"/>
        <v>41.5</v>
      </c>
      <c r="Q44">
        <f t="shared" si="11"/>
        <v>294.5</v>
      </c>
    </row>
    <row r="45" spans="1:17" x14ac:dyDescent="0.35">
      <c r="A45">
        <v>2022</v>
      </c>
      <c r="B45" s="3">
        <v>187</v>
      </c>
      <c r="C45" s="7">
        <v>31</v>
      </c>
      <c r="D45" s="3">
        <f t="shared" si="0"/>
        <v>23.375</v>
      </c>
      <c r="E45" s="10">
        <f t="shared" si="1"/>
        <v>0.46750000000000003</v>
      </c>
      <c r="F45" s="10">
        <f t="shared" si="2"/>
        <v>0.62</v>
      </c>
      <c r="G45" s="3">
        <f t="shared" si="3"/>
        <v>54.375</v>
      </c>
      <c r="H45" s="3">
        <f t="shared" si="7"/>
        <v>1</v>
      </c>
      <c r="I45" s="3">
        <f t="shared" si="4"/>
        <v>0.12783089333282818</v>
      </c>
      <c r="J45" s="3">
        <f t="shared" si="5"/>
        <v>-1.0933640185610671E-2</v>
      </c>
      <c r="K45" s="3">
        <f t="shared" si="6"/>
        <v>0.9871420836457524</v>
      </c>
      <c r="L45" s="3">
        <f t="shared" si="12"/>
        <v>-1.2941294847638471E-2</v>
      </c>
      <c r="M45" s="9">
        <f t="shared" si="8"/>
        <v>0.57011494252873562</v>
      </c>
      <c r="N45" s="9">
        <f t="shared" si="9"/>
        <v>0.42988505747126438</v>
      </c>
      <c r="P45">
        <f t="shared" si="10"/>
        <v>163</v>
      </c>
      <c r="Q45">
        <f t="shared" si="11"/>
        <v>239.5</v>
      </c>
    </row>
    <row r="46" spans="1:17" x14ac:dyDescent="0.35">
      <c r="A46">
        <v>2022</v>
      </c>
      <c r="B46" s="3">
        <v>176</v>
      </c>
      <c r="C46" s="7">
        <v>32</v>
      </c>
      <c r="D46" s="3">
        <f t="shared" si="0"/>
        <v>22</v>
      </c>
      <c r="E46" s="10">
        <f t="shared" si="1"/>
        <v>0.44</v>
      </c>
      <c r="F46" s="10">
        <f t="shared" si="2"/>
        <v>0.64</v>
      </c>
      <c r="G46" s="3">
        <f t="shared" si="3"/>
        <v>54</v>
      </c>
      <c r="H46" s="3">
        <f t="shared" si="7"/>
        <v>1</v>
      </c>
      <c r="I46" s="3">
        <f t="shared" si="4"/>
        <v>-0.28423168922687558</v>
      </c>
      <c r="J46" s="3">
        <f t="shared" si="5"/>
        <v>0.11731500415371279</v>
      </c>
      <c r="K46" s="3">
        <f t="shared" si="6"/>
        <v>0.97923875375462976</v>
      </c>
      <c r="L46" s="3">
        <f t="shared" si="12"/>
        <v>-2.0979791051922443E-2</v>
      </c>
      <c r="M46" s="9">
        <f t="shared" si="8"/>
        <v>0.59259259259259256</v>
      </c>
      <c r="N46" s="9">
        <f t="shared" si="9"/>
        <v>0.40740740740740738</v>
      </c>
      <c r="P46">
        <f t="shared" si="10"/>
        <v>245.5</v>
      </c>
      <c r="Q46">
        <f t="shared" si="11"/>
        <v>222</v>
      </c>
    </row>
    <row r="47" spans="1:17" x14ac:dyDescent="0.35">
      <c r="A47">
        <v>2022</v>
      </c>
      <c r="B47" s="3">
        <v>208</v>
      </c>
      <c r="C47" s="7">
        <v>28</v>
      </c>
      <c r="D47" s="3">
        <f t="shared" si="0"/>
        <v>26</v>
      </c>
      <c r="E47" s="10">
        <f t="shared" si="1"/>
        <v>0.52</v>
      </c>
      <c r="F47" s="10">
        <f t="shared" si="2"/>
        <v>0.56000000000000005</v>
      </c>
      <c r="G47" s="3">
        <f t="shared" si="3"/>
        <v>54</v>
      </c>
      <c r="H47" s="3">
        <f t="shared" si="7"/>
        <v>1</v>
      </c>
      <c r="I47" s="3">
        <f t="shared" si="4"/>
        <v>0.91449582367408089</v>
      </c>
      <c r="J47" s="3">
        <f t="shared" si="5"/>
        <v>-0.39567957320358105</v>
      </c>
      <c r="K47" s="3">
        <f t="shared" si="6"/>
        <v>0.98564513478091664</v>
      </c>
      <c r="L47" s="3">
        <f t="shared" si="12"/>
        <v>-1.445889303375408E-2</v>
      </c>
      <c r="M47" s="9">
        <f t="shared" si="8"/>
        <v>0.51851851851851849</v>
      </c>
      <c r="N47" s="9">
        <f t="shared" si="9"/>
        <v>0.48148148148148145</v>
      </c>
      <c r="P47">
        <f t="shared" si="10"/>
        <v>56</v>
      </c>
      <c r="Q47">
        <f t="shared" si="11"/>
        <v>281.5</v>
      </c>
    </row>
    <row r="48" spans="1:17" x14ac:dyDescent="0.35">
      <c r="A48">
        <v>2022</v>
      </c>
      <c r="B48" s="3">
        <v>159</v>
      </c>
      <c r="C48" s="7">
        <v>34</v>
      </c>
      <c r="D48" s="3">
        <f t="shared" si="0"/>
        <v>19.875</v>
      </c>
      <c r="E48" s="10">
        <f t="shared" si="1"/>
        <v>0.39750000000000002</v>
      </c>
      <c r="F48" s="10">
        <f t="shared" si="2"/>
        <v>0.68</v>
      </c>
      <c r="G48" s="3">
        <f t="shared" si="3"/>
        <v>53.875</v>
      </c>
      <c r="H48" s="3">
        <f t="shared" si="7"/>
        <v>1</v>
      </c>
      <c r="I48" s="3">
        <f t="shared" si="4"/>
        <v>-0.92105568045550867</v>
      </c>
      <c r="J48" s="3">
        <f t="shared" si="5"/>
        <v>0.37381229283235973</v>
      </c>
      <c r="K48" s="3">
        <f t="shared" si="6"/>
        <v>0.97166275425948989</v>
      </c>
      <c r="L48" s="3">
        <f t="shared" si="12"/>
        <v>-2.8746495364851347E-2</v>
      </c>
      <c r="M48" s="9">
        <f t="shared" si="8"/>
        <v>0.63109048723897909</v>
      </c>
      <c r="N48" s="9">
        <f t="shared" si="9"/>
        <v>0.36890951276102091</v>
      </c>
      <c r="P48">
        <f t="shared" si="10"/>
        <v>378</v>
      </c>
      <c r="Q48">
        <f t="shared" si="11"/>
        <v>189.5</v>
      </c>
    </row>
    <row r="49" spans="1:17" x14ac:dyDescent="0.35">
      <c r="A49">
        <v>2022</v>
      </c>
      <c r="B49" s="3">
        <v>142</v>
      </c>
      <c r="C49" s="7">
        <v>36</v>
      </c>
      <c r="D49" s="3">
        <f t="shared" si="0"/>
        <v>17.75</v>
      </c>
      <c r="E49" s="10">
        <f t="shared" si="1"/>
        <v>0.35499999999999998</v>
      </c>
      <c r="F49" s="10">
        <f t="shared" si="2"/>
        <v>0.72</v>
      </c>
      <c r="G49" s="3">
        <f t="shared" si="3"/>
        <v>53.75</v>
      </c>
      <c r="H49" s="3">
        <f t="shared" si="7"/>
        <v>1</v>
      </c>
      <c r="I49" s="3">
        <f t="shared" si="4"/>
        <v>-1.5578796716841419</v>
      </c>
      <c r="J49" s="3">
        <f t="shared" si="5"/>
        <v>0.63030958151100658</v>
      </c>
      <c r="K49" s="3">
        <f t="shared" si="6"/>
        <v>0.9614310788278162</v>
      </c>
      <c r="L49" s="3">
        <f t="shared" si="12"/>
        <v>-3.9332397408806744E-2</v>
      </c>
      <c r="M49" s="9">
        <f t="shared" si="8"/>
        <v>0.66976744186046511</v>
      </c>
      <c r="N49" s="9">
        <f t="shared" si="9"/>
        <v>0.33023255813953489</v>
      </c>
      <c r="P49">
        <f t="shared" si="10"/>
        <v>428</v>
      </c>
      <c r="Q49">
        <f t="shared" si="11"/>
        <v>152</v>
      </c>
    </row>
    <row r="50" spans="1:17" x14ac:dyDescent="0.35">
      <c r="A50">
        <v>2022</v>
      </c>
      <c r="B50" s="3">
        <v>198</v>
      </c>
      <c r="C50" s="7">
        <v>29</v>
      </c>
      <c r="D50" s="3">
        <f t="shared" si="0"/>
        <v>24.75</v>
      </c>
      <c r="E50" s="10">
        <f t="shared" si="1"/>
        <v>0.495</v>
      </c>
      <c r="F50" s="10">
        <f t="shared" si="2"/>
        <v>0.57999999999999996</v>
      </c>
      <c r="G50" s="3">
        <f t="shared" si="3"/>
        <v>53.75</v>
      </c>
      <c r="H50" s="3">
        <f t="shared" si="7"/>
        <v>1</v>
      </c>
      <c r="I50" s="3">
        <f t="shared" si="4"/>
        <v>0.539893475892532</v>
      </c>
      <c r="J50" s="3">
        <f t="shared" si="5"/>
        <v>-0.26743092886425757</v>
      </c>
      <c r="K50" s="3">
        <f t="shared" si="6"/>
        <v>0.97963048826221377</v>
      </c>
      <c r="L50" s="3">
        <f t="shared" si="12"/>
        <v>-2.0579831213456905E-2</v>
      </c>
      <c r="M50" s="9">
        <f t="shared" si="8"/>
        <v>0.53953488372093028</v>
      </c>
      <c r="N50" s="9">
        <f t="shared" si="9"/>
        <v>0.46046511627906977</v>
      </c>
      <c r="P50">
        <f t="shared" si="10"/>
        <v>97.5</v>
      </c>
      <c r="Q50">
        <f t="shared" si="11"/>
        <v>272.5</v>
      </c>
    </row>
    <row r="51" spans="1:17" x14ac:dyDescent="0.35">
      <c r="A51">
        <v>2022</v>
      </c>
      <c r="B51" s="3">
        <v>205</v>
      </c>
      <c r="C51" s="7">
        <v>28</v>
      </c>
      <c r="D51" s="3">
        <f t="shared" si="0"/>
        <v>25.625</v>
      </c>
      <c r="E51" s="10">
        <f t="shared" si="1"/>
        <v>0.51249999999999996</v>
      </c>
      <c r="F51" s="10">
        <f t="shared" si="2"/>
        <v>0.56000000000000005</v>
      </c>
      <c r="G51" s="3">
        <f t="shared" si="3"/>
        <v>53.625</v>
      </c>
      <c r="H51" s="3">
        <f t="shared" si="7"/>
        <v>1</v>
      </c>
      <c r="I51" s="3">
        <f t="shared" si="4"/>
        <v>0.80211511933961621</v>
      </c>
      <c r="J51" s="3">
        <f t="shared" si="5"/>
        <v>-0.39567957320358105</v>
      </c>
      <c r="K51" s="3">
        <f t="shared" si="6"/>
        <v>0.97887445807764617</v>
      </c>
      <c r="L51" s="3">
        <f t="shared" si="12"/>
        <v>-2.1351879528712574E-2</v>
      </c>
      <c r="M51" s="9">
        <f t="shared" si="8"/>
        <v>0.52214452214452212</v>
      </c>
      <c r="N51" s="9">
        <f t="shared" si="9"/>
        <v>0.47785547785547783</v>
      </c>
      <c r="P51">
        <f t="shared" si="10"/>
        <v>65</v>
      </c>
      <c r="Q51">
        <f t="shared" si="11"/>
        <v>281.5</v>
      </c>
    </row>
    <row r="52" spans="1:17" x14ac:dyDescent="0.35">
      <c r="A52">
        <v>2022</v>
      </c>
      <c r="B52" s="3">
        <v>181</v>
      </c>
      <c r="C52" s="7">
        <v>31</v>
      </c>
      <c r="D52" s="3">
        <f t="shared" si="0"/>
        <v>22.625</v>
      </c>
      <c r="E52" s="10">
        <f t="shared" si="1"/>
        <v>0.45250000000000001</v>
      </c>
      <c r="F52" s="10">
        <f t="shared" si="2"/>
        <v>0.62</v>
      </c>
      <c r="G52" s="3">
        <f t="shared" si="3"/>
        <v>53.625</v>
      </c>
      <c r="H52" s="3">
        <f t="shared" si="7"/>
        <v>1</v>
      </c>
      <c r="I52" s="3">
        <f t="shared" si="4"/>
        <v>-9.6930515336101156E-2</v>
      </c>
      <c r="J52" s="3">
        <f t="shared" si="5"/>
        <v>-1.0933640185610671E-2</v>
      </c>
      <c r="K52" s="3">
        <f t="shared" si="6"/>
        <v>0.97219337767690062</v>
      </c>
      <c r="L52" s="3">
        <f t="shared" si="12"/>
        <v>-2.8200546082008109E-2</v>
      </c>
      <c r="M52" s="9">
        <f t="shared" si="8"/>
        <v>0.57808857808857805</v>
      </c>
      <c r="N52" s="9">
        <f t="shared" si="9"/>
        <v>0.42191142191142189</v>
      </c>
      <c r="P52">
        <f t="shared" si="10"/>
        <v>209.5</v>
      </c>
      <c r="Q52">
        <f t="shared" si="11"/>
        <v>239.5</v>
      </c>
    </row>
    <row r="53" spans="1:17" x14ac:dyDescent="0.35">
      <c r="A53">
        <v>2022</v>
      </c>
      <c r="B53" s="3">
        <v>188</v>
      </c>
      <c r="C53" s="7">
        <v>30</v>
      </c>
      <c r="D53" s="3">
        <f t="shared" si="0"/>
        <v>23.5</v>
      </c>
      <c r="E53" s="10">
        <f t="shared" si="1"/>
        <v>0.47</v>
      </c>
      <c r="F53" s="10">
        <f t="shared" si="2"/>
        <v>0.6</v>
      </c>
      <c r="G53" s="3">
        <f t="shared" si="3"/>
        <v>53.5</v>
      </c>
      <c r="H53" s="3">
        <f t="shared" si="7"/>
        <v>1</v>
      </c>
      <c r="I53" s="3">
        <f t="shared" si="4"/>
        <v>0.16529112811098307</v>
      </c>
      <c r="J53" s="3">
        <f t="shared" si="5"/>
        <v>-0.13918228452493411</v>
      </c>
      <c r="K53" s="3">
        <f t="shared" si="6"/>
        <v>0.97116943707466663</v>
      </c>
      <c r="L53" s="3">
        <f t="shared" si="12"/>
        <v>-2.9254328411499064E-2</v>
      </c>
      <c r="M53" s="9">
        <f t="shared" si="8"/>
        <v>0.56074766355140182</v>
      </c>
      <c r="N53" s="9">
        <f t="shared" si="9"/>
        <v>0.43925233644859812</v>
      </c>
      <c r="P53">
        <f t="shared" si="10"/>
        <v>155</v>
      </c>
      <c r="Q53">
        <f t="shared" si="11"/>
        <v>259</v>
      </c>
    </row>
    <row r="54" spans="1:17" x14ac:dyDescent="0.35">
      <c r="A54">
        <v>2022</v>
      </c>
      <c r="B54" s="3">
        <v>171</v>
      </c>
      <c r="C54" s="7">
        <v>32</v>
      </c>
      <c r="D54" s="3">
        <f t="shared" si="0"/>
        <v>21.375</v>
      </c>
      <c r="E54" s="10">
        <f t="shared" si="1"/>
        <v>0.42749999999999999</v>
      </c>
      <c r="F54" s="10">
        <f t="shared" si="2"/>
        <v>0.64</v>
      </c>
      <c r="G54" s="3">
        <f t="shared" si="3"/>
        <v>53.375</v>
      </c>
      <c r="H54" s="3">
        <f t="shared" si="7"/>
        <v>1</v>
      </c>
      <c r="I54" s="3">
        <f t="shared" si="4"/>
        <v>-0.47153286311765003</v>
      </c>
      <c r="J54" s="3">
        <f t="shared" si="5"/>
        <v>0.11731500415371279</v>
      </c>
      <c r="K54" s="3">
        <f t="shared" si="6"/>
        <v>0.96076683260315188</v>
      </c>
      <c r="L54" s="3">
        <f t="shared" si="12"/>
        <v>-4.0023529416759386E-2</v>
      </c>
      <c r="M54" s="9">
        <f t="shared" si="8"/>
        <v>0.59953161592505855</v>
      </c>
      <c r="N54" s="9">
        <f t="shared" si="9"/>
        <v>0.40046838407494145</v>
      </c>
      <c r="P54">
        <f t="shared" si="10"/>
        <v>278</v>
      </c>
      <c r="Q54">
        <f t="shared" si="11"/>
        <v>222</v>
      </c>
    </row>
    <row r="55" spans="1:17" x14ac:dyDescent="0.35">
      <c r="A55">
        <v>2022</v>
      </c>
      <c r="B55" s="3">
        <v>176</v>
      </c>
      <c r="C55" s="7">
        <v>31</v>
      </c>
      <c r="D55" s="3">
        <f t="shared" si="0"/>
        <v>22</v>
      </c>
      <c r="E55" s="10">
        <f t="shared" si="1"/>
        <v>0.44</v>
      </c>
      <c r="F55" s="10">
        <f t="shared" si="2"/>
        <v>0.62</v>
      </c>
      <c r="G55" s="3">
        <f t="shared" si="3"/>
        <v>53</v>
      </c>
      <c r="H55" s="3">
        <f t="shared" si="7"/>
        <v>1</v>
      </c>
      <c r="I55" s="3">
        <f t="shared" si="4"/>
        <v>-0.28423168922687558</v>
      </c>
      <c r="J55" s="3">
        <f t="shared" si="5"/>
        <v>-1.0933640185610671E-2</v>
      </c>
      <c r="K55" s="3">
        <f t="shared" si="6"/>
        <v>0.94778720255799842</v>
      </c>
      <c r="L55" s="3">
        <f t="shared" si="12"/>
        <v>-5.3625271799777587E-2</v>
      </c>
      <c r="M55" s="9">
        <f t="shared" si="8"/>
        <v>0.58490566037735847</v>
      </c>
      <c r="N55" s="9">
        <f t="shared" si="9"/>
        <v>0.41509433962264153</v>
      </c>
      <c r="P55">
        <f t="shared" si="10"/>
        <v>245.5</v>
      </c>
      <c r="Q55">
        <f t="shared" si="11"/>
        <v>239.5</v>
      </c>
    </row>
    <row r="56" spans="1:17" x14ac:dyDescent="0.35">
      <c r="A56">
        <v>2022</v>
      </c>
      <c r="B56" s="3">
        <v>143</v>
      </c>
      <c r="C56" s="7">
        <v>35</v>
      </c>
      <c r="D56" s="3">
        <f t="shared" si="0"/>
        <v>17.875</v>
      </c>
      <c r="E56" s="10">
        <f t="shared" si="1"/>
        <v>0.35749999999999998</v>
      </c>
      <c r="F56" s="10">
        <f t="shared" si="2"/>
        <v>0.7</v>
      </c>
      <c r="G56" s="3">
        <f t="shared" si="3"/>
        <v>52.875</v>
      </c>
      <c r="H56" s="3">
        <f t="shared" si="7"/>
        <v>1</v>
      </c>
      <c r="I56" s="3">
        <f t="shared" si="4"/>
        <v>-1.5204194369059869</v>
      </c>
      <c r="J56" s="3">
        <f t="shared" si="5"/>
        <v>0.50206093717168321</v>
      </c>
      <c r="K56" s="3">
        <f t="shared" si="6"/>
        <v>0.91622955585823607</v>
      </c>
      <c r="L56" s="3">
        <f t="shared" si="12"/>
        <v>-8.7488338872518126E-2</v>
      </c>
      <c r="M56" s="9">
        <f t="shared" si="8"/>
        <v>0.66193853427895977</v>
      </c>
      <c r="N56" s="9">
        <f t="shared" si="9"/>
        <v>0.33806146572104018</v>
      </c>
      <c r="P56">
        <f t="shared" si="10"/>
        <v>424</v>
      </c>
      <c r="Q56">
        <f t="shared" si="11"/>
        <v>171.5</v>
      </c>
    </row>
    <row r="57" spans="1:17" x14ac:dyDescent="0.35">
      <c r="A57">
        <v>2022</v>
      </c>
      <c r="B57" s="3">
        <v>142</v>
      </c>
      <c r="C57" s="7">
        <v>35</v>
      </c>
      <c r="D57" s="3">
        <f t="shared" si="0"/>
        <v>17.75</v>
      </c>
      <c r="E57" s="10">
        <f t="shared" si="1"/>
        <v>0.35499999999999998</v>
      </c>
      <c r="F57" s="10">
        <f t="shared" si="2"/>
        <v>0.7</v>
      </c>
      <c r="G57" s="3">
        <f t="shared" si="3"/>
        <v>52.75</v>
      </c>
      <c r="H57" s="3">
        <f t="shared" si="7"/>
        <v>1</v>
      </c>
      <c r="I57" s="3">
        <f t="shared" si="4"/>
        <v>-1.5578796716841419</v>
      </c>
      <c r="J57" s="3">
        <f t="shared" si="5"/>
        <v>0.50206093717168321</v>
      </c>
      <c r="K57" s="3">
        <f t="shared" si="6"/>
        <v>0.90560294302182587</v>
      </c>
      <c r="L57" s="3">
        <f t="shared" si="12"/>
        <v>-9.9154321735246215E-2</v>
      </c>
      <c r="M57" s="9">
        <f t="shared" si="8"/>
        <v>0.6635071090047393</v>
      </c>
      <c r="N57" s="9">
        <f t="shared" si="9"/>
        <v>0.33649289099526064</v>
      </c>
      <c r="P57">
        <f t="shared" si="10"/>
        <v>428</v>
      </c>
      <c r="Q57">
        <f t="shared" si="11"/>
        <v>171.5</v>
      </c>
    </row>
    <row r="58" spans="1:17" x14ac:dyDescent="0.35">
      <c r="A58">
        <v>2022</v>
      </c>
      <c r="B58" s="3">
        <v>173</v>
      </c>
      <c r="C58" s="7">
        <v>31</v>
      </c>
      <c r="D58" s="3">
        <f t="shared" si="0"/>
        <v>21.625</v>
      </c>
      <c r="E58" s="10">
        <f t="shared" si="1"/>
        <v>0.4325</v>
      </c>
      <c r="F58" s="10">
        <f t="shared" si="2"/>
        <v>0.62</v>
      </c>
      <c r="G58" s="3">
        <f t="shared" si="3"/>
        <v>52.625</v>
      </c>
      <c r="H58" s="3">
        <f t="shared" si="7"/>
        <v>1</v>
      </c>
      <c r="I58" s="3">
        <f t="shared" si="4"/>
        <v>-0.39661239356134026</v>
      </c>
      <c r="J58" s="3">
        <f t="shared" si="5"/>
        <v>-1.0933640185610671E-2</v>
      </c>
      <c r="K58" s="3">
        <f t="shared" si="6"/>
        <v>0.92452757311033251</v>
      </c>
      <c r="L58" s="3">
        <f t="shared" si="12"/>
        <v>-7.8472403710221766E-2</v>
      </c>
      <c r="M58" s="9">
        <f t="shared" si="8"/>
        <v>0.5890736342042755</v>
      </c>
      <c r="N58" s="9">
        <f t="shared" si="9"/>
        <v>0.41092636579572445</v>
      </c>
      <c r="P58">
        <f t="shared" si="10"/>
        <v>267</v>
      </c>
      <c r="Q58">
        <f t="shared" si="11"/>
        <v>239.5</v>
      </c>
    </row>
    <row r="59" spans="1:17" x14ac:dyDescent="0.35">
      <c r="A59">
        <v>2022</v>
      </c>
      <c r="B59" s="3">
        <v>235</v>
      </c>
      <c r="C59" s="7">
        <v>23</v>
      </c>
      <c r="D59" s="3">
        <f t="shared" si="0"/>
        <v>29.375</v>
      </c>
      <c r="E59" s="10">
        <f t="shared" si="1"/>
        <v>0.58750000000000002</v>
      </c>
      <c r="F59" s="10">
        <f t="shared" si="2"/>
        <v>0.46</v>
      </c>
      <c r="G59" s="3">
        <f t="shared" si="3"/>
        <v>52.375</v>
      </c>
      <c r="H59" s="3">
        <f t="shared" si="7"/>
        <v>1</v>
      </c>
      <c r="I59" s="3">
        <f t="shared" si="4"/>
        <v>1.9259221626842629</v>
      </c>
      <c r="J59" s="3">
        <f t="shared" si="5"/>
        <v>-1.0369227949001982</v>
      </c>
      <c r="K59" s="3">
        <f t="shared" si="6"/>
        <v>0.95231887690532846</v>
      </c>
      <c r="L59" s="3">
        <f t="shared" si="12"/>
        <v>-4.8855345543096701E-2</v>
      </c>
      <c r="M59" s="9">
        <f t="shared" si="8"/>
        <v>0.43914081145584727</v>
      </c>
      <c r="N59" s="9">
        <f t="shared" si="9"/>
        <v>0.56085918854415273</v>
      </c>
      <c r="P59">
        <f t="shared" si="10"/>
        <v>17.5</v>
      </c>
      <c r="Q59">
        <f t="shared" si="11"/>
        <v>352.5</v>
      </c>
    </row>
    <row r="60" spans="1:17" x14ac:dyDescent="0.35">
      <c r="A60">
        <v>2022</v>
      </c>
      <c r="B60" s="3">
        <v>195</v>
      </c>
      <c r="C60" s="7">
        <v>28</v>
      </c>
      <c r="D60" s="3">
        <f t="shared" si="0"/>
        <v>24.375</v>
      </c>
      <c r="E60" s="10">
        <f t="shared" si="1"/>
        <v>0.48749999999999999</v>
      </c>
      <c r="F60" s="10">
        <f t="shared" si="2"/>
        <v>0.56000000000000005</v>
      </c>
      <c r="G60" s="3">
        <f t="shared" si="3"/>
        <v>52.375</v>
      </c>
      <c r="H60" s="3">
        <f t="shared" si="7"/>
        <v>1</v>
      </c>
      <c r="I60" s="3">
        <f t="shared" si="4"/>
        <v>0.42751277155806727</v>
      </c>
      <c r="J60" s="3">
        <f t="shared" si="5"/>
        <v>-0.39567957320358105</v>
      </c>
      <c r="K60" s="3">
        <f t="shared" si="6"/>
        <v>0.92587348329366992</v>
      </c>
      <c r="L60" s="3">
        <f t="shared" si="12"/>
        <v>-7.7017680782959327E-2</v>
      </c>
      <c r="M60" s="9">
        <f t="shared" si="8"/>
        <v>0.53460620525059666</v>
      </c>
      <c r="N60" s="9">
        <f t="shared" si="9"/>
        <v>0.46539379474940334</v>
      </c>
      <c r="P60">
        <f t="shared" si="10"/>
        <v>113.5</v>
      </c>
      <c r="Q60">
        <f t="shared" si="11"/>
        <v>281.5</v>
      </c>
    </row>
    <row r="61" spans="1:17" x14ac:dyDescent="0.35">
      <c r="A61">
        <v>2022</v>
      </c>
      <c r="B61" s="3">
        <v>159</v>
      </c>
      <c r="C61" s="7">
        <v>32</v>
      </c>
      <c r="D61" s="3">
        <f t="shared" si="0"/>
        <v>19.875</v>
      </c>
      <c r="E61" s="10">
        <f t="shared" si="1"/>
        <v>0.39750000000000002</v>
      </c>
      <c r="F61" s="10">
        <f t="shared" si="2"/>
        <v>0.64</v>
      </c>
      <c r="G61" s="3">
        <f t="shared" si="3"/>
        <v>51.875</v>
      </c>
      <c r="H61" s="3">
        <f t="shared" si="7"/>
        <v>1</v>
      </c>
      <c r="I61" s="3">
        <f t="shared" si="4"/>
        <v>-0.92105568045550867</v>
      </c>
      <c r="J61" s="3">
        <f t="shared" si="5"/>
        <v>0.11731500415371279</v>
      </c>
      <c r="K61" s="3">
        <f t="shared" si="6"/>
        <v>0.83549201776684823</v>
      </c>
      <c r="L61" s="3">
        <f t="shared" si="12"/>
        <v>-0.17973448483212551</v>
      </c>
      <c r="M61" s="9">
        <f t="shared" si="8"/>
        <v>0.61686746987951813</v>
      </c>
      <c r="N61" s="9">
        <f t="shared" si="9"/>
        <v>0.38313253012048193</v>
      </c>
      <c r="P61">
        <f t="shared" si="10"/>
        <v>378</v>
      </c>
      <c r="Q61">
        <f t="shared" si="11"/>
        <v>222</v>
      </c>
    </row>
    <row r="62" spans="1:17" x14ac:dyDescent="0.35">
      <c r="A62">
        <v>2022</v>
      </c>
      <c r="B62" s="3">
        <v>165</v>
      </c>
      <c r="C62" s="7">
        <v>31</v>
      </c>
      <c r="D62" s="3">
        <f t="shared" si="0"/>
        <v>20.625</v>
      </c>
      <c r="E62" s="10">
        <f t="shared" si="1"/>
        <v>0.41249999999999998</v>
      </c>
      <c r="F62" s="10">
        <f t="shared" si="2"/>
        <v>0.62</v>
      </c>
      <c r="G62" s="3">
        <f t="shared" si="3"/>
        <v>51.625</v>
      </c>
      <c r="H62" s="3">
        <f t="shared" si="7"/>
        <v>1</v>
      </c>
      <c r="I62" s="3">
        <f t="shared" si="4"/>
        <v>-0.69629427178657943</v>
      </c>
      <c r="J62" s="3">
        <f t="shared" si="5"/>
        <v>-1.0933640185610671E-2</v>
      </c>
      <c r="K62" s="3">
        <f t="shared" si="6"/>
        <v>0.81103516251314733</v>
      </c>
      <c r="L62" s="3">
        <f t="shared" si="12"/>
        <v>-0.20944386882369193</v>
      </c>
      <c r="M62" s="9">
        <f t="shared" si="8"/>
        <v>0.6004842615012107</v>
      </c>
      <c r="N62" s="9">
        <f t="shared" si="9"/>
        <v>0.39951573849878935</v>
      </c>
      <c r="P62">
        <f t="shared" si="10"/>
        <v>342.5</v>
      </c>
      <c r="Q62">
        <f t="shared" si="11"/>
        <v>239.5</v>
      </c>
    </row>
    <row r="63" spans="1:17" x14ac:dyDescent="0.35">
      <c r="A63">
        <v>2022</v>
      </c>
      <c r="B63" s="3">
        <v>229</v>
      </c>
      <c r="C63" s="7">
        <v>23</v>
      </c>
      <c r="D63" s="3">
        <f t="shared" si="0"/>
        <v>28.625</v>
      </c>
      <c r="E63" s="10">
        <f t="shared" si="1"/>
        <v>0.57250000000000001</v>
      </c>
      <c r="F63" s="10">
        <f t="shared" si="2"/>
        <v>0.46</v>
      </c>
      <c r="G63" s="3">
        <f t="shared" si="3"/>
        <v>51.625</v>
      </c>
      <c r="H63" s="3">
        <f t="shared" si="7"/>
        <v>1</v>
      </c>
      <c r="I63" s="3">
        <f t="shared" si="4"/>
        <v>1.7011607540153335</v>
      </c>
      <c r="J63" s="3">
        <f t="shared" si="5"/>
        <v>-1.0369227949001982</v>
      </c>
      <c r="K63" s="3">
        <f t="shared" si="6"/>
        <v>0.90094692931352138</v>
      </c>
      <c r="L63" s="3">
        <f t="shared" si="12"/>
        <v>-0.10430892509136221</v>
      </c>
      <c r="M63" s="9">
        <f t="shared" si="8"/>
        <v>0.44552058111380144</v>
      </c>
      <c r="N63" s="9">
        <f t="shared" si="9"/>
        <v>0.55447941888619856</v>
      </c>
      <c r="P63">
        <f t="shared" si="10"/>
        <v>25.5</v>
      </c>
      <c r="Q63">
        <f t="shared" si="11"/>
        <v>352.5</v>
      </c>
    </row>
    <row r="64" spans="1:17" x14ac:dyDescent="0.35">
      <c r="A64">
        <v>2022</v>
      </c>
      <c r="B64" s="3">
        <v>192</v>
      </c>
      <c r="C64" s="7">
        <v>27</v>
      </c>
      <c r="D64" s="3">
        <f t="shared" si="0"/>
        <v>24</v>
      </c>
      <c r="E64" s="10">
        <f t="shared" si="1"/>
        <v>0.48</v>
      </c>
      <c r="F64" s="10">
        <f t="shared" si="2"/>
        <v>0.54</v>
      </c>
      <c r="G64" s="3">
        <f t="shared" si="3"/>
        <v>51</v>
      </c>
      <c r="H64" s="3">
        <f t="shared" si="7"/>
        <v>1</v>
      </c>
      <c r="I64" s="3">
        <f t="shared" si="4"/>
        <v>0.31513206722360265</v>
      </c>
      <c r="J64" s="3">
        <f t="shared" si="5"/>
        <v>-0.52392821754290453</v>
      </c>
      <c r="K64" s="3">
        <f t="shared" si="6"/>
        <v>0.7643705736025912</v>
      </c>
      <c r="L64" s="3">
        <f t="shared" si="12"/>
        <v>-0.26870256342897525</v>
      </c>
      <c r="M64" s="9">
        <f t="shared" si="8"/>
        <v>0.52941176470588236</v>
      </c>
      <c r="N64" s="9">
        <f t="shared" si="9"/>
        <v>0.47058823529411764</v>
      </c>
      <c r="P64">
        <f t="shared" si="10"/>
        <v>129.5</v>
      </c>
      <c r="Q64">
        <f t="shared" si="11"/>
        <v>294.5</v>
      </c>
    </row>
    <row r="65" spans="1:30" x14ac:dyDescent="0.35">
      <c r="A65">
        <v>2022</v>
      </c>
      <c r="B65" s="3">
        <v>191</v>
      </c>
      <c r="C65" s="7">
        <v>27</v>
      </c>
      <c r="D65" s="3">
        <f t="shared" si="0"/>
        <v>23.875</v>
      </c>
      <c r="E65" s="10">
        <f t="shared" si="1"/>
        <v>0.47749999999999998</v>
      </c>
      <c r="F65" s="10">
        <f t="shared" si="2"/>
        <v>0.54</v>
      </c>
      <c r="G65" s="3">
        <f t="shared" si="3"/>
        <v>50.875</v>
      </c>
      <c r="H65" s="3">
        <f t="shared" si="7"/>
        <v>1</v>
      </c>
      <c r="I65" s="3">
        <f t="shared" si="4"/>
        <v>0.27767183244544774</v>
      </c>
      <c r="J65" s="3">
        <f t="shared" si="5"/>
        <v>-0.52392821754290453</v>
      </c>
      <c r="K65" s="3">
        <f t="shared" si="6"/>
        <v>0.73994769980471564</v>
      </c>
      <c r="L65" s="3">
        <f t="shared" si="12"/>
        <v>-0.30117577122115696</v>
      </c>
      <c r="M65" s="9">
        <f t="shared" si="8"/>
        <v>0.53071253071253066</v>
      </c>
      <c r="N65" s="9">
        <f t="shared" si="9"/>
        <v>0.46928746928746928</v>
      </c>
      <c r="P65">
        <f t="shared" si="10"/>
        <v>137.5</v>
      </c>
      <c r="Q65">
        <f t="shared" si="11"/>
        <v>294.5</v>
      </c>
    </row>
    <row r="66" spans="1:30" x14ac:dyDescent="0.35">
      <c r="A66">
        <v>2022</v>
      </c>
      <c r="B66" s="3">
        <v>188</v>
      </c>
      <c r="C66" s="7">
        <v>27</v>
      </c>
      <c r="D66" s="3">
        <f t="shared" ref="D66:D110" si="13">B66 / 8</f>
        <v>23.5</v>
      </c>
      <c r="E66" s="10">
        <f t="shared" ref="E66:E116" si="14">B66 / 400</f>
        <v>0.47</v>
      </c>
      <c r="F66" s="10">
        <f t="shared" ref="F66:F129" si="15">C66 / 50</f>
        <v>0.54</v>
      </c>
      <c r="G66" s="3">
        <f t="shared" ref="G66:G129" si="16">SUM(D66 + C66)</f>
        <v>50.5</v>
      </c>
      <c r="H66" s="3">
        <f t="shared" si="7"/>
        <v>1</v>
      </c>
      <c r="I66" s="3">
        <f t="shared" ref="I66:I129" si="17" xml:space="preserve"> (D:D - AVERAGE(D:D)) / STDEV(D:D)</f>
        <v>0.16529112811098307</v>
      </c>
      <c r="J66" s="3">
        <f t="shared" ref="J66:J129" si="18" xml:space="preserve"> (C:C - AVERAGE(C:C)) / STDEV(C:C)</f>
        <v>-0.52392821754290453</v>
      </c>
      <c r="K66" s="3">
        <f t="shared" ref="K66:K129" si="19">1/(1+EXP(-($AD$68 +$AD$69 * I66 +$AD$70 * J66 )))</f>
        <v>0.65755331215727109</v>
      </c>
      <c r="L66" s="3">
        <f t="shared" si="12"/>
        <v>-0.41922943508834726</v>
      </c>
      <c r="M66" s="9">
        <f t="shared" si="8"/>
        <v>0.53465346534653468</v>
      </c>
      <c r="N66" s="9">
        <f t="shared" si="9"/>
        <v>0.46534653465346537</v>
      </c>
      <c r="P66">
        <f t="shared" si="10"/>
        <v>155</v>
      </c>
      <c r="Q66">
        <f t="shared" si="11"/>
        <v>294.5</v>
      </c>
    </row>
    <row r="67" spans="1:30" x14ac:dyDescent="0.35">
      <c r="A67">
        <v>2022</v>
      </c>
      <c r="B67" s="3">
        <v>196</v>
      </c>
      <c r="C67" s="7">
        <v>26</v>
      </c>
      <c r="D67" s="3">
        <f t="shared" si="13"/>
        <v>24.5</v>
      </c>
      <c r="E67" s="10">
        <f t="shared" si="14"/>
        <v>0.49</v>
      </c>
      <c r="F67" s="10">
        <f t="shared" si="15"/>
        <v>0.52</v>
      </c>
      <c r="G67" s="3">
        <f t="shared" si="16"/>
        <v>50.5</v>
      </c>
      <c r="H67" s="3">
        <f t="shared" ref="H67:H92" si="20">IF(G67&gt;=50,1,0)</f>
        <v>1</v>
      </c>
      <c r="I67" s="3">
        <f t="shared" si="17"/>
        <v>0.46497300633622218</v>
      </c>
      <c r="J67" s="3">
        <f t="shared" si="18"/>
        <v>-0.65217686188222801</v>
      </c>
      <c r="K67" s="3">
        <f t="shared" si="19"/>
        <v>0.67836974347541179</v>
      </c>
      <c r="L67" s="3">
        <f t="shared" si="12"/>
        <v>-0.38806279532892218</v>
      </c>
      <c r="M67" s="9">
        <f t="shared" ref="M67:M130" si="21">IF(G67=0, 0,  C67  / G67 )</f>
        <v>0.51485148514851486</v>
      </c>
      <c r="N67" s="9">
        <f t="shared" ref="N67:N130" si="22">IF(G67=0, 0,  D67  / G67 )</f>
        <v>0.48514851485148514</v>
      </c>
      <c r="P67">
        <f t="shared" ref="P67:P130" si="23">_xlfn.RANK.AVG(B67,$B$2:$B$435)</f>
        <v>106.5</v>
      </c>
      <c r="Q67">
        <f t="shared" si="11"/>
        <v>312.5</v>
      </c>
      <c r="AC67" t="s">
        <v>16</v>
      </c>
      <c r="AD67" t="s">
        <v>20</v>
      </c>
    </row>
    <row r="68" spans="1:30" x14ac:dyDescent="0.35">
      <c r="A68">
        <v>2022</v>
      </c>
      <c r="B68" s="3">
        <v>195</v>
      </c>
      <c r="C68" s="7">
        <v>26</v>
      </c>
      <c r="D68" s="3">
        <f t="shared" si="13"/>
        <v>24.375</v>
      </c>
      <c r="E68" s="10">
        <f t="shared" si="14"/>
        <v>0.48749999999999999</v>
      </c>
      <c r="F68" s="10">
        <f t="shared" si="15"/>
        <v>0.52</v>
      </c>
      <c r="G68" s="3">
        <f t="shared" si="16"/>
        <v>50.375</v>
      </c>
      <c r="H68" s="3">
        <f t="shared" si="20"/>
        <v>1</v>
      </c>
      <c r="I68" s="3">
        <f t="shared" si="17"/>
        <v>0.42751277155806727</v>
      </c>
      <c r="J68" s="3">
        <f t="shared" si="18"/>
        <v>-0.65217686188222801</v>
      </c>
      <c r="K68" s="3">
        <f t="shared" si="19"/>
        <v>0.64912476601564117</v>
      </c>
      <c r="L68" s="3">
        <f t="shared" si="12"/>
        <v>-0.43213033727889183</v>
      </c>
      <c r="M68" s="9">
        <f t="shared" si="21"/>
        <v>0.5161290322580645</v>
      </c>
      <c r="N68" s="9">
        <f t="shared" si="22"/>
        <v>0.4838709677419355</v>
      </c>
      <c r="P68">
        <f t="shared" si="23"/>
        <v>113.5</v>
      </c>
      <c r="Q68">
        <f t="shared" ref="Q68:Q131" si="24">_xlfn.RANK.AVG(C68,$C$2:$C$435)</f>
        <v>312.5</v>
      </c>
      <c r="AC68" t="s">
        <v>17</v>
      </c>
      <c r="AD68">
        <v>3.9749052683455957</v>
      </c>
    </row>
    <row r="69" spans="1:30" x14ac:dyDescent="0.35">
      <c r="A69">
        <v>2022</v>
      </c>
      <c r="B69" s="3">
        <v>202</v>
      </c>
      <c r="C69" s="7">
        <v>25</v>
      </c>
      <c r="D69" s="3">
        <f t="shared" si="13"/>
        <v>25.25</v>
      </c>
      <c r="E69" s="10">
        <f t="shared" si="14"/>
        <v>0.505</v>
      </c>
      <c r="F69" s="10">
        <f t="shared" si="15"/>
        <v>0.5</v>
      </c>
      <c r="G69" s="3">
        <f t="shared" si="16"/>
        <v>50.25</v>
      </c>
      <c r="H69" s="3">
        <f t="shared" si="20"/>
        <v>1</v>
      </c>
      <c r="I69" s="3">
        <f t="shared" si="17"/>
        <v>0.68973441500515154</v>
      </c>
      <c r="J69" s="3">
        <f t="shared" si="18"/>
        <v>-0.78042550622155138</v>
      </c>
      <c r="K69" s="3">
        <f t="shared" si="19"/>
        <v>0.64060215571524004</v>
      </c>
      <c r="L69" s="3">
        <f t="shared" ref="L69:L132" si="25">IF(K69=0, -1000, IF(K69=1, -1000, H69 * LN(K69) + (1 - H69) * LN(1 - K69)))</f>
        <v>-0.44534667666250716</v>
      </c>
      <c r="M69" s="9">
        <f t="shared" si="21"/>
        <v>0.49751243781094528</v>
      </c>
      <c r="N69" s="9">
        <f t="shared" si="22"/>
        <v>0.50248756218905477</v>
      </c>
      <c r="P69">
        <f t="shared" si="23"/>
        <v>74.5</v>
      </c>
      <c r="Q69">
        <f t="shared" si="24"/>
        <v>326</v>
      </c>
      <c r="AC69" t="s">
        <v>1</v>
      </c>
      <c r="AD69">
        <v>3.4995944407484498</v>
      </c>
    </row>
    <row r="70" spans="1:30" x14ac:dyDescent="0.35">
      <c r="A70">
        <v>2022</v>
      </c>
      <c r="B70" s="3">
        <v>193</v>
      </c>
      <c r="C70" s="7">
        <v>26</v>
      </c>
      <c r="D70" s="3">
        <f t="shared" si="13"/>
        <v>24.125</v>
      </c>
      <c r="E70" s="10">
        <f t="shared" si="14"/>
        <v>0.48249999999999998</v>
      </c>
      <c r="F70" s="10">
        <f t="shared" si="15"/>
        <v>0.52</v>
      </c>
      <c r="G70" s="3">
        <f t="shared" si="16"/>
        <v>50.125</v>
      </c>
      <c r="H70" s="3">
        <f t="shared" si="20"/>
        <v>1</v>
      </c>
      <c r="I70" s="3">
        <f t="shared" si="17"/>
        <v>0.35259230200175751</v>
      </c>
      <c r="J70" s="3">
        <f t="shared" si="18"/>
        <v>-0.65217686188222801</v>
      </c>
      <c r="K70" s="3">
        <f t="shared" si="19"/>
        <v>0.58734560417070925</v>
      </c>
      <c r="L70" s="3">
        <f t="shared" si="25"/>
        <v>-0.53214186891372395</v>
      </c>
      <c r="M70" s="9">
        <f t="shared" si="21"/>
        <v>0.51870324189526185</v>
      </c>
      <c r="N70" s="9">
        <f t="shared" si="22"/>
        <v>0.48129675810473815</v>
      </c>
      <c r="P70">
        <f t="shared" si="23"/>
        <v>124</v>
      </c>
      <c r="Q70">
        <f t="shared" si="24"/>
        <v>312.5</v>
      </c>
      <c r="AC70" t="s">
        <v>21</v>
      </c>
      <c r="AD70">
        <v>7.4455759329809199</v>
      </c>
    </row>
    <row r="71" spans="1:30" x14ac:dyDescent="0.35">
      <c r="A71">
        <v>2022</v>
      </c>
      <c r="B71" s="3">
        <v>143</v>
      </c>
      <c r="C71" s="7">
        <v>32</v>
      </c>
      <c r="D71" s="3">
        <f t="shared" si="13"/>
        <v>17.875</v>
      </c>
      <c r="E71" s="10">
        <f t="shared" si="14"/>
        <v>0.35749999999999998</v>
      </c>
      <c r="F71" s="10">
        <f t="shared" si="15"/>
        <v>0.64</v>
      </c>
      <c r="G71" s="3">
        <f t="shared" si="16"/>
        <v>49.875</v>
      </c>
      <c r="H71" s="3">
        <f t="shared" si="20"/>
        <v>0</v>
      </c>
      <c r="I71" s="3">
        <f t="shared" si="17"/>
        <v>-1.5204194369059869</v>
      </c>
      <c r="J71" s="3">
        <f t="shared" si="18"/>
        <v>0.11731500415371279</v>
      </c>
      <c r="K71" s="3">
        <f t="shared" si="19"/>
        <v>0.38403218037784453</v>
      </c>
      <c r="L71" s="3">
        <f t="shared" si="25"/>
        <v>-0.48456055768634354</v>
      </c>
      <c r="M71" s="9">
        <f t="shared" si="21"/>
        <v>0.64160401002506262</v>
      </c>
      <c r="N71" s="9">
        <f t="shared" si="22"/>
        <v>0.35839598997493732</v>
      </c>
      <c r="P71">
        <f t="shared" si="23"/>
        <v>424</v>
      </c>
      <c r="Q71">
        <f t="shared" si="24"/>
        <v>222</v>
      </c>
    </row>
    <row r="72" spans="1:30" x14ac:dyDescent="0.35">
      <c r="A72">
        <v>2022</v>
      </c>
      <c r="B72" s="3">
        <v>195</v>
      </c>
      <c r="C72" s="7">
        <v>25</v>
      </c>
      <c r="D72" s="3">
        <f t="shared" si="13"/>
        <v>24.375</v>
      </c>
      <c r="E72" s="10">
        <f t="shared" si="14"/>
        <v>0.48749999999999999</v>
      </c>
      <c r="F72" s="10">
        <f t="shared" si="15"/>
        <v>0.5</v>
      </c>
      <c r="G72" s="3">
        <f t="shared" si="16"/>
        <v>49.375</v>
      </c>
      <c r="H72" s="3">
        <f t="shared" si="20"/>
        <v>0</v>
      </c>
      <c r="I72" s="3">
        <f t="shared" si="17"/>
        <v>0.42751277155806727</v>
      </c>
      <c r="J72" s="3">
        <f t="shared" si="18"/>
        <v>-0.78042550622155138</v>
      </c>
      <c r="K72" s="3">
        <f t="shared" si="19"/>
        <v>0.41588459235931519</v>
      </c>
      <c r="L72" s="3">
        <f t="shared" si="25"/>
        <v>-0.53765669985425424</v>
      </c>
      <c r="M72" s="9">
        <f t="shared" si="21"/>
        <v>0.50632911392405067</v>
      </c>
      <c r="N72" s="9">
        <f t="shared" si="22"/>
        <v>0.49367088607594939</v>
      </c>
      <c r="P72">
        <f t="shared" si="23"/>
        <v>113.5</v>
      </c>
      <c r="Q72">
        <f t="shared" si="24"/>
        <v>326</v>
      </c>
    </row>
    <row r="73" spans="1:30" x14ac:dyDescent="0.35">
      <c r="A73">
        <v>2022</v>
      </c>
      <c r="B73" s="3">
        <v>185</v>
      </c>
      <c r="C73" s="7">
        <v>26</v>
      </c>
      <c r="D73" s="3">
        <f t="shared" si="13"/>
        <v>23.125</v>
      </c>
      <c r="E73" s="10">
        <f t="shared" si="14"/>
        <v>0.46250000000000002</v>
      </c>
      <c r="F73" s="10">
        <f t="shared" si="15"/>
        <v>0.52</v>
      </c>
      <c r="G73" s="3">
        <f t="shared" si="16"/>
        <v>49.125</v>
      </c>
      <c r="H73" s="3">
        <f t="shared" si="20"/>
        <v>0</v>
      </c>
      <c r="I73" s="3">
        <f t="shared" si="17"/>
        <v>5.2910423776518403E-2</v>
      </c>
      <c r="J73" s="3">
        <f t="shared" si="18"/>
        <v>-0.65217686188222801</v>
      </c>
      <c r="K73" s="3">
        <f t="shared" si="19"/>
        <v>0.33275250389330907</v>
      </c>
      <c r="L73" s="3">
        <f t="shared" si="25"/>
        <v>-0.404594243261021</v>
      </c>
      <c r="M73" s="9">
        <f t="shared" si="21"/>
        <v>0.52926208651399487</v>
      </c>
      <c r="N73" s="9">
        <f t="shared" si="22"/>
        <v>0.47073791348600508</v>
      </c>
      <c r="P73">
        <f t="shared" si="23"/>
        <v>179.5</v>
      </c>
      <c r="Q73">
        <f t="shared" si="24"/>
        <v>312.5</v>
      </c>
    </row>
    <row r="74" spans="1:30" x14ac:dyDescent="0.35">
      <c r="A74">
        <v>2022</v>
      </c>
      <c r="B74" s="3">
        <v>169</v>
      </c>
      <c r="C74" s="7">
        <v>28</v>
      </c>
      <c r="D74" s="3">
        <f t="shared" si="13"/>
        <v>21.125</v>
      </c>
      <c r="E74" s="10">
        <f t="shared" si="14"/>
        <v>0.42249999999999999</v>
      </c>
      <c r="F74" s="10">
        <f t="shared" si="15"/>
        <v>0.56000000000000005</v>
      </c>
      <c r="G74" s="3">
        <f t="shared" si="16"/>
        <v>49.125</v>
      </c>
      <c r="H74" s="3">
        <f t="shared" si="20"/>
        <v>0</v>
      </c>
      <c r="I74" s="3">
        <f t="shared" si="17"/>
        <v>-0.54645333267395979</v>
      </c>
      <c r="J74" s="3">
        <f t="shared" si="18"/>
        <v>-0.39567957320358105</v>
      </c>
      <c r="K74" s="3">
        <f t="shared" si="19"/>
        <v>0.29244844855253344</v>
      </c>
      <c r="L74" s="3">
        <f t="shared" si="25"/>
        <v>-0.34594478788251198</v>
      </c>
      <c r="M74" s="9">
        <f t="shared" si="21"/>
        <v>0.56997455470737912</v>
      </c>
      <c r="N74" s="9">
        <f t="shared" si="22"/>
        <v>0.43002544529262088</v>
      </c>
      <c r="P74">
        <f t="shared" si="23"/>
        <v>299</v>
      </c>
      <c r="Q74">
        <f t="shared" si="24"/>
        <v>281.5</v>
      </c>
    </row>
    <row r="75" spans="1:30" x14ac:dyDescent="0.35">
      <c r="A75">
        <v>2022</v>
      </c>
      <c r="B75" s="3">
        <v>207</v>
      </c>
      <c r="C75" s="7">
        <v>23</v>
      </c>
      <c r="D75" s="3">
        <f t="shared" si="13"/>
        <v>25.875</v>
      </c>
      <c r="E75" s="10">
        <f t="shared" si="14"/>
        <v>0.51749999999999996</v>
      </c>
      <c r="F75" s="10">
        <f t="shared" si="15"/>
        <v>0.46</v>
      </c>
      <c r="G75" s="3">
        <f t="shared" si="16"/>
        <v>48.875</v>
      </c>
      <c r="H75" s="3">
        <f t="shared" si="20"/>
        <v>0</v>
      </c>
      <c r="I75" s="3">
        <f t="shared" si="17"/>
        <v>0.87703558889592592</v>
      </c>
      <c r="J75" s="3">
        <f t="shared" si="18"/>
        <v>-1.0369227949001982</v>
      </c>
      <c r="K75" s="3">
        <f t="shared" si="19"/>
        <v>0.33708463940179867</v>
      </c>
      <c r="L75" s="3">
        <f t="shared" si="25"/>
        <v>-0.41110795818517948</v>
      </c>
      <c r="M75" s="9">
        <f t="shared" si="21"/>
        <v>0.47058823529411764</v>
      </c>
      <c r="N75" s="9">
        <f t="shared" si="22"/>
        <v>0.52941176470588236</v>
      </c>
      <c r="P75">
        <f t="shared" si="23"/>
        <v>58.5</v>
      </c>
      <c r="Q75">
        <f t="shared" si="24"/>
        <v>352.5</v>
      </c>
    </row>
    <row r="76" spans="1:30" x14ac:dyDescent="0.35">
      <c r="A76">
        <v>2022</v>
      </c>
      <c r="B76" s="3">
        <v>189</v>
      </c>
      <c r="C76" s="7">
        <v>25</v>
      </c>
      <c r="D76" s="3">
        <f t="shared" si="13"/>
        <v>23.625</v>
      </c>
      <c r="E76" s="10">
        <f t="shared" si="14"/>
        <v>0.47249999999999998</v>
      </c>
      <c r="F76" s="10">
        <f t="shared" si="15"/>
        <v>0.5</v>
      </c>
      <c r="G76" s="3">
        <f t="shared" si="16"/>
        <v>48.625</v>
      </c>
      <c r="H76" s="3">
        <f t="shared" si="20"/>
        <v>0</v>
      </c>
      <c r="I76" s="3">
        <f t="shared" si="17"/>
        <v>0.20275136288913795</v>
      </c>
      <c r="J76" s="3">
        <f t="shared" si="18"/>
        <v>-0.78042550622155138</v>
      </c>
      <c r="K76" s="3">
        <f t="shared" si="19"/>
        <v>0.2448511225246455</v>
      </c>
      <c r="L76" s="3">
        <f t="shared" si="25"/>
        <v>-0.28084036046317157</v>
      </c>
      <c r="M76" s="9">
        <f t="shared" si="21"/>
        <v>0.51413881748071977</v>
      </c>
      <c r="N76" s="9">
        <f t="shared" si="22"/>
        <v>0.48586118251928023</v>
      </c>
      <c r="P76">
        <f t="shared" si="23"/>
        <v>150</v>
      </c>
      <c r="Q76">
        <f t="shared" si="24"/>
        <v>326</v>
      </c>
    </row>
    <row r="77" spans="1:30" x14ac:dyDescent="0.35">
      <c r="A77">
        <v>2022</v>
      </c>
      <c r="B77" s="3">
        <v>164</v>
      </c>
      <c r="C77" s="7">
        <v>28</v>
      </c>
      <c r="D77" s="3">
        <f t="shared" si="13"/>
        <v>20.5</v>
      </c>
      <c r="E77" s="10">
        <f t="shared" si="14"/>
        <v>0.41</v>
      </c>
      <c r="F77" s="10">
        <f t="shared" si="15"/>
        <v>0.56000000000000005</v>
      </c>
      <c r="G77" s="3">
        <f t="shared" si="16"/>
        <v>48.5</v>
      </c>
      <c r="H77" s="3">
        <f t="shared" si="20"/>
        <v>0</v>
      </c>
      <c r="I77" s="3">
        <f t="shared" si="17"/>
        <v>-0.73375450656473429</v>
      </c>
      <c r="J77" s="3">
        <f t="shared" si="18"/>
        <v>-0.39567957320358105</v>
      </c>
      <c r="K77" s="3">
        <f t="shared" si="19"/>
        <v>0.17668065875633174</v>
      </c>
      <c r="L77" s="3">
        <f t="shared" si="25"/>
        <v>-0.1944111326135198</v>
      </c>
      <c r="M77" s="9">
        <f t="shared" si="21"/>
        <v>0.57731958762886593</v>
      </c>
      <c r="N77" s="9">
        <f t="shared" si="22"/>
        <v>0.42268041237113402</v>
      </c>
      <c r="P77">
        <f t="shared" si="23"/>
        <v>348.5</v>
      </c>
      <c r="Q77">
        <f t="shared" si="24"/>
        <v>281.5</v>
      </c>
    </row>
    <row r="78" spans="1:30" x14ac:dyDescent="0.35">
      <c r="A78">
        <v>2022</v>
      </c>
      <c r="B78" s="3">
        <v>155</v>
      </c>
      <c r="C78" s="7">
        <v>29</v>
      </c>
      <c r="D78" s="3">
        <f t="shared" si="13"/>
        <v>19.375</v>
      </c>
      <c r="E78" s="10">
        <f t="shared" si="14"/>
        <v>0.38750000000000001</v>
      </c>
      <c r="F78" s="10">
        <f t="shared" si="15"/>
        <v>0.57999999999999996</v>
      </c>
      <c r="G78" s="3">
        <f t="shared" si="16"/>
        <v>48.375</v>
      </c>
      <c r="H78" s="3">
        <f t="shared" si="20"/>
        <v>0</v>
      </c>
      <c r="I78" s="3">
        <f t="shared" si="17"/>
        <v>-1.0708966195681282</v>
      </c>
      <c r="J78" s="3">
        <f t="shared" si="18"/>
        <v>-0.26743092886425757</v>
      </c>
      <c r="K78" s="3">
        <f t="shared" si="19"/>
        <v>0.146293088397522</v>
      </c>
      <c r="L78" s="3">
        <f t="shared" si="25"/>
        <v>-0.15816733894326906</v>
      </c>
      <c r="M78" s="9">
        <f t="shared" si="21"/>
        <v>0.59948320413436695</v>
      </c>
      <c r="N78" s="9">
        <f t="shared" si="22"/>
        <v>0.4005167958656331</v>
      </c>
      <c r="P78">
        <f t="shared" si="23"/>
        <v>393.5</v>
      </c>
      <c r="Q78">
        <f t="shared" si="24"/>
        <v>272.5</v>
      </c>
    </row>
    <row r="79" spans="1:30" x14ac:dyDescent="0.35">
      <c r="A79">
        <v>2022</v>
      </c>
      <c r="B79" s="3">
        <v>146</v>
      </c>
      <c r="C79" s="7">
        <v>30</v>
      </c>
      <c r="D79" s="3">
        <f t="shared" si="13"/>
        <v>18.25</v>
      </c>
      <c r="E79" s="10">
        <f t="shared" si="14"/>
        <v>0.36499999999999999</v>
      </c>
      <c r="F79" s="10">
        <f t="shared" si="15"/>
        <v>0.6</v>
      </c>
      <c r="G79" s="3">
        <f t="shared" si="16"/>
        <v>48.25</v>
      </c>
      <c r="H79" s="3">
        <f t="shared" si="20"/>
        <v>0</v>
      </c>
      <c r="I79" s="3">
        <f t="shared" si="17"/>
        <v>-1.4080387325715222</v>
      </c>
      <c r="J79" s="3">
        <f t="shared" si="18"/>
        <v>-0.13918228452493411</v>
      </c>
      <c r="K79" s="3">
        <f t="shared" si="19"/>
        <v>0.12036783068785356</v>
      </c>
      <c r="L79" s="3">
        <f t="shared" si="25"/>
        <v>-0.12825144830982768</v>
      </c>
      <c r="M79" s="9">
        <f t="shared" si="21"/>
        <v>0.62176165803108807</v>
      </c>
      <c r="N79" s="9">
        <f t="shared" si="22"/>
        <v>0.37823834196891193</v>
      </c>
      <c r="P79">
        <f t="shared" si="23"/>
        <v>417</v>
      </c>
      <c r="Q79">
        <f t="shared" si="24"/>
        <v>259</v>
      </c>
    </row>
    <row r="80" spans="1:30" x14ac:dyDescent="0.35">
      <c r="A80">
        <v>2022</v>
      </c>
      <c r="B80" s="3">
        <v>168</v>
      </c>
      <c r="C80" s="7">
        <v>27</v>
      </c>
      <c r="D80" s="3">
        <f t="shared" si="13"/>
        <v>21</v>
      </c>
      <c r="E80" s="10">
        <f t="shared" si="14"/>
        <v>0.42</v>
      </c>
      <c r="F80" s="10">
        <f t="shared" si="15"/>
        <v>0.54</v>
      </c>
      <c r="G80" s="3">
        <f t="shared" si="16"/>
        <v>48</v>
      </c>
      <c r="H80" s="3">
        <f t="shared" si="20"/>
        <v>0</v>
      </c>
      <c r="I80" s="3">
        <f t="shared" si="17"/>
        <v>-0.58391356745211476</v>
      </c>
      <c r="J80" s="3">
        <f t="shared" si="18"/>
        <v>-0.52392821754290453</v>
      </c>
      <c r="K80" s="3">
        <f t="shared" si="19"/>
        <v>0.12244230818962645</v>
      </c>
      <c r="L80" s="3">
        <f t="shared" si="25"/>
        <v>-0.13061258015041952</v>
      </c>
      <c r="M80" s="9">
        <f t="shared" si="21"/>
        <v>0.5625</v>
      </c>
      <c r="N80" s="9">
        <f t="shared" si="22"/>
        <v>0.4375</v>
      </c>
      <c r="P80">
        <f t="shared" si="23"/>
        <v>311.5</v>
      </c>
      <c r="Q80">
        <f t="shared" si="24"/>
        <v>294.5</v>
      </c>
    </row>
    <row r="81" spans="1:17" x14ac:dyDescent="0.35">
      <c r="A81">
        <v>2022</v>
      </c>
      <c r="B81" s="3">
        <v>187</v>
      </c>
      <c r="C81" s="7">
        <v>24</v>
      </c>
      <c r="D81" s="3">
        <f t="shared" si="13"/>
        <v>23.375</v>
      </c>
      <c r="E81" s="10">
        <f t="shared" si="14"/>
        <v>0.46750000000000003</v>
      </c>
      <c r="F81" s="10">
        <f t="shared" si="15"/>
        <v>0.48</v>
      </c>
      <c r="G81" s="3">
        <f t="shared" si="16"/>
        <v>47.375</v>
      </c>
      <c r="H81" s="3">
        <f t="shared" si="20"/>
        <v>0</v>
      </c>
      <c r="I81" s="3">
        <f t="shared" si="17"/>
        <v>0.12783089333282818</v>
      </c>
      <c r="J81" s="3">
        <f t="shared" si="18"/>
        <v>-0.90867415056087486</v>
      </c>
      <c r="K81" s="3">
        <f t="shared" si="19"/>
        <v>8.7596535909936032E-2</v>
      </c>
      <c r="L81" s="3">
        <f t="shared" si="25"/>
        <v>-9.1672991899953177E-2</v>
      </c>
      <c r="M81" s="9">
        <f t="shared" si="21"/>
        <v>0.50659630606860162</v>
      </c>
      <c r="N81" s="9">
        <f t="shared" si="22"/>
        <v>0.49340369393139843</v>
      </c>
      <c r="P81">
        <f t="shared" si="23"/>
        <v>163</v>
      </c>
      <c r="Q81">
        <f t="shared" si="24"/>
        <v>335.5</v>
      </c>
    </row>
    <row r="82" spans="1:17" x14ac:dyDescent="0.35">
      <c r="A82">
        <v>2022</v>
      </c>
      <c r="B82" s="3">
        <v>191</v>
      </c>
      <c r="C82" s="7">
        <v>23</v>
      </c>
      <c r="D82" s="3">
        <f t="shared" si="13"/>
        <v>23.875</v>
      </c>
      <c r="E82" s="10">
        <f t="shared" si="14"/>
        <v>0.47749999999999998</v>
      </c>
      <c r="F82" s="10">
        <f t="shared" si="15"/>
        <v>0.46</v>
      </c>
      <c r="G82" s="3">
        <f t="shared" si="16"/>
        <v>46.875</v>
      </c>
      <c r="H82" s="3">
        <f t="shared" si="20"/>
        <v>0</v>
      </c>
      <c r="I82" s="3">
        <f t="shared" si="17"/>
        <v>0.27767183244544774</v>
      </c>
      <c r="J82" s="3">
        <f t="shared" si="18"/>
        <v>-1.0369227949001982</v>
      </c>
      <c r="K82" s="3">
        <f t="shared" si="19"/>
        <v>5.8754108230468345E-2</v>
      </c>
      <c r="L82" s="3">
        <f t="shared" si="25"/>
        <v>-6.0550864531442872E-2</v>
      </c>
      <c r="M82" s="9">
        <f t="shared" si="21"/>
        <v>0.49066666666666664</v>
      </c>
      <c r="N82" s="9">
        <f t="shared" si="22"/>
        <v>0.5093333333333333</v>
      </c>
      <c r="P82">
        <f t="shared" si="23"/>
        <v>137.5</v>
      </c>
      <c r="Q82">
        <f t="shared" si="24"/>
        <v>352.5</v>
      </c>
    </row>
    <row r="83" spans="1:17" x14ac:dyDescent="0.35">
      <c r="A83">
        <v>2022</v>
      </c>
      <c r="B83" s="3">
        <v>188</v>
      </c>
      <c r="C83" s="7">
        <v>23</v>
      </c>
      <c r="D83" s="3">
        <f t="shared" si="13"/>
        <v>23.5</v>
      </c>
      <c r="E83" s="10">
        <f t="shared" si="14"/>
        <v>0.47</v>
      </c>
      <c r="F83" s="10">
        <f t="shared" si="15"/>
        <v>0.46</v>
      </c>
      <c r="G83" s="3">
        <f t="shared" si="16"/>
        <v>46.5</v>
      </c>
      <c r="H83" s="3">
        <f t="shared" si="20"/>
        <v>0</v>
      </c>
      <c r="I83" s="3">
        <f t="shared" si="17"/>
        <v>0.16529112811098307</v>
      </c>
      <c r="J83" s="3">
        <f t="shared" si="18"/>
        <v>-1.0369227949001982</v>
      </c>
      <c r="K83" s="3">
        <f t="shared" si="19"/>
        <v>4.0421580648695249E-2</v>
      </c>
      <c r="L83" s="3">
        <f t="shared" si="25"/>
        <v>-4.1261237482379969E-2</v>
      </c>
      <c r="M83" s="9">
        <f t="shared" si="21"/>
        <v>0.4946236559139785</v>
      </c>
      <c r="N83" s="9">
        <f t="shared" si="22"/>
        <v>0.5053763440860215</v>
      </c>
      <c r="P83">
        <f t="shared" si="23"/>
        <v>155</v>
      </c>
      <c r="Q83">
        <f t="shared" si="24"/>
        <v>352.5</v>
      </c>
    </row>
    <row r="84" spans="1:17" x14ac:dyDescent="0.35">
      <c r="A84">
        <v>2022</v>
      </c>
      <c r="B84" s="3">
        <v>187</v>
      </c>
      <c r="C84" s="7">
        <v>23</v>
      </c>
      <c r="D84" s="3">
        <f t="shared" si="13"/>
        <v>23.375</v>
      </c>
      <c r="E84" s="10">
        <f t="shared" si="14"/>
        <v>0.46750000000000003</v>
      </c>
      <c r="F84" s="10">
        <f t="shared" si="15"/>
        <v>0.46</v>
      </c>
      <c r="G84" s="3">
        <f t="shared" si="16"/>
        <v>46.375</v>
      </c>
      <c r="H84" s="3">
        <f t="shared" si="20"/>
        <v>0</v>
      </c>
      <c r="I84" s="3">
        <f t="shared" si="17"/>
        <v>0.12783089333282818</v>
      </c>
      <c r="J84" s="3">
        <f t="shared" si="18"/>
        <v>-1.0369227949001982</v>
      </c>
      <c r="K84" s="3">
        <f t="shared" si="19"/>
        <v>3.5632103084811198E-2</v>
      </c>
      <c r="L84" s="3">
        <f t="shared" si="25"/>
        <v>-3.6282421371874624E-2</v>
      </c>
      <c r="M84" s="9">
        <f t="shared" si="21"/>
        <v>0.49595687331536387</v>
      </c>
      <c r="N84" s="9">
        <f t="shared" si="22"/>
        <v>0.50404312668463613</v>
      </c>
      <c r="P84">
        <f t="shared" si="23"/>
        <v>163</v>
      </c>
      <c r="Q84">
        <f t="shared" si="24"/>
        <v>352.5</v>
      </c>
    </row>
    <row r="85" spans="1:17" x14ac:dyDescent="0.35">
      <c r="A85">
        <v>2022</v>
      </c>
      <c r="B85" s="3">
        <v>170</v>
      </c>
      <c r="C85" s="7">
        <v>25</v>
      </c>
      <c r="D85" s="3">
        <f t="shared" si="13"/>
        <v>21.25</v>
      </c>
      <c r="E85" s="10">
        <f t="shared" si="14"/>
        <v>0.42499999999999999</v>
      </c>
      <c r="F85" s="10">
        <f t="shared" si="15"/>
        <v>0.5</v>
      </c>
      <c r="G85" s="3">
        <f t="shared" si="16"/>
        <v>46.25</v>
      </c>
      <c r="H85" s="3">
        <f t="shared" si="20"/>
        <v>0</v>
      </c>
      <c r="I85" s="3">
        <f t="shared" si="17"/>
        <v>-0.50899309789580494</v>
      </c>
      <c r="J85" s="3">
        <f t="shared" si="18"/>
        <v>-0.78042550622155138</v>
      </c>
      <c r="K85" s="3">
        <f t="shared" si="19"/>
        <v>2.6158318111057614E-2</v>
      </c>
      <c r="L85" s="3">
        <f t="shared" si="25"/>
        <v>-2.6506532813218308E-2</v>
      </c>
      <c r="M85" s="9">
        <f t="shared" si="21"/>
        <v>0.54054054054054057</v>
      </c>
      <c r="N85" s="9">
        <f t="shared" si="22"/>
        <v>0.45945945945945948</v>
      </c>
      <c r="P85">
        <f t="shared" si="23"/>
        <v>287.5</v>
      </c>
      <c r="Q85">
        <f t="shared" si="24"/>
        <v>326</v>
      </c>
    </row>
    <row r="86" spans="1:17" x14ac:dyDescent="0.35">
      <c r="A86">
        <v>2022</v>
      </c>
      <c r="B86" s="3">
        <v>152</v>
      </c>
      <c r="C86" s="7">
        <v>27</v>
      </c>
      <c r="D86" s="3">
        <f t="shared" si="13"/>
        <v>19</v>
      </c>
      <c r="E86" s="10">
        <f t="shared" si="14"/>
        <v>0.38</v>
      </c>
      <c r="F86" s="10">
        <f t="shared" si="15"/>
        <v>0.54</v>
      </c>
      <c r="G86" s="3">
        <f t="shared" si="16"/>
        <v>46</v>
      </c>
      <c r="H86" s="3">
        <f t="shared" si="20"/>
        <v>0</v>
      </c>
      <c r="I86" s="3">
        <f t="shared" si="17"/>
        <v>-1.1832773239025929</v>
      </c>
      <c r="J86" s="3">
        <f t="shared" si="18"/>
        <v>-0.52392821754290453</v>
      </c>
      <c r="K86" s="3">
        <f t="shared" si="19"/>
        <v>1.6839703009189987E-2</v>
      </c>
      <c r="L86" s="3">
        <f t="shared" si="25"/>
        <v>-1.6983102962658904E-2</v>
      </c>
      <c r="M86" s="9">
        <f t="shared" si="21"/>
        <v>0.58695652173913049</v>
      </c>
      <c r="N86" s="9">
        <f t="shared" si="22"/>
        <v>0.41304347826086957</v>
      </c>
      <c r="P86">
        <f t="shared" si="23"/>
        <v>398</v>
      </c>
      <c r="Q86">
        <f t="shared" si="24"/>
        <v>294.5</v>
      </c>
    </row>
    <row r="87" spans="1:17" x14ac:dyDescent="0.35">
      <c r="A87">
        <v>2022</v>
      </c>
      <c r="B87" s="3">
        <v>152</v>
      </c>
      <c r="C87" s="7">
        <v>27</v>
      </c>
      <c r="D87" s="3">
        <f t="shared" si="13"/>
        <v>19</v>
      </c>
      <c r="E87" s="10">
        <f t="shared" si="14"/>
        <v>0.38</v>
      </c>
      <c r="F87" s="10">
        <f t="shared" si="15"/>
        <v>0.54</v>
      </c>
      <c r="G87" s="3">
        <f t="shared" si="16"/>
        <v>46</v>
      </c>
      <c r="H87" s="3">
        <f t="shared" si="20"/>
        <v>0</v>
      </c>
      <c r="I87" s="3">
        <f t="shared" si="17"/>
        <v>-1.1832773239025929</v>
      </c>
      <c r="J87" s="3">
        <f t="shared" si="18"/>
        <v>-0.52392821754290453</v>
      </c>
      <c r="K87" s="3">
        <f t="shared" si="19"/>
        <v>1.6839703009189987E-2</v>
      </c>
      <c r="L87" s="3">
        <f t="shared" si="25"/>
        <v>-1.6983102962658904E-2</v>
      </c>
      <c r="M87" s="9">
        <f t="shared" si="21"/>
        <v>0.58695652173913049</v>
      </c>
      <c r="N87" s="9">
        <f t="shared" si="22"/>
        <v>0.41304347826086957</v>
      </c>
      <c r="P87">
        <f t="shared" si="23"/>
        <v>398</v>
      </c>
      <c r="Q87">
        <f t="shared" si="24"/>
        <v>294.5</v>
      </c>
    </row>
    <row r="88" spans="1:17" x14ac:dyDescent="0.35">
      <c r="A88">
        <v>2022</v>
      </c>
      <c r="B88" s="3">
        <v>197</v>
      </c>
      <c r="C88" s="7">
        <v>21</v>
      </c>
      <c r="D88" s="3">
        <f t="shared" si="13"/>
        <v>24.625</v>
      </c>
      <c r="E88" s="10">
        <f t="shared" si="14"/>
        <v>0.49249999999999999</v>
      </c>
      <c r="F88" s="10">
        <f t="shared" si="15"/>
        <v>0.42</v>
      </c>
      <c r="G88" s="3">
        <f t="shared" si="16"/>
        <v>45.625</v>
      </c>
      <c r="H88" s="3">
        <f t="shared" si="20"/>
        <v>0</v>
      </c>
      <c r="I88" s="3">
        <f t="shared" si="17"/>
        <v>0.50243324111437704</v>
      </c>
      <c r="J88" s="3">
        <f t="shared" si="18"/>
        <v>-1.2934200835788452</v>
      </c>
      <c r="K88" s="3">
        <f t="shared" si="19"/>
        <v>1.9897957563187137E-2</v>
      </c>
      <c r="L88" s="3">
        <f t="shared" si="25"/>
        <v>-2.0098587802620933E-2</v>
      </c>
      <c r="M88" s="9">
        <f t="shared" si="21"/>
        <v>0.46027397260273972</v>
      </c>
      <c r="N88" s="9">
        <f t="shared" si="22"/>
        <v>0.53972602739726028</v>
      </c>
      <c r="P88">
        <f t="shared" si="23"/>
        <v>102.5</v>
      </c>
      <c r="Q88">
        <f t="shared" si="24"/>
        <v>378.5</v>
      </c>
    </row>
    <row r="89" spans="1:17" x14ac:dyDescent="0.35">
      <c r="A89">
        <v>2022</v>
      </c>
      <c r="B89" s="3">
        <v>189</v>
      </c>
      <c r="C89" s="7">
        <v>22</v>
      </c>
      <c r="D89" s="3">
        <f t="shared" si="13"/>
        <v>23.625</v>
      </c>
      <c r="E89" s="10">
        <f t="shared" si="14"/>
        <v>0.47249999999999998</v>
      </c>
      <c r="F89" s="10">
        <f t="shared" si="15"/>
        <v>0.44</v>
      </c>
      <c r="G89" s="3">
        <f t="shared" si="16"/>
        <v>45.625</v>
      </c>
      <c r="H89" s="3">
        <f t="shared" si="20"/>
        <v>0</v>
      </c>
      <c r="I89" s="3">
        <f t="shared" si="17"/>
        <v>0.20275136288913795</v>
      </c>
      <c r="J89" s="3">
        <f t="shared" si="18"/>
        <v>-1.1651714392395218</v>
      </c>
      <c r="K89" s="3">
        <f t="shared" si="19"/>
        <v>1.8147298089147751E-2</v>
      </c>
      <c r="L89" s="3">
        <f t="shared" si="25"/>
        <v>-1.8313979932626283E-2</v>
      </c>
      <c r="M89" s="9">
        <f t="shared" si="21"/>
        <v>0.48219178082191783</v>
      </c>
      <c r="N89" s="9">
        <f t="shared" si="22"/>
        <v>0.51780821917808217</v>
      </c>
      <c r="P89">
        <f t="shared" si="23"/>
        <v>150</v>
      </c>
      <c r="Q89">
        <f t="shared" si="24"/>
        <v>370</v>
      </c>
    </row>
    <row r="90" spans="1:17" x14ac:dyDescent="0.35">
      <c r="A90">
        <v>2022</v>
      </c>
      <c r="B90" s="3">
        <v>186</v>
      </c>
      <c r="C90" s="7">
        <v>22</v>
      </c>
      <c r="D90" s="3">
        <f t="shared" si="13"/>
        <v>23.25</v>
      </c>
      <c r="E90" s="10">
        <f t="shared" si="14"/>
        <v>0.46500000000000002</v>
      </c>
      <c r="F90" s="10">
        <f t="shared" si="15"/>
        <v>0.44</v>
      </c>
      <c r="G90" s="3">
        <f t="shared" si="16"/>
        <v>45.25</v>
      </c>
      <c r="H90" s="3">
        <f t="shared" si="20"/>
        <v>0</v>
      </c>
      <c r="I90" s="3">
        <f t="shared" si="17"/>
        <v>9.03706585546733E-2</v>
      </c>
      <c r="J90" s="3">
        <f t="shared" si="18"/>
        <v>-1.1651714392395218</v>
      </c>
      <c r="K90" s="3">
        <f t="shared" si="19"/>
        <v>1.2319127537328525E-2</v>
      </c>
      <c r="L90" s="3">
        <f t="shared" si="25"/>
        <v>-1.2395636991453589E-2</v>
      </c>
      <c r="M90" s="9">
        <f t="shared" si="21"/>
        <v>0.48618784530386738</v>
      </c>
      <c r="N90" s="9">
        <f t="shared" si="22"/>
        <v>0.51381215469613262</v>
      </c>
      <c r="P90">
        <f t="shared" si="23"/>
        <v>171.5</v>
      </c>
      <c r="Q90">
        <f t="shared" si="24"/>
        <v>370</v>
      </c>
    </row>
    <row r="91" spans="1:17" x14ac:dyDescent="0.35">
      <c r="A91">
        <v>2022</v>
      </c>
      <c r="B91" s="3">
        <v>169</v>
      </c>
      <c r="C91" s="7">
        <v>24</v>
      </c>
      <c r="D91" s="3">
        <f t="shared" si="13"/>
        <v>21.125</v>
      </c>
      <c r="E91" s="10">
        <f t="shared" si="14"/>
        <v>0.42249999999999999</v>
      </c>
      <c r="F91" s="10">
        <f t="shared" si="15"/>
        <v>0.48</v>
      </c>
      <c r="G91" s="3">
        <f t="shared" si="16"/>
        <v>45.125</v>
      </c>
      <c r="H91" s="3">
        <f t="shared" si="20"/>
        <v>0</v>
      </c>
      <c r="I91" s="3">
        <f t="shared" si="17"/>
        <v>-0.54645333267395979</v>
      </c>
      <c r="J91" s="3">
        <f t="shared" si="18"/>
        <v>-0.90867415056087486</v>
      </c>
      <c r="K91" s="3">
        <f t="shared" si="19"/>
        <v>8.9859883125764563E-3</v>
      </c>
      <c r="L91" s="3">
        <f t="shared" si="25"/>
        <v>-9.0266058142385881E-3</v>
      </c>
      <c r="M91" s="9">
        <f t="shared" si="21"/>
        <v>0.53185595567867039</v>
      </c>
      <c r="N91" s="9">
        <f t="shared" si="22"/>
        <v>0.46814404432132967</v>
      </c>
      <c r="P91">
        <f t="shared" si="23"/>
        <v>299</v>
      </c>
      <c r="Q91">
        <f t="shared" si="24"/>
        <v>335.5</v>
      </c>
    </row>
    <row r="92" spans="1:17" x14ac:dyDescent="0.35">
      <c r="A92">
        <v>2022</v>
      </c>
      <c r="B92" s="3">
        <v>201</v>
      </c>
      <c r="C92" s="7">
        <v>20</v>
      </c>
      <c r="D92" s="3">
        <f t="shared" si="13"/>
        <v>25.125</v>
      </c>
      <c r="E92" s="10">
        <f t="shared" si="14"/>
        <v>0.50249999999999995</v>
      </c>
      <c r="F92" s="10">
        <f t="shared" si="15"/>
        <v>0.4</v>
      </c>
      <c r="G92" s="3">
        <f t="shared" si="16"/>
        <v>45.125</v>
      </c>
      <c r="H92" s="3">
        <f t="shared" si="20"/>
        <v>0</v>
      </c>
      <c r="I92" s="3">
        <f t="shared" si="17"/>
        <v>0.65227418022699668</v>
      </c>
      <c r="J92" s="3">
        <f t="shared" si="18"/>
        <v>-1.4216687279181688</v>
      </c>
      <c r="K92" s="3">
        <f t="shared" si="19"/>
        <v>1.3027983038348942E-2</v>
      </c>
      <c r="L92" s="3">
        <f t="shared" si="25"/>
        <v>-1.3113591559839398E-2</v>
      </c>
      <c r="M92" s="9">
        <f t="shared" si="21"/>
        <v>0.44321329639889195</v>
      </c>
      <c r="N92" s="9">
        <f t="shared" si="22"/>
        <v>0.55678670360110805</v>
      </c>
      <c r="P92">
        <f t="shared" si="23"/>
        <v>78.5</v>
      </c>
      <c r="Q92">
        <f t="shared" si="24"/>
        <v>386</v>
      </c>
    </row>
    <row r="93" spans="1:17" x14ac:dyDescent="0.35">
      <c r="A93">
        <v>2022</v>
      </c>
      <c r="B93" s="3">
        <v>204</v>
      </c>
      <c r="C93" s="7">
        <v>19</v>
      </c>
      <c r="D93" s="3">
        <f t="shared" si="13"/>
        <v>25.5</v>
      </c>
      <c r="E93" s="10">
        <f t="shared" si="14"/>
        <v>0.51</v>
      </c>
      <c r="F93" s="10">
        <f t="shared" si="15"/>
        <v>0.38</v>
      </c>
      <c r="G93" s="3">
        <f t="shared" si="16"/>
        <v>44.5</v>
      </c>
      <c r="H93" s="3">
        <f>IF(G93&gt;=50,1,0)</f>
        <v>0</v>
      </c>
      <c r="I93" s="3">
        <f t="shared" si="17"/>
        <v>0.76465488456146125</v>
      </c>
      <c r="J93" s="3">
        <f t="shared" si="18"/>
        <v>-1.5499173722574922</v>
      </c>
      <c r="K93" s="3">
        <f t="shared" si="19"/>
        <v>7.4716461775592583E-3</v>
      </c>
      <c r="L93" s="3">
        <f t="shared" si="25"/>
        <v>-7.4996987457877527E-3</v>
      </c>
      <c r="M93" s="9">
        <f t="shared" si="21"/>
        <v>0.42696629213483145</v>
      </c>
      <c r="N93" s="9">
        <f t="shared" si="22"/>
        <v>0.5730337078651685</v>
      </c>
      <c r="P93">
        <f t="shared" si="23"/>
        <v>68.5</v>
      </c>
      <c r="Q93">
        <f t="shared" si="24"/>
        <v>397.5</v>
      </c>
    </row>
    <row r="94" spans="1:17" x14ac:dyDescent="0.35">
      <c r="A94">
        <v>2022</v>
      </c>
      <c r="B94" s="3">
        <v>178</v>
      </c>
      <c r="C94" s="7">
        <v>22</v>
      </c>
      <c r="D94" s="3">
        <f t="shared" si="13"/>
        <v>22.25</v>
      </c>
      <c r="E94" s="10">
        <f t="shared" si="14"/>
        <v>0.44500000000000001</v>
      </c>
      <c r="F94" s="10">
        <f t="shared" si="15"/>
        <v>0.44</v>
      </c>
      <c r="G94" s="3">
        <f t="shared" si="16"/>
        <v>44.25</v>
      </c>
      <c r="H94" s="3">
        <f t="shared" ref="H94:H157" si="26">IF(G94&gt;=50,1,0)</f>
        <v>0</v>
      </c>
      <c r="I94" s="3">
        <f t="shared" si="17"/>
        <v>-0.20931121967056582</v>
      </c>
      <c r="J94" s="3">
        <f t="shared" si="18"/>
        <v>-1.1651714392395218</v>
      </c>
      <c r="K94" s="3">
        <f t="shared" si="19"/>
        <v>4.3510760020353751E-3</v>
      </c>
      <c r="L94" s="3">
        <f t="shared" si="25"/>
        <v>-4.3605694811306413E-3</v>
      </c>
      <c r="M94" s="9">
        <f t="shared" si="21"/>
        <v>0.49717514124293788</v>
      </c>
      <c r="N94" s="9">
        <f t="shared" si="22"/>
        <v>0.50282485875706218</v>
      </c>
      <c r="P94">
        <f t="shared" si="23"/>
        <v>230.5</v>
      </c>
      <c r="Q94">
        <f t="shared" si="24"/>
        <v>370</v>
      </c>
    </row>
    <row r="95" spans="1:17" x14ac:dyDescent="0.35">
      <c r="A95">
        <v>2022</v>
      </c>
      <c r="B95" s="3">
        <v>169</v>
      </c>
      <c r="C95" s="7">
        <v>23</v>
      </c>
      <c r="D95" s="3">
        <f t="shared" si="13"/>
        <v>21.125</v>
      </c>
      <c r="E95" s="10">
        <f t="shared" si="14"/>
        <v>0.42249999999999999</v>
      </c>
      <c r="F95" s="10">
        <f t="shared" si="15"/>
        <v>0.46</v>
      </c>
      <c r="G95" s="3">
        <f t="shared" si="16"/>
        <v>44.125</v>
      </c>
      <c r="H95" s="3">
        <f t="shared" si="26"/>
        <v>0</v>
      </c>
      <c r="I95" s="3">
        <f t="shared" si="17"/>
        <v>-0.54645333267395979</v>
      </c>
      <c r="J95" s="3">
        <f t="shared" si="18"/>
        <v>-1.0369227949001982</v>
      </c>
      <c r="K95" s="3">
        <f t="shared" si="19"/>
        <v>3.477537741023602E-3</v>
      </c>
      <c r="L95" s="3">
        <f t="shared" si="25"/>
        <v>-3.4835984303236236E-3</v>
      </c>
      <c r="M95" s="9">
        <f t="shared" si="21"/>
        <v>0.52124645892351273</v>
      </c>
      <c r="N95" s="9">
        <f t="shared" si="22"/>
        <v>0.47875354107648727</v>
      </c>
      <c r="P95">
        <f t="shared" si="23"/>
        <v>299</v>
      </c>
      <c r="Q95">
        <f t="shared" si="24"/>
        <v>352.5</v>
      </c>
    </row>
    <row r="96" spans="1:17" x14ac:dyDescent="0.35">
      <c r="A96">
        <v>2022</v>
      </c>
      <c r="B96" s="3">
        <v>136</v>
      </c>
      <c r="C96" s="7">
        <v>27</v>
      </c>
      <c r="D96" s="3">
        <f t="shared" si="13"/>
        <v>17</v>
      </c>
      <c r="E96" s="10">
        <f t="shared" si="14"/>
        <v>0.34</v>
      </c>
      <c r="F96" s="10">
        <f t="shared" si="15"/>
        <v>0.54</v>
      </c>
      <c r="G96" s="3">
        <f t="shared" si="16"/>
        <v>44</v>
      </c>
      <c r="H96" s="3">
        <f t="shared" si="26"/>
        <v>0</v>
      </c>
      <c r="I96" s="3">
        <f t="shared" si="17"/>
        <v>-1.7826410803530712</v>
      </c>
      <c r="J96" s="3">
        <f t="shared" si="18"/>
        <v>-0.52392821754290453</v>
      </c>
      <c r="K96" s="3">
        <f t="shared" si="19"/>
        <v>2.0982254751933911E-3</v>
      </c>
      <c r="L96" s="3">
        <f t="shared" si="25"/>
        <v>-2.10042983430043E-3</v>
      </c>
      <c r="M96" s="9">
        <f t="shared" si="21"/>
        <v>0.61363636363636365</v>
      </c>
      <c r="N96" s="9">
        <f t="shared" si="22"/>
        <v>0.38636363636363635</v>
      </c>
      <c r="P96">
        <f t="shared" si="23"/>
        <v>433.5</v>
      </c>
      <c r="Q96">
        <f t="shared" si="24"/>
        <v>294.5</v>
      </c>
    </row>
    <row r="97" spans="1:17" x14ac:dyDescent="0.35">
      <c r="A97">
        <v>2022</v>
      </c>
      <c r="B97" s="3">
        <v>168</v>
      </c>
      <c r="C97" s="7">
        <v>23</v>
      </c>
      <c r="D97" s="3">
        <f t="shared" si="13"/>
        <v>21</v>
      </c>
      <c r="E97" s="10">
        <f t="shared" si="14"/>
        <v>0.42</v>
      </c>
      <c r="F97" s="10">
        <f t="shared" si="15"/>
        <v>0.46</v>
      </c>
      <c r="G97" s="3">
        <f t="shared" si="16"/>
        <v>44</v>
      </c>
      <c r="H97" s="3">
        <f t="shared" si="26"/>
        <v>0</v>
      </c>
      <c r="I97" s="3">
        <f t="shared" si="17"/>
        <v>-0.58391356745211476</v>
      </c>
      <c r="J97" s="3">
        <f t="shared" si="18"/>
        <v>-1.0369227949001982</v>
      </c>
      <c r="K97" s="3">
        <f t="shared" si="19"/>
        <v>3.0515700575462412E-3</v>
      </c>
      <c r="L97" s="3">
        <f t="shared" si="25"/>
        <v>-3.0562355913406622E-3</v>
      </c>
      <c r="M97" s="9">
        <f t="shared" si="21"/>
        <v>0.52272727272727271</v>
      </c>
      <c r="N97" s="9">
        <f t="shared" si="22"/>
        <v>0.47727272727272729</v>
      </c>
      <c r="P97">
        <f t="shared" si="23"/>
        <v>311.5</v>
      </c>
      <c r="Q97">
        <f t="shared" si="24"/>
        <v>352.5</v>
      </c>
    </row>
    <row r="98" spans="1:17" x14ac:dyDescent="0.35">
      <c r="A98">
        <v>2022</v>
      </c>
      <c r="B98" s="3">
        <v>176</v>
      </c>
      <c r="C98" s="7">
        <v>22</v>
      </c>
      <c r="D98" s="3">
        <f t="shared" si="13"/>
        <v>22</v>
      </c>
      <c r="E98" s="10">
        <f t="shared" si="14"/>
        <v>0.44</v>
      </c>
      <c r="F98" s="10">
        <f t="shared" si="15"/>
        <v>0.44</v>
      </c>
      <c r="G98" s="3">
        <f t="shared" si="16"/>
        <v>44</v>
      </c>
      <c r="H98" s="3">
        <f t="shared" si="26"/>
        <v>0</v>
      </c>
      <c r="I98" s="3">
        <f t="shared" si="17"/>
        <v>-0.28423168922687558</v>
      </c>
      <c r="J98" s="3">
        <f t="shared" si="18"/>
        <v>-1.1651714392395218</v>
      </c>
      <c r="K98" s="3">
        <f t="shared" si="19"/>
        <v>3.3509233400956075E-3</v>
      </c>
      <c r="L98" s="3">
        <f t="shared" si="25"/>
        <v>-3.3565502574734642E-3</v>
      </c>
      <c r="M98" s="9">
        <f t="shared" si="21"/>
        <v>0.5</v>
      </c>
      <c r="N98" s="9">
        <f t="shared" si="22"/>
        <v>0.5</v>
      </c>
      <c r="P98">
        <f t="shared" si="23"/>
        <v>245.5</v>
      </c>
      <c r="Q98">
        <f t="shared" si="24"/>
        <v>370</v>
      </c>
    </row>
    <row r="99" spans="1:17" x14ac:dyDescent="0.35">
      <c r="A99">
        <v>2022</v>
      </c>
      <c r="B99" s="3">
        <v>191</v>
      </c>
      <c r="C99" s="7">
        <v>20</v>
      </c>
      <c r="D99" s="3">
        <f t="shared" si="13"/>
        <v>23.875</v>
      </c>
      <c r="E99" s="10">
        <f t="shared" si="14"/>
        <v>0.47749999999999998</v>
      </c>
      <c r="F99" s="10">
        <f t="shared" si="15"/>
        <v>0.4</v>
      </c>
      <c r="G99" s="3">
        <f t="shared" si="16"/>
        <v>43.875</v>
      </c>
      <c r="H99" s="3">
        <f t="shared" si="26"/>
        <v>0</v>
      </c>
      <c r="I99" s="3">
        <f t="shared" si="17"/>
        <v>0.27767183244544774</v>
      </c>
      <c r="J99" s="3">
        <f t="shared" si="18"/>
        <v>-1.4216687279181688</v>
      </c>
      <c r="K99" s="3">
        <f t="shared" si="19"/>
        <v>3.5455914662601935E-3</v>
      </c>
      <c r="L99" s="3">
        <f t="shared" si="25"/>
        <v>-3.5518919727730571E-3</v>
      </c>
      <c r="M99" s="9">
        <f t="shared" si="21"/>
        <v>0.45584045584045585</v>
      </c>
      <c r="N99" s="9">
        <f t="shared" si="22"/>
        <v>0.54415954415954415</v>
      </c>
      <c r="P99">
        <f t="shared" si="23"/>
        <v>137.5</v>
      </c>
      <c r="Q99">
        <f t="shared" si="24"/>
        <v>386</v>
      </c>
    </row>
    <row r="100" spans="1:17" x14ac:dyDescent="0.35">
      <c r="A100">
        <v>2022</v>
      </c>
      <c r="B100" s="3">
        <v>167</v>
      </c>
      <c r="C100" s="7">
        <v>23</v>
      </c>
      <c r="D100" s="3">
        <f t="shared" si="13"/>
        <v>20.875</v>
      </c>
      <c r="E100" s="10">
        <f t="shared" si="14"/>
        <v>0.41749999999999998</v>
      </c>
      <c r="F100" s="10">
        <f t="shared" si="15"/>
        <v>0.46</v>
      </c>
      <c r="G100" s="3">
        <f t="shared" si="16"/>
        <v>43.875</v>
      </c>
      <c r="H100" s="3">
        <f t="shared" si="26"/>
        <v>0</v>
      </c>
      <c r="I100" s="3">
        <f t="shared" si="17"/>
        <v>-0.62137380223026961</v>
      </c>
      <c r="J100" s="3">
        <f t="shared" si="18"/>
        <v>-1.0369227949001982</v>
      </c>
      <c r="K100" s="3">
        <f t="shared" si="19"/>
        <v>2.677639456567384E-3</v>
      </c>
      <c r="L100" s="3">
        <f t="shared" si="25"/>
        <v>-2.6812307453139132E-3</v>
      </c>
      <c r="M100" s="9">
        <f t="shared" si="21"/>
        <v>0.5242165242165242</v>
      </c>
      <c r="N100" s="9">
        <f t="shared" si="22"/>
        <v>0.4757834757834758</v>
      </c>
      <c r="P100">
        <f t="shared" si="23"/>
        <v>323</v>
      </c>
      <c r="Q100">
        <f t="shared" si="24"/>
        <v>352.5</v>
      </c>
    </row>
    <row r="101" spans="1:17" x14ac:dyDescent="0.35">
      <c r="A101">
        <v>2022</v>
      </c>
      <c r="B101" s="3">
        <v>151</v>
      </c>
      <c r="C101" s="7">
        <v>25</v>
      </c>
      <c r="D101" s="3">
        <f t="shared" si="13"/>
        <v>18.875</v>
      </c>
      <c r="E101" s="10">
        <f t="shared" si="14"/>
        <v>0.3775</v>
      </c>
      <c r="F101" s="10">
        <f t="shared" si="15"/>
        <v>0.5</v>
      </c>
      <c r="G101" s="3">
        <f t="shared" si="16"/>
        <v>43.875</v>
      </c>
      <c r="H101" s="3">
        <f t="shared" si="26"/>
        <v>0</v>
      </c>
      <c r="I101" s="3">
        <f t="shared" si="17"/>
        <v>-1.2207375586807478</v>
      </c>
      <c r="J101" s="3">
        <f t="shared" si="18"/>
        <v>-0.78042550622155138</v>
      </c>
      <c r="K101" s="3">
        <f t="shared" si="19"/>
        <v>2.2202816486973876E-3</v>
      </c>
      <c r="L101" s="3">
        <f t="shared" si="25"/>
        <v>-2.2227501284875638E-3</v>
      </c>
      <c r="M101" s="9">
        <f t="shared" si="21"/>
        <v>0.56980056980056981</v>
      </c>
      <c r="N101" s="9">
        <f t="shared" si="22"/>
        <v>0.43019943019943019</v>
      </c>
      <c r="P101">
        <f t="shared" si="23"/>
        <v>402.5</v>
      </c>
      <c r="Q101">
        <f t="shared" si="24"/>
        <v>326</v>
      </c>
    </row>
    <row r="102" spans="1:17" x14ac:dyDescent="0.35">
      <c r="A102">
        <v>2022</v>
      </c>
      <c r="B102" s="3">
        <v>173</v>
      </c>
      <c r="C102" s="7">
        <v>22</v>
      </c>
      <c r="D102" s="3">
        <f t="shared" si="13"/>
        <v>21.625</v>
      </c>
      <c r="E102" s="10">
        <f t="shared" si="14"/>
        <v>0.4325</v>
      </c>
      <c r="F102" s="10">
        <f t="shared" si="15"/>
        <v>0.44</v>
      </c>
      <c r="G102" s="3">
        <f t="shared" si="16"/>
        <v>43.625</v>
      </c>
      <c r="H102" s="3">
        <f t="shared" si="26"/>
        <v>0</v>
      </c>
      <c r="I102" s="3">
        <f t="shared" si="17"/>
        <v>-0.39661239356134026</v>
      </c>
      <c r="J102" s="3">
        <f t="shared" si="18"/>
        <v>-1.1651714392395218</v>
      </c>
      <c r="K102" s="3">
        <f t="shared" si="19"/>
        <v>2.263787374955147E-3</v>
      </c>
      <c r="L102" s="3">
        <f t="shared" si="25"/>
        <v>-2.2663536152744443E-3</v>
      </c>
      <c r="M102" s="9">
        <f t="shared" si="21"/>
        <v>0.50429799426934097</v>
      </c>
      <c r="N102" s="9">
        <f t="shared" si="22"/>
        <v>0.49570200573065903</v>
      </c>
      <c r="P102">
        <f t="shared" si="23"/>
        <v>267</v>
      </c>
      <c r="Q102">
        <f t="shared" si="24"/>
        <v>370</v>
      </c>
    </row>
    <row r="103" spans="1:17" x14ac:dyDescent="0.35">
      <c r="A103">
        <v>2022</v>
      </c>
      <c r="B103" s="3">
        <v>180</v>
      </c>
      <c r="C103" s="7">
        <v>21</v>
      </c>
      <c r="D103" s="3">
        <f t="shared" si="13"/>
        <v>22.5</v>
      </c>
      <c r="E103" s="10">
        <f t="shared" si="14"/>
        <v>0.45</v>
      </c>
      <c r="F103" s="10">
        <f t="shared" si="15"/>
        <v>0.42</v>
      </c>
      <c r="G103" s="3">
        <f t="shared" si="16"/>
        <v>43.5</v>
      </c>
      <c r="H103" s="3">
        <f t="shared" si="26"/>
        <v>0</v>
      </c>
      <c r="I103" s="3">
        <f t="shared" si="17"/>
        <v>-0.13439075011425605</v>
      </c>
      <c r="J103" s="3">
        <f t="shared" si="18"/>
        <v>-1.2934200835788452</v>
      </c>
      <c r="K103" s="3">
        <f t="shared" si="19"/>
        <v>2.1812679353518764E-3</v>
      </c>
      <c r="L103" s="3">
        <f t="shared" si="25"/>
        <v>-2.1836503653640668E-3</v>
      </c>
      <c r="M103" s="9">
        <f t="shared" si="21"/>
        <v>0.48275862068965519</v>
      </c>
      <c r="N103" s="9">
        <f t="shared" si="22"/>
        <v>0.51724137931034486</v>
      </c>
      <c r="P103">
        <f t="shared" si="23"/>
        <v>216.5</v>
      </c>
      <c r="Q103">
        <f t="shared" si="24"/>
        <v>378.5</v>
      </c>
    </row>
    <row r="104" spans="1:17" x14ac:dyDescent="0.35">
      <c r="A104">
        <v>2022</v>
      </c>
      <c r="B104" s="3">
        <v>163</v>
      </c>
      <c r="C104" s="7">
        <v>23</v>
      </c>
      <c r="D104" s="3">
        <f t="shared" si="13"/>
        <v>20.375</v>
      </c>
      <c r="E104" s="10">
        <f t="shared" si="14"/>
        <v>0.40749999999999997</v>
      </c>
      <c r="F104" s="10">
        <f t="shared" si="15"/>
        <v>0.46</v>
      </c>
      <c r="G104" s="3">
        <f t="shared" si="16"/>
        <v>43.375</v>
      </c>
      <c r="H104" s="3">
        <f t="shared" si="26"/>
        <v>0</v>
      </c>
      <c r="I104" s="3">
        <f t="shared" si="17"/>
        <v>-0.77121474134288914</v>
      </c>
      <c r="J104" s="3">
        <f t="shared" si="18"/>
        <v>-1.0369227949001982</v>
      </c>
      <c r="K104" s="3">
        <f t="shared" si="19"/>
        <v>1.5866841137925955E-3</v>
      </c>
      <c r="L104" s="3">
        <f t="shared" si="25"/>
        <v>-1.5879442301451995E-3</v>
      </c>
      <c r="M104" s="9">
        <f t="shared" si="21"/>
        <v>0.53025936599423629</v>
      </c>
      <c r="N104" s="9">
        <f t="shared" si="22"/>
        <v>0.46974063400576371</v>
      </c>
      <c r="P104">
        <f t="shared" si="23"/>
        <v>356.5</v>
      </c>
      <c r="Q104">
        <f t="shared" si="24"/>
        <v>352.5</v>
      </c>
    </row>
    <row r="105" spans="1:17" x14ac:dyDescent="0.35">
      <c r="A105">
        <v>2022</v>
      </c>
      <c r="B105" s="3">
        <v>169</v>
      </c>
      <c r="C105" s="7">
        <v>22</v>
      </c>
      <c r="D105" s="3">
        <f t="shared" si="13"/>
        <v>21.125</v>
      </c>
      <c r="E105" s="10">
        <f t="shared" si="14"/>
        <v>0.42249999999999999</v>
      </c>
      <c r="F105" s="10">
        <f t="shared" si="15"/>
        <v>0.44</v>
      </c>
      <c r="G105" s="3">
        <f t="shared" si="16"/>
        <v>43.125</v>
      </c>
      <c r="H105" s="3">
        <f t="shared" si="26"/>
        <v>0</v>
      </c>
      <c r="I105" s="3">
        <f t="shared" si="17"/>
        <v>-0.54645333267395979</v>
      </c>
      <c r="J105" s="3">
        <f t="shared" si="18"/>
        <v>-1.1651714392395218</v>
      </c>
      <c r="K105" s="3">
        <f t="shared" si="19"/>
        <v>1.3412217527897781E-3</v>
      </c>
      <c r="L105" s="3">
        <f t="shared" si="25"/>
        <v>-1.3421219957251054E-3</v>
      </c>
      <c r="M105" s="9">
        <f t="shared" si="21"/>
        <v>0.51014492753623186</v>
      </c>
      <c r="N105" s="9">
        <f t="shared" si="22"/>
        <v>0.48985507246376814</v>
      </c>
      <c r="P105">
        <f t="shared" si="23"/>
        <v>299</v>
      </c>
      <c r="Q105">
        <f t="shared" si="24"/>
        <v>370</v>
      </c>
    </row>
    <row r="106" spans="1:17" x14ac:dyDescent="0.35">
      <c r="A106">
        <v>2022</v>
      </c>
      <c r="B106" s="3">
        <v>166</v>
      </c>
      <c r="C106" s="7">
        <v>22</v>
      </c>
      <c r="D106" s="3">
        <f t="shared" si="13"/>
        <v>20.75</v>
      </c>
      <c r="E106" s="10">
        <f t="shared" si="14"/>
        <v>0.41499999999999998</v>
      </c>
      <c r="F106" s="10">
        <f t="shared" si="15"/>
        <v>0.44</v>
      </c>
      <c r="G106" s="3">
        <f t="shared" si="16"/>
        <v>42.75</v>
      </c>
      <c r="H106" s="3">
        <f t="shared" si="26"/>
        <v>0</v>
      </c>
      <c r="I106" s="3">
        <f t="shared" si="17"/>
        <v>-0.65883403700842447</v>
      </c>
      <c r="J106" s="3">
        <f t="shared" si="18"/>
        <v>-1.1651714392395218</v>
      </c>
      <c r="K106" s="3">
        <f t="shared" si="19"/>
        <v>9.0549844366624483E-4</v>
      </c>
      <c r="L106" s="3">
        <f t="shared" si="25"/>
        <v>-9.059086550312124E-4</v>
      </c>
      <c r="M106" s="9">
        <f t="shared" si="21"/>
        <v>0.51461988304093564</v>
      </c>
      <c r="N106" s="9">
        <f t="shared" si="22"/>
        <v>0.4853801169590643</v>
      </c>
      <c r="P106">
        <f t="shared" si="23"/>
        <v>334.5</v>
      </c>
      <c r="Q106">
        <f t="shared" si="24"/>
        <v>370</v>
      </c>
    </row>
    <row r="107" spans="1:17" x14ac:dyDescent="0.35">
      <c r="A107">
        <v>2022</v>
      </c>
      <c r="B107" s="3">
        <v>149</v>
      </c>
      <c r="C107" s="7">
        <v>24</v>
      </c>
      <c r="D107" s="3">
        <f t="shared" si="13"/>
        <v>18.625</v>
      </c>
      <c r="E107" s="10">
        <f t="shared" si="14"/>
        <v>0.3725</v>
      </c>
      <c r="F107" s="10">
        <f t="shared" si="15"/>
        <v>0.48</v>
      </c>
      <c r="G107" s="3">
        <f t="shared" si="16"/>
        <v>42.625</v>
      </c>
      <c r="H107" s="3">
        <f t="shared" si="26"/>
        <v>0</v>
      </c>
      <c r="I107" s="3">
        <f t="shared" si="17"/>
        <v>-1.2956580282370576</v>
      </c>
      <c r="J107" s="3">
        <f t="shared" si="18"/>
        <v>-0.90867415056087486</v>
      </c>
      <c r="K107" s="3">
        <f t="shared" si="19"/>
        <v>6.58442467210839E-4</v>
      </c>
      <c r="L107" s="3">
        <f t="shared" si="25"/>
        <v>-6.5865933565427415E-4</v>
      </c>
      <c r="M107" s="9">
        <f t="shared" si="21"/>
        <v>0.56304985337243407</v>
      </c>
      <c r="N107" s="9">
        <f t="shared" si="22"/>
        <v>0.43695014662756598</v>
      </c>
      <c r="P107">
        <f t="shared" si="23"/>
        <v>409</v>
      </c>
      <c r="Q107">
        <f t="shared" si="24"/>
        <v>335.5</v>
      </c>
    </row>
    <row r="108" spans="1:17" x14ac:dyDescent="0.35">
      <c r="A108">
        <v>2022</v>
      </c>
      <c r="B108" s="3">
        <v>145</v>
      </c>
      <c r="C108" s="7">
        <v>24</v>
      </c>
      <c r="D108" s="3">
        <f t="shared" si="13"/>
        <v>18.125</v>
      </c>
      <c r="E108" s="10">
        <f t="shared" si="14"/>
        <v>0.36249999999999999</v>
      </c>
      <c r="F108" s="10">
        <f t="shared" si="15"/>
        <v>0.48</v>
      </c>
      <c r="G108" s="3">
        <f t="shared" si="16"/>
        <v>42.125</v>
      </c>
      <c r="H108" s="3">
        <f t="shared" si="26"/>
        <v>0</v>
      </c>
      <c r="I108" s="3">
        <f t="shared" si="17"/>
        <v>-1.4454989673496772</v>
      </c>
      <c r="J108" s="3">
        <f t="shared" si="18"/>
        <v>-0.90867415056087486</v>
      </c>
      <c r="K108" s="3">
        <f t="shared" si="19"/>
        <v>3.898505120481405E-4</v>
      </c>
      <c r="L108" s="3">
        <f t="shared" si="25"/>
        <v>-3.8992652351501576E-4</v>
      </c>
      <c r="M108" s="9">
        <f t="shared" si="21"/>
        <v>0.56973293768545996</v>
      </c>
      <c r="N108" s="9">
        <f t="shared" si="22"/>
        <v>0.43026706231454004</v>
      </c>
      <c r="P108">
        <f t="shared" si="23"/>
        <v>419.5</v>
      </c>
      <c r="Q108">
        <f t="shared" si="24"/>
        <v>335.5</v>
      </c>
    </row>
    <row r="109" spans="1:17" x14ac:dyDescent="0.35">
      <c r="A109">
        <v>2022</v>
      </c>
      <c r="B109" s="3">
        <v>169</v>
      </c>
      <c r="C109" s="7">
        <v>21</v>
      </c>
      <c r="D109" s="3">
        <f t="shared" si="13"/>
        <v>21.125</v>
      </c>
      <c r="E109" s="10">
        <f t="shared" si="14"/>
        <v>0.42249999999999999</v>
      </c>
      <c r="F109" s="10">
        <f t="shared" si="15"/>
        <v>0.42</v>
      </c>
      <c r="G109" s="3">
        <f t="shared" si="16"/>
        <v>42.125</v>
      </c>
      <c r="H109" s="3">
        <f t="shared" si="26"/>
        <v>0</v>
      </c>
      <c r="I109" s="3">
        <f t="shared" si="17"/>
        <v>-0.54645333267395979</v>
      </c>
      <c r="J109" s="3">
        <f t="shared" si="18"/>
        <v>-1.2934200835788452</v>
      </c>
      <c r="K109" s="3">
        <f t="shared" si="19"/>
        <v>5.1660398687194324E-4</v>
      </c>
      <c r="L109" s="3">
        <f t="shared" si="25"/>
        <v>-5.1673747268639683E-4</v>
      </c>
      <c r="M109" s="9">
        <f t="shared" si="21"/>
        <v>0.49851632047477745</v>
      </c>
      <c r="N109" s="9">
        <f t="shared" si="22"/>
        <v>0.50148367952522255</v>
      </c>
      <c r="P109">
        <f t="shared" si="23"/>
        <v>299</v>
      </c>
      <c r="Q109">
        <f t="shared" si="24"/>
        <v>378.5</v>
      </c>
    </row>
    <row r="110" spans="1:17" x14ac:dyDescent="0.35">
      <c r="A110">
        <v>2022</v>
      </c>
      <c r="B110" s="3">
        <v>176</v>
      </c>
      <c r="C110" s="7">
        <v>20</v>
      </c>
      <c r="D110" s="3">
        <f t="shared" si="13"/>
        <v>22</v>
      </c>
      <c r="E110" s="10">
        <f t="shared" si="14"/>
        <v>0.44</v>
      </c>
      <c r="F110" s="10">
        <f t="shared" si="15"/>
        <v>0.4</v>
      </c>
      <c r="G110" s="3">
        <f t="shared" si="16"/>
        <v>42</v>
      </c>
      <c r="H110" s="3">
        <f t="shared" si="26"/>
        <v>0</v>
      </c>
      <c r="I110" s="3">
        <f t="shared" si="17"/>
        <v>-0.28423168922687558</v>
      </c>
      <c r="J110" s="3">
        <f t="shared" si="18"/>
        <v>-1.4216687279181688</v>
      </c>
      <c r="K110" s="3">
        <f t="shared" si="19"/>
        <v>4.9774099762147392E-4</v>
      </c>
      <c r="L110" s="3">
        <f t="shared" si="25"/>
        <v>-4.9786491179162516E-4</v>
      </c>
      <c r="M110" s="9">
        <f t="shared" si="21"/>
        <v>0.47619047619047616</v>
      </c>
      <c r="N110" s="9">
        <f t="shared" si="22"/>
        <v>0.52380952380952384</v>
      </c>
      <c r="P110">
        <f t="shared" si="23"/>
        <v>245.5</v>
      </c>
      <c r="Q110">
        <f t="shared" si="24"/>
        <v>386</v>
      </c>
    </row>
    <row r="111" spans="1:17" x14ac:dyDescent="0.35">
      <c r="A111">
        <v>2022</v>
      </c>
      <c r="B111" s="3">
        <v>183</v>
      </c>
      <c r="C111" s="7">
        <v>19</v>
      </c>
      <c r="D111" s="3">
        <f>B111 / 8</f>
        <v>22.875</v>
      </c>
      <c r="E111" s="10">
        <f t="shared" si="14"/>
        <v>0.45750000000000002</v>
      </c>
      <c r="F111" s="10">
        <f t="shared" si="15"/>
        <v>0.38</v>
      </c>
      <c r="G111" s="3">
        <f t="shared" si="16"/>
        <v>41.875</v>
      </c>
      <c r="H111" s="3">
        <f t="shared" si="26"/>
        <v>0</v>
      </c>
      <c r="I111" s="3">
        <f t="shared" si="17"/>
        <v>-2.2010045779791373E-2</v>
      </c>
      <c r="J111" s="3">
        <f t="shared" si="18"/>
        <v>-1.5499173722574922</v>
      </c>
      <c r="K111" s="3">
        <f t="shared" si="19"/>
        <v>4.7956643054473908E-4</v>
      </c>
      <c r="L111" s="3">
        <f t="shared" si="25"/>
        <v>-4.7968145930277456E-4</v>
      </c>
      <c r="M111" s="9">
        <f t="shared" si="21"/>
        <v>0.45373134328358211</v>
      </c>
      <c r="N111" s="9">
        <f t="shared" si="22"/>
        <v>0.54626865671641789</v>
      </c>
      <c r="P111">
        <f t="shared" si="23"/>
        <v>197</v>
      </c>
      <c r="Q111">
        <f t="shared" si="24"/>
        <v>397.5</v>
      </c>
    </row>
    <row r="112" spans="1:17" x14ac:dyDescent="0.35">
      <c r="A112">
        <v>2022</v>
      </c>
      <c r="B112" s="3">
        <v>171</v>
      </c>
      <c r="C112" s="7">
        <v>20</v>
      </c>
      <c r="D112" s="3">
        <f>B112 / 8</f>
        <v>21.375</v>
      </c>
      <c r="E112" s="10">
        <f t="shared" si="14"/>
        <v>0.42749999999999999</v>
      </c>
      <c r="F112" s="10">
        <f t="shared" si="15"/>
        <v>0.4</v>
      </c>
      <c r="G112" s="3">
        <f t="shared" si="16"/>
        <v>41.375</v>
      </c>
      <c r="H112" s="3">
        <f t="shared" si="26"/>
        <v>0</v>
      </c>
      <c r="I112" s="3">
        <f t="shared" si="17"/>
        <v>-0.47153286311765003</v>
      </c>
      <c r="J112" s="3">
        <f t="shared" si="18"/>
        <v>-1.4216687279181688</v>
      </c>
      <c r="K112" s="3">
        <f t="shared" si="19"/>
        <v>2.5848587631188783E-4</v>
      </c>
      <c r="L112" s="3">
        <f t="shared" si="25"/>
        <v>-2.585192895440919E-4</v>
      </c>
      <c r="M112" s="9">
        <f t="shared" si="21"/>
        <v>0.48338368580060426</v>
      </c>
      <c r="N112" s="9">
        <f t="shared" si="22"/>
        <v>0.5166163141993958</v>
      </c>
      <c r="P112">
        <f t="shared" si="23"/>
        <v>278</v>
      </c>
      <c r="Q112">
        <f t="shared" si="24"/>
        <v>386</v>
      </c>
    </row>
    <row r="113" spans="1:17" x14ac:dyDescent="0.35">
      <c r="A113">
        <v>2022</v>
      </c>
      <c r="B113" s="3">
        <v>171</v>
      </c>
      <c r="C113" s="7">
        <v>19</v>
      </c>
      <c r="D113" s="3">
        <f>B113 / 8</f>
        <v>21.375</v>
      </c>
      <c r="E113" s="10">
        <f t="shared" si="14"/>
        <v>0.42749999999999999</v>
      </c>
      <c r="F113" s="10">
        <f t="shared" si="15"/>
        <v>0.38</v>
      </c>
      <c r="G113" s="3">
        <f t="shared" si="16"/>
        <v>40.375</v>
      </c>
      <c r="H113" s="3">
        <f t="shared" si="26"/>
        <v>0</v>
      </c>
      <c r="I113" s="3">
        <f t="shared" si="17"/>
        <v>-0.47153286311765003</v>
      </c>
      <c r="J113" s="3">
        <f t="shared" si="18"/>
        <v>-1.5499173722574922</v>
      </c>
      <c r="K113" s="3">
        <f t="shared" si="19"/>
        <v>9.9495762389893182E-5</v>
      </c>
      <c r="L113" s="3">
        <f>IF(K113=0, -1000, IF(K113=1, -1000, H113 * LN(K113) + (1 - H113) * LN(1 - K113)))</f>
        <v>-9.9500712421586059E-5</v>
      </c>
      <c r="M113" s="9">
        <f t="shared" si="21"/>
        <v>0.47058823529411764</v>
      </c>
      <c r="N113" s="9">
        <f t="shared" si="22"/>
        <v>0.52941176470588236</v>
      </c>
      <c r="P113">
        <f t="shared" si="23"/>
        <v>278</v>
      </c>
      <c r="Q113">
        <f t="shared" si="24"/>
        <v>397.5</v>
      </c>
    </row>
    <row r="114" spans="1:17" x14ac:dyDescent="0.35">
      <c r="A114">
        <v>2023</v>
      </c>
      <c r="B114" s="3">
        <v>286</v>
      </c>
      <c r="C114" s="7">
        <v>37</v>
      </c>
      <c r="D114" s="3">
        <f t="shared" ref="D114:D177" si="27">B114 / 8</f>
        <v>35.75</v>
      </c>
      <c r="E114" s="10">
        <f t="shared" si="14"/>
        <v>0.71499999999999997</v>
      </c>
      <c r="F114" s="10">
        <f t="shared" si="15"/>
        <v>0.74</v>
      </c>
      <c r="G114" s="3">
        <f t="shared" si="16"/>
        <v>72.75</v>
      </c>
      <c r="H114" s="3">
        <f t="shared" si="26"/>
        <v>1</v>
      </c>
      <c r="I114" s="3">
        <f t="shared" si="17"/>
        <v>3.8363941363701621</v>
      </c>
      <c r="J114" s="3">
        <f t="shared" si="18"/>
        <v>0.75855822585033006</v>
      </c>
      <c r="K114" s="3">
        <f t="shared" si="19"/>
        <v>0.99999999990225241</v>
      </c>
      <c r="L114" s="3">
        <f t="shared" si="25"/>
        <v>-9.7747587806454873E-11</v>
      </c>
      <c r="M114" s="9">
        <f t="shared" si="21"/>
        <v>0.50859106529209619</v>
      </c>
      <c r="N114" s="9">
        <f t="shared" si="22"/>
        <v>0.49140893470790376</v>
      </c>
      <c r="P114">
        <f t="shared" si="23"/>
        <v>5</v>
      </c>
      <c r="Q114">
        <f t="shared" si="24"/>
        <v>128</v>
      </c>
    </row>
    <row r="115" spans="1:17" x14ac:dyDescent="0.35">
      <c r="A115">
        <v>2023</v>
      </c>
      <c r="B115" s="3">
        <v>206</v>
      </c>
      <c r="C115" s="7">
        <v>44</v>
      </c>
      <c r="D115" s="3">
        <f t="shared" si="27"/>
        <v>25.75</v>
      </c>
      <c r="E115" s="10">
        <f t="shared" si="14"/>
        <v>0.51500000000000001</v>
      </c>
      <c r="F115" s="10">
        <f t="shared" si="15"/>
        <v>0.88</v>
      </c>
      <c r="G115" s="3">
        <f t="shared" si="16"/>
        <v>69.75</v>
      </c>
      <c r="H115" s="3">
        <f t="shared" si="26"/>
        <v>1</v>
      </c>
      <c r="I115" s="3">
        <f t="shared" si="17"/>
        <v>0.83957535411777107</v>
      </c>
      <c r="J115" s="3">
        <f t="shared" si="18"/>
        <v>1.6562987362255943</v>
      </c>
      <c r="K115" s="3">
        <f t="shared" si="19"/>
        <v>0.99999999561543973</v>
      </c>
      <c r="L115" s="3">
        <f t="shared" si="25"/>
        <v>-4.3845602800217499E-9</v>
      </c>
      <c r="M115" s="9">
        <f t="shared" si="21"/>
        <v>0.63082437275985659</v>
      </c>
      <c r="N115" s="9">
        <f t="shared" si="22"/>
        <v>0.36917562724014336</v>
      </c>
      <c r="P115">
        <f t="shared" si="23"/>
        <v>61.5</v>
      </c>
      <c r="Q115">
        <f t="shared" si="24"/>
        <v>2.5</v>
      </c>
    </row>
    <row r="116" spans="1:17" x14ac:dyDescent="0.35">
      <c r="A116">
        <v>2023</v>
      </c>
      <c r="B116" s="3">
        <v>200</v>
      </c>
      <c r="C116" s="7">
        <v>39</v>
      </c>
      <c r="D116" s="3">
        <f t="shared" si="27"/>
        <v>25</v>
      </c>
      <c r="E116" s="10">
        <f t="shared" si="14"/>
        <v>0.5</v>
      </c>
      <c r="F116" s="10">
        <f t="shared" si="15"/>
        <v>0.78</v>
      </c>
      <c r="G116" s="3">
        <f t="shared" si="16"/>
        <v>64</v>
      </c>
      <c r="H116" s="3">
        <f t="shared" si="26"/>
        <v>1</v>
      </c>
      <c r="I116" s="3">
        <f t="shared" si="17"/>
        <v>0.61481394544884171</v>
      </c>
      <c r="J116" s="3">
        <f t="shared" si="18"/>
        <v>1.015055514528977</v>
      </c>
      <c r="K116" s="3">
        <f t="shared" si="19"/>
        <v>0.99999885965394431</v>
      </c>
      <c r="L116" s="3">
        <f t="shared" si="25"/>
        <v>-1.1403467058897431E-6</v>
      </c>
      <c r="M116" s="9">
        <f t="shared" si="21"/>
        <v>0.609375</v>
      </c>
      <c r="N116" s="9">
        <f t="shared" si="22"/>
        <v>0.390625</v>
      </c>
      <c r="P116">
        <f t="shared" si="23"/>
        <v>85</v>
      </c>
      <c r="Q116">
        <f t="shared" si="24"/>
        <v>76.5</v>
      </c>
    </row>
    <row r="117" spans="1:17" x14ac:dyDescent="0.35">
      <c r="A117">
        <v>2023</v>
      </c>
      <c r="B117" s="3">
        <v>179</v>
      </c>
      <c r="C117" s="7">
        <v>41</v>
      </c>
      <c r="D117" s="3">
        <f t="shared" si="27"/>
        <v>22.375</v>
      </c>
      <c r="E117" s="10">
        <f>B117 / 400</f>
        <v>0.44750000000000001</v>
      </c>
      <c r="F117" s="10">
        <f t="shared" si="15"/>
        <v>0.82</v>
      </c>
      <c r="G117" s="3">
        <f t="shared" si="16"/>
        <v>63.375</v>
      </c>
      <c r="H117" s="3">
        <f t="shared" si="26"/>
        <v>1</v>
      </c>
      <c r="I117" s="3">
        <f t="shared" si="17"/>
        <v>-0.17185098489241094</v>
      </c>
      <c r="J117" s="3">
        <f t="shared" si="18"/>
        <v>1.271552803207624</v>
      </c>
      <c r="K117" s="3">
        <f t="shared" si="19"/>
        <v>0.99999734997667478</v>
      </c>
      <c r="L117" s="3">
        <f t="shared" si="25"/>
        <v>-2.6500268365415873E-6</v>
      </c>
      <c r="M117" s="9">
        <f t="shared" si="21"/>
        <v>0.64694280078895461</v>
      </c>
      <c r="N117" s="9">
        <f t="shared" si="22"/>
        <v>0.35305719921104539</v>
      </c>
      <c r="P117">
        <f t="shared" si="23"/>
        <v>223.5</v>
      </c>
      <c r="Q117">
        <f t="shared" si="24"/>
        <v>27</v>
      </c>
    </row>
    <row r="118" spans="1:17" x14ac:dyDescent="0.35">
      <c r="A118">
        <v>2023</v>
      </c>
      <c r="B118" s="3">
        <v>185</v>
      </c>
      <c r="C118" s="7">
        <v>40</v>
      </c>
      <c r="D118" s="3">
        <f t="shared" si="27"/>
        <v>23.125</v>
      </c>
      <c r="E118" s="10">
        <f t="shared" ref="E118:E181" si="28">B118 / 400</f>
        <v>0.46250000000000002</v>
      </c>
      <c r="F118" s="10">
        <f t="shared" si="15"/>
        <v>0.8</v>
      </c>
      <c r="G118" s="3">
        <f t="shared" si="16"/>
        <v>63.125</v>
      </c>
      <c r="H118" s="3">
        <f t="shared" si="26"/>
        <v>1</v>
      </c>
      <c r="I118" s="3">
        <f t="shared" si="17"/>
        <v>5.2910423776518403E-2</v>
      </c>
      <c r="J118" s="3">
        <f t="shared" si="18"/>
        <v>1.1433041588683004</v>
      </c>
      <c r="K118" s="3">
        <f t="shared" si="19"/>
        <v>0.99999686421607203</v>
      </c>
      <c r="L118" s="3">
        <f t="shared" si="25"/>
        <v>-3.1357888445462404E-6</v>
      </c>
      <c r="M118" s="9">
        <f t="shared" si="21"/>
        <v>0.63366336633663367</v>
      </c>
      <c r="N118" s="9">
        <f t="shared" si="22"/>
        <v>0.36633663366336633</v>
      </c>
      <c r="P118">
        <f t="shared" si="23"/>
        <v>179.5</v>
      </c>
      <c r="Q118">
        <f t="shared" si="24"/>
        <v>50.5</v>
      </c>
    </row>
    <row r="119" spans="1:17" x14ac:dyDescent="0.35">
      <c r="A119">
        <v>2023</v>
      </c>
      <c r="B119" s="3">
        <v>177</v>
      </c>
      <c r="C119" s="7">
        <v>41</v>
      </c>
      <c r="D119" s="3">
        <f t="shared" si="27"/>
        <v>22.125</v>
      </c>
      <c r="E119" s="10">
        <f t="shared" si="28"/>
        <v>0.4425</v>
      </c>
      <c r="F119" s="10">
        <f t="shared" si="15"/>
        <v>0.82</v>
      </c>
      <c r="G119" s="3">
        <f t="shared" si="16"/>
        <v>63.125</v>
      </c>
      <c r="H119" s="3">
        <f t="shared" si="26"/>
        <v>1</v>
      </c>
      <c r="I119" s="3">
        <f t="shared" si="17"/>
        <v>-0.2467714544487207</v>
      </c>
      <c r="J119" s="3">
        <f t="shared" si="18"/>
        <v>1.271552803207624</v>
      </c>
      <c r="K119" s="3">
        <f t="shared" si="19"/>
        <v>0.99999655556837197</v>
      </c>
      <c r="L119" s="3">
        <f t="shared" si="25"/>
        <v>-3.4444375600984509E-6</v>
      </c>
      <c r="M119" s="9">
        <f t="shared" si="21"/>
        <v>0.64950495049504953</v>
      </c>
      <c r="N119" s="9">
        <f t="shared" si="22"/>
        <v>0.35049504950495047</v>
      </c>
      <c r="P119">
        <f t="shared" si="23"/>
        <v>237.5</v>
      </c>
      <c r="Q119">
        <f t="shared" si="24"/>
        <v>27</v>
      </c>
    </row>
    <row r="120" spans="1:17" x14ac:dyDescent="0.35">
      <c r="A120">
        <v>2023</v>
      </c>
      <c r="B120" s="3">
        <v>201</v>
      </c>
      <c r="C120" s="7">
        <v>38</v>
      </c>
      <c r="D120" s="3">
        <f t="shared" si="27"/>
        <v>25.125</v>
      </c>
      <c r="E120" s="10">
        <f t="shared" si="28"/>
        <v>0.50249999999999995</v>
      </c>
      <c r="F120" s="10">
        <f t="shared" si="15"/>
        <v>0.76</v>
      </c>
      <c r="G120" s="3">
        <f t="shared" si="16"/>
        <v>63.125</v>
      </c>
      <c r="H120" s="3">
        <f t="shared" si="26"/>
        <v>1</v>
      </c>
      <c r="I120" s="3">
        <f t="shared" si="17"/>
        <v>0.65227418022699668</v>
      </c>
      <c r="J120" s="3">
        <f t="shared" si="18"/>
        <v>0.88680687018965354</v>
      </c>
      <c r="K120" s="3">
        <f t="shared" si="19"/>
        <v>0.99999740101832246</v>
      </c>
      <c r="L120" s="3">
        <f t="shared" si="25"/>
        <v>-2.5989850548960916E-6</v>
      </c>
      <c r="M120" s="9">
        <f t="shared" si="21"/>
        <v>0.60198019801980196</v>
      </c>
      <c r="N120" s="9">
        <f t="shared" si="22"/>
        <v>0.39801980198019804</v>
      </c>
      <c r="P120">
        <f t="shared" si="23"/>
        <v>78.5</v>
      </c>
      <c r="Q120">
        <f t="shared" si="24"/>
        <v>103</v>
      </c>
    </row>
    <row r="121" spans="1:17" x14ac:dyDescent="0.35">
      <c r="A121">
        <v>2023</v>
      </c>
      <c r="B121" s="3">
        <v>176</v>
      </c>
      <c r="C121" s="7">
        <v>41</v>
      </c>
      <c r="D121" s="3">
        <f t="shared" si="27"/>
        <v>22</v>
      </c>
      <c r="E121" s="10">
        <f t="shared" si="28"/>
        <v>0.44</v>
      </c>
      <c r="F121" s="10">
        <f t="shared" si="15"/>
        <v>0.82</v>
      </c>
      <c r="G121" s="3">
        <f t="shared" si="16"/>
        <v>63</v>
      </c>
      <c r="H121" s="3">
        <f t="shared" si="26"/>
        <v>1</v>
      </c>
      <c r="I121" s="3">
        <f t="shared" si="17"/>
        <v>-0.28423168922687558</v>
      </c>
      <c r="J121" s="3">
        <f t="shared" si="18"/>
        <v>1.271552803207624</v>
      </c>
      <c r="K121" s="3">
        <f t="shared" si="19"/>
        <v>0.99999607308530314</v>
      </c>
      <c r="L121" s="3">
        <f t="shared" si="25"/>
        <v>-3.9269224072109427E-6</v>
      </c>
      <c r="M121" s="9">
        <f t="shared" si="21"/>
        <v>0.65079365079365081</v>
      </c>
      <c r="N121" s="9">
        <f t="shared" si="22"/>
        <v>0.34920634920634919</v>
      </c>
      <c r="P121">
        <f t="shared" si="23"/>
        <v>245.5</v>
      </c>
      <c r="Q121">
        <f t="shared" si="24"/>
        <v>27</v>
      </c>
    </row>
    <row r="122" spans="1:17" x14ac:dyDescent="0.35">
      <c r="A122">
        <v>2023</v>
      </c>
      <c r="B122" s="3">
        <v>185</v>
      </c>
      <c r="C122" s="7">
        <v>39</v>
      </c>
      <c r="D122" s="3">
        <f t="shared" si="27"/>
        <v>23.125</v>
      </c>
      <c r="E122" s="10">
        <f t="shared" si="28"/>
        <v>0.46250000000000002</v>
      </c>
      <c r="F122" s="10">
        <f t="shared" si="15"/>
        <v>0.78</v>
      </c>
      <c r="G122" s="3">
        <f t="shared" si="16"/>
        <v>62.125</v>
      </c>
      <c r="H122" s="3">
        <f t="shared" si="26"/>
        <v>1</v>
      </c>
      <c r="I122" s="3">
        <f t="shared" si="17"/>
        <v>5.2910423776518403E-2</v>
      </c>
      <c r="J122" s="3">
        <f t="shared" si="18"/>
        <v>1.015055514528977</v>
      </c>
      <c r="K122" s="3">
        <f t="shared" si="19"/>
        <v>0.999991852108296</v>
      </c>
      <c r="L122" s="3">
        <f t="shared" si="25"/>
        <v>-8.1479248982522378E-6</v>
      </c>
      <c r="M122" s="9">
        <f t="shared" si="21"/>
        <v>0.62776659959758552</v>
      </c>
      <c r="N122" s="9">
        <f t="shared" si="22"/>
        <v>0.37223340040241448</v>
      </c>
      <c r="P122">
        <f t="shared" si="23"/>
        <v>179.5</v>
      </c>
      <c r="Q122">
        <f t="shared" si="24"/>
        <v>76.5</v>
      </c>
    </row>
    <row r="123" spans="1:17" x14ac:dyDescent="0.35">
      <c r="A123">
        <v>2023</v>
      </c>
      <c r="B123" s="3">
        <v>184</v>
      </c>
      <c r="C123" s="7">
        <v>39</v>
      </c>
      <c r="D123" s="3">
        <f t="shared" si="27"/>
        <v>23</v>
      </c>
      <c r="E123" s="10">
        <f t="shared" si="28"/>
        <v>0.46</v>
      </c>
      <c r="F123" s="10">
        <f t="shared" si="15"/>
        <v>0.78</v>
      </c>
      <c r="G123" s="3">
        <f t="shared" si="16"/>
        <v>62</v>
      </c>
      <c r="H123" s="3">
        <f t="shared" si="26"/>
        <v>1</v>
      </c>
      <c r="I123" s="3">
        <f t="shared" si="17"/>
        <v>1.5450188998363515E-2</v>
      </c>
      <c r="J123" s="3">
        <f t="shared" si="18"/>
        <v>1.015055514528977</v>
      </c>
      <c r="K123" s="3">
        <f t="shared" si="19"/>
        <v>0.99999071078829371</v>
      </c>
      <c r="L123" s="3">
        <f t="shared" si="25"/>
        <v>-9.2892548512812988E-6</v>
      </c>
      <c r="M123" s="9">
        <f t="shared" si="21"/>
        <v>0.62903225806451613</v>
      </c>
      <c r="N123" s="9">
        <f t="shared" si="22"/>
        <v>0.37096774193548387</v>
      </c>
      <c r="P123">
        <f t="shared" si="23"/>
        <v>188.5</v>
      </c>
      <c r="Q123">
        <f t="shared" si="24"/>
        <v>76.5</v>
      </c>
    </row>
    <row r="124" spans="1:17" x14ac:dyDescent="0.35">
      <c r="A124">
        <v>2023</v>
      </c>
      <c r="B124" s="3">
        <v>183</v>
      </c>
      <c r="C124" s="7">
        <v>39</v>
      </c>
      <c r="D124" s="3">
        <f t="shared" si="27"/>
        <v>22.875</v>
      </c>
      <c r="E124" s="10">
        <f t="shared" si="28"/>
        <v>0.45750000000000002</v>
      </c>
      <c r="F124" s="10">
        <f t="shared" si="15"/>
        <v>0.78</v>
      </c>
      <c r="G124" s="3">
        <f t="shared" si="16"/>
        <v>61.875</v>
      </c>
      <c r="H124" s="3">
        <f t="shared" si="26"/>
        <v>1</v>
      </c>
      <c r="I124" s="3">
        <f t="shared" si="17"/>
        <v>-2.2010045779791373E-2</v>
      </c>
      <c r="J124" s="3">
        <f t="shared" si="18"/>
        <v>1.015055514528977</v>
      </c>
      <c r="K124" s="3">
        <f t="shared" si="19"/>
        <v>0.99998940959901483</v>
      </c>
      <c r="L124" s="3">
        <f t="shared" si="25"/>
        <v>-1.0590457063858948E-5</v>
      </c>
      <c r="M124" s="9">
        <f t="shared" si="21"/>
        <v>0.63030303030303025</v>
      </c>
      <c r="N124" s="9">
        <f t="shared" si="22"/>
        <v>0.36969696969696969</v>
      </c>
      <c r="P124">
        <f t="shared" si="23"/>
        <v>197</v>
      </c>
      <c r="Q124">
        <f t="shared" si="24"/>
        <v>76.5</v>
      </c>
    </row>
    <row r="125" spans="1:17" x14ac:dyDescent="0.35">
      <c r="A125">
        <v>2023</v>
      </c>
      <c r="B125" s="3">
        <v>182</v>
      </c>
      <c r="C125" s="7">
        <v>39</v>
      </c>
      <c r="D125" s="3">
        <f t="shared" si="27"/>
        <v>22.75</v>
      </c>
      <c r="E125" s="10">
        <f t="shared" si="28"/>
        <v>0.45500000000000002</v>
      </c>
      <c r="F125" s="10">
        <f t="shared" si="15"/>
        <v>0.78</v>
      </c>
      <c r="G125" s="3">
        <f t="shared" si="16"/>
        <v>61.75</v>
      </c>
      <c r="H125" s="3">
        <f t="shared" si="26"/>
        <v>1</v>
      </c>
      <c r="I125" s="3">
        <f t="shared" si="17"/>
        <v>-5.9470280557946266E-2</v>
      </c>
      <c r="J125" s="3">
        <f t="shared" si="18"/>
        <v>1.015055514528977</v>
      </c>
      <c r="K125" s="3">
        <f t="shared" si="19"/>
        <v>0.99998792614743548</v>
      </c>
      <c r="L125" s="3">
        <f t="shared" si="25"/>
        <v>-1.2073925454064896E-5</v>
      </c>
      <c r="M125" s="9">
        <f t="shared" si="21"/>
        <v>0.63157894736842102</v>
      </c>
      <c r="N125" s="9">
        <f t="shared" si="22"/>
        <v>0.36842105263157893</v>
      </c>
      <c r="P125">
        <f t="shared" si="23"/>
        <v>204</v>
      </c>
      <c r="Q125">
        <f t="shared" si="24"/>
        <v>76.5</v>
      </c>
    </row>
    <row r="126" spans="1:17" x14ac:dyDescent="0.35">
      <c r="A126">
        <v>2023</v>
      </c>
      <c r="B126" s="3">
        <v>156</v>
      </c>
      <c r="C126" s="7">
        <v>42</v>
      </c>
      <c r="D126" s="3">
        <f t="shared" si="27"/>
        <v>19.5</v>
      </c>
      <c r="E126" s="10">
        <f t="shared" si="28"/>
        <v>0.39</v>
      </c>
      <c r="F126" s="10">
        <f t="shared" si="15"/>
        <v>0.84</v>
      </c>
      <c r="G126" s="3">
        <f t="shared" si="16"/>
        <v>61.5</v>
      </c>
      <c r="H126" s="3">
        <f t="shared" si="26"/>
        <v>1</v>
      </c>
      <c r="I126" s="3">
        <f t="shared" si="17"/>
        <v>-1.0334363847899735</v>
      </c>
      <c r="J126" s="3">
        <f t="shared" si="18"/>
        <v>1.3998014475469474</v>
      </c>
      <c r="K126" s="3">
        <f t="shared" si="19"/>
        <v>0.99997920183525268</v>
      </c>
      <c r="L126" s="3">
        <f t="shared" si="25"/>
        <v>-2.0798381032142758E-5</v>
      </c>
      <c r="M126" s="9">
        <f t="shared" si="21"/>
        <v>0.68292682926829273</v>
      </c>
      <c r="N126" s="9">
        <f t="shared" si="22"/>
        <v>0.31707317073170732</v>
      </c>
      <c r="P126">
        <f t="shared" si="23"/>
        <v>390</v>
      </c>
      <c r="Q126">
        <f t="shared" si="24"/>
        <v>13.5</v>
      </c>
    </row>
    <row r="127" spans="1:17" x14ac:dyDescent="0.35">
      <c r="A127">
        <v>2023</v>
      </c>
      <c r="B127" s="3">
        <v>188</v>
      </c>
      <c r="C127" s="7">
        <v>38</v>
      </c>
      <c r="D127" s="3">
        <f t="shared" si="27"/>
        <v>23.5</v>
      </c>
      <c r="E127" s="10">
        <f t="shared" si="28"/>
        <v>0.47</v>
      </c>
      <c r="F127" s="10">
        <f t="shared" si="15"/>
        <v>0.76</v>
      </c>
      <c r="G127" s="3">
        <f t="shared" si="16"/>
        <v>61.5</v>
      </c>
      <c r="H127" s="3">
        <f t="shared" si="26"/>
        <v>1</v>
      </c>
      <c r="I127" s="3">
        <f t="shared" si="17"/>
        <v>0.16529112811098307</v>
      </c>
      <c r="J127" s="3">
        <f t="shared" si="18"/>
        <v>0.88680687018965354</v>
      </c>
      <c r="K127" s="3">
        <f t="shared" si="19"/>
        <v>0.9999857129833315</v>
      </c>
      <c r="L127" s="3">
        <f t="shared" si="25"/>
        <v>-1.4287118728896366E-5</v>
      </c>
      <c r="M127" s="9">
        <f t="shared" si="21"/>
        <v>0.61788617886178865</v>
      </c>
      <c r="N127" s="9">
        <f t="shared" si="22"/>
        <v>0.38211382113821141</v>
      </c>
      <c r="P127">
        <f t="shared" si="23"/>
        <v>155</v>
      </c>
      <c r="Q127">
        <f t="shared" si="24"/>
        <v>103</v>
      </c>
    </row>
    <row r="128" spans="1:17" x14ac:dyDescent="0.35">
      <c r="A128">
        <v>2023</v>
      </c>
      <c r="B128" s="3">
        <v>162</v>
      </c>
      <c r="C128" s="7">
        <v>41</v>
      </c>
      <c r="D128" s="3">
        <f t="shared" si="27"/>
        <v>20.25</v>
      </c>
      <c r="E128" s="10">
        <f t="shared" si="28"/>
        <v>0.40500000000000003</v>
      </c>
      <c r="F128" s="10">
        <f t="shared" si="15"/>
        <v>0.82</v>
      </c>
      <c r="G128" s="3">
        <f t="shared" si="16"/>
        <v>61.25</v>
      </c>
      <c r="H128" s="3">
        <f t="shared" si="26"/>
        <v>1</v>
      </c>
      <c r="I128" s="3">
        <f t="shared" si="17"/>
        <v>-0.808674976121044</v>
      </c>
      <c r="J128" s="3">
        <f t="shared" si="18"/>
        <v>1.271552803207624</v>
      </c>
      <c r="K128" s="3">
        <f t="shared" si="19"/>
        <v>0.99997538952462461</v>
      </c>
      <c r="L128" s="3">
        <f t="shared" si="25"/>
        <v>-2.4610778218104033E-5</v>
      </c>
      <c r="M128" s="9">
        <f t="shared" si="21"/>
        <v>0.66938775510204085</v>
      </c>
      <c r="N128" s="9">
        <f t="shared" si="22"/>
        <v>0.33061224489795921</v>
      </c>
      <c r="P128">
        <f t="shared" si="23"/>
        <v>364.5</v>
      </c>
      <c r="Q128">
        <f t="shared" si="24"/>
        <v>27</v>
      </c>
    </row>
    <row r="129" spans="1:17" x14ac:dyDescent="0.35">
      <c r="A129">
        <v>2023</v>
      </c>
      <c r="B129" s="3">
        <v>193</v>
      </c>
      <c r="C129" s="7">
        <v>37</v>
      </c>
      <c r="D129" s="3">
        <f t="shared" si="27"/>
        <v>24.125</v>
      </c>
      <c r="E129" s="10">
        <f t="shared" si="28"/>
        <v>0.48249999999999998</v>
      </c>
      <c r="F129" s="10">
        <f t="shared" si="15"/>
        <v>0.74</v>
      </c>
      <c r="G129" s="3">
        <f t="shared" si="16"/>
        <v>61.125</v>
      </c>
      <c r="H129" s="3">
        <f t="shared" si="26"/>
        <v>1</v>
      </c>
      <c r="I129" s="3">
        <f t="shared" si="17"/>
        <v>0.35259230200175751</v>
      </c>
      <c r="J129" s="3">
        <f t="shared" si="18"/>
        <v>0.75855822585033006</v>
      </c>
      <c r="K129" s="3">
        <f t="shared" si="19"/>
        <v>0.99998072607617083</v>
      </c>
      <c r="L129" s="3">
        <f t="shared" si="25"/>
        <v>-1.9274109573622723E-5</v>
      </c>
      <c r="M129" s="9">
        <f t="shared" si="21"/>
        <v>0.60531697341513291</v>
      </c>
      <c r="N129" s="9">
        <f t="shared" si="22"/>
        <v>0.39468302658486709</v>
      </c>
      <c r="P129">
        <f t="shared" si="23"/>
        <v>124</v>
      </c>
      <c r="Q129">
        <f t="shared" si="24"/>
        <v>128</v>
      </c>
    </row>
    <row r="130" spans="1:17" x14ac:dyDescent="0.35">
      <c r="A130">
        <v>2023</v>
      </c>
      <c r="B130" s="3">
        <v>176</v>
      </c>
      <c r="C130" s="7">
        <v>39</v>
      </c>
      <c r="D130" s="3">
        <f t="shared" si="27"/>
        <v>22</v>
      </c>
      <c r="E130" s="10">
        <f t="shared" si="28"/>
        <v>0.44</v>
      </c>
      <c r="F130" s="10">
        <f t="shared" ref="F130:F193" si="29">C130 / 50</f>
        <v>0.78</v>
      </c>
      <c r="G130" s="3">
        <f t="shared" ref="G130:G193" si="30">SUM(D130 + C130)</f>
        <v>61</v>
      </c>
      <c r="H130" s="3">
        <f t="shared" si="26"/>
        <v>1</v>
      </c>
      <c r="I130" s="3">
        <f t="shared" ref="I130:I193" si="31" xml:space="preserve"> (D:D - AVERAGE(D:D)) / STDEV(D:D)</f>
        <v>-0.28423168922687558</v>
      </c>
      <c r="J130" s="3">
        <f t="shared" ref="J130:J193" si="32" xml:space="preserve"> (C:C - AVERAGE(C:C)) / STDEV(C:C)</f>
        <v>1.015055514528977</v>
      </c>
      <c r="K130" s="3">
        <f t="shared" ref="K130:K193" si="33">1/(1+EXP(-($AD$68 +$AD$69 * I130 +$AD$70 * J130 )))</f>
        <v>0.99997348789272278</v>
      </c>
      <c r="L130" s="3">
        <f t="shared" si="25"/>
        <v>-2.6512458729349174E-5</v>
      </c>
      <c r="M130" s="9">
        <f t="shared" si="21"/>
        <v>0.63934426229508201</v>
      </c>
      <c r="N130" s="9">
        <f t="shared" si="22"/>
        <v>0.36065573770491804</v>
      </c>
      <c r="P130">
        <f t="shared" si="23"/>
        <v>245.5</v>
      </c>
      <c r="Q130">
        <f t="shared" si="24"/>
        <v>76.5</v>
      </c>
    </row>
    <row r="131" spans="1:17" x14ac:dyDescent="0.35">
      <c r="A131">
        <v>2023</v>
      </c>
      <c r="B131" s="3">
        <v>199</v>
      </c>
      <c r="C131" s="7">
        <v>36</v>
      </c>
      <c r="D131" s="3">
        <f t="shared" si="27"/>
        <v>24.875</v>
      </c>
      <c r="E131" s="10">
        <f t="shared" si="28"/>
        <v>0.4975</v>
      </c>
      <c r="F131" s="10">
        <f t="shared" si="29"/>
        <v>0.72</v>
      </c>
      <c r="G131" s="3">
        <f t="shared" si="30"/>
        <v>60.875</v>
      </c>
      <c r="H131" s="3">
        <f t="shared" si="26"/>
        <v>1</v>
      </c>
      <c r="I131" s="3">
        <f t="shared" si="31"/>
        <v>0.57735371067068686</v>
      </c>
      <c r="J131" s="3">
        <f t="shared" si="32"/>
        <v>0.63030958151100658</v>
      </c>
      <c r="K131" s="3">
        <f t="shared" si="33"/>
        <v>0.99997719315304612</v>
      </c>
      <c r="L131" s="3">
        <f t="shared" si="25"/>
        <v>-2.2807107033970642E-5</v>
      </c>
      <c r="M131" s="9">
        <f t="shared" ref="M131:M194" si="34">IF(G131=0, 0,  C131  / G131 )</f>
        <v>0.59137577002053388</v>
      </c>
      <c r="N131" s="9">
        <f t="shared" ref="N131:N194" si="35">IF(G131=0, 0,  D131  / G131 )</f>
        <v>0.40862422997946612</v>
      </c>
      <c r="P131">
        <f t="shared" ref="P131:P194" si="36">_xlfn.RANK.AVG(B131,$B$2:$B$435)</f>
        <v>91.5</v>
      </c>
      <c r="Q131">
        <f t="shared" si="24"/>
        <v>152</v>
      </c>
    </row>
    <row r="132" spans="1:17" x14ac:dyDescent="0.35">
      <c r="A132">
        <v>2023</v>
      </c>
      <c r="B132" s="3">
        <v>175</v>
      </c>
      <c r="C132" s="7">
        <v>39</v>
      </c>
      <c r="D132" s="3">
        <f t="shared" si="27"/>
        <v>21.875</v>
      </c>
      <c r="E132" s="10">
        <f t="shared" si="28"/>
        <v>0.4375</v>
      </c>
      <c r="F132" s="10">
        <f t="shared" si="29"/>
        <v>0.78</v>
      </c>
      <c r="G132" s="3">
        <f t="shared" si="30"/>
        <v>60.875</v>
      </c>
      <c r="H132" s="3">
        <f t="shared" si="26"/>
        <v>1</v>
      </c>
      <c r="I132" s="3">
        <f t="shared" si="31"/>
        <v>-0.32169192400503049</v>
      </c>
      <c r="J132" s="3">
        <f t="shared" si="32"/>
        <v>1.015055514528977</v>
      </c>
      <c r="K132" s="3">
        <f t="shared" si="33"/>
        <v>0.99996977427379952</v>
      </c>
      <c r="L132" s="3">
        <f t="shared" si="25"/>
        <v>-3.0226183006950538E-5</v>
      </c>
      <c r="M132" s="9">
        <f t="shared" si="34"/>
        <v>0.64065708418891165</v>
      </c>
      <c r="N132" s="9">
        <f t="shared" si="35"/>
        <v>0.35934291581108829</v>
      </c>
      <c r="P132">
        <f t="shared" si="36"/>
        <v>254</v>
      </c>
      <c r="Q132">
        <f t="shared" ref="Q132:Q195" si="37">_xlfn.RANK.AVG(C132,$C$2:$C$435)</f>
        <v>76.5</v>
      </c>
    </row>
    <row r="133" spans="1:17" x14ac:dyDescent="0.35">
      <c r="A133">
        <v>2023</v>
      </c>
      <c r="B133" s="3">
        <v>180</v>
      </c>
      <c r="C133" s="7">
        <v>38</v>
      </c>
      <c r="D133" s="3">
        <f t="shared" si="27"/>
        <v>22.5</v>
      </c>
      <c r="E133" s="10">
        <f t="shared" si="28"/>
        <v>0.45</v>
      </c>
      <c r="F133" s="10">
        <f t="shared" si="29"/>
        <v>0.76</v>
      </c>
      <c r="G133" s="3">
        <f t="shared" si="30"/>
        <v>60.5</v>
      </c>
      <c r="H133" s="3">
        <f t="shared" si="26"/>
        <v>1</v>
      </c>
      <c r="I133" s="3">
        <f t="shared" si="31"/>
        <v>-0.13439075011425605</v>
      </c>
      <c r="J133" s="3">
        <f t="shared" si="32"/>
        <v>0.88680687018965354</v>
      </c>
      <c r="K133" s="3">
        <f t="shared" si="33"/>
        <v>0.99995922416016747</v>
      </c>
      <c r="L133" s="3">
        <f t="shared" ref="L133:L196" si="38">IF(K133=0, -1000, IF(K133=1, -1000, H133 * LN(K133) + (1 - H133) * LN(1 - K133)))</f>
        <v>-4.0776671189686374E-5</v>
      </c>
      <c r="M133" s="9">
        <f t="shared" si="34"/>
        <v>0.62809917355371903</v>
      </c>
      <c r="N133" s="9">
        <f t="shared" si="35"/>
        <v>0.37190082644628097</v>
      </c>
      <c r="P133">
        <f t="shared" si="36"/>
        <v>216.5</v>
      </c>
      <c r="Q133">
        <f t="shared" si="37"/>
        <v>103</v>
      </c>
    </row>
    <row r="134" spans="1:17" x14ac:dyDescent="0.35">
      <c r="A134">
        <v>2023</v>
      </c>
      <c r="B134" s="3">
        <v>195</v>
      </c>
      <c r="C134" s="7">
        <v>36</v>
      </c>
      <c r="D134" s="3">
        <f t="shared" si="27"/>
        <v>24.375</v>
      </c>
      <c r="E134" s="10">
        <f t="shared" si="28"/>
        <v>0.48749999999999999</v>
      </c>
      <c r="F134" s="10">
        <f t="shared" si="29"/>
        <v>0.72</v>
      </c>
      <c r="G134" s="3">
        <f t="shared" si="30"/>
        <v>60.375</v>
      </c>
      <c r="H134" s="3">
        <f t="shared" si="26"/>
        <v>1</v>
      </c>
      <c r="I134" s="3">
        <f t="shared" si="31"/>
        <v>0.42751277155806727</v>
      </c>
      <c r="J134" s="3">
        <f t="shared" si="32"/>
        <v>0.63030958151100658</v>
      </c>
      <c r="K134" s="3">
        <f t="shared" si="33"/>
        <v>0.99996147036867289</v>
      </c>
      <c r="L134" s="3">
        <f t="shared" si="38"/>
        <v>-3.8530373612422885E-5</v>
      </c>
      <c r="M134" s="9">
        <f t="shared" si="34"/>
        <v>0.59627329192546585</v>
      </c>
      <c r="N134" s="9">
        <f t="shared" si="35"/>
        <v>0.40372670807453415</v>
      </c>
      <c r="P134">
        <f t="shared" si="36"/>
        <v>113.5</v>
      </c>
      <c r="Q134">
        <f t="shared" si="37"/>
        <v>152</v>
      </c>
    </row>
    <row r="135" spans="1:17" x14ac:dyDescent="0.35">
      <c r="A135">
        <v>2023</v>
      </c>
      <c r="B135" s="3">
        <v>201</v>
      </c>
      <c r="C135" s="7">
        <v>35</v>
      </c>
      <c r="D135" s="3">
        <f t="shared" si="27"/>
        <v>25.125</v>
      </c>
      <c r="E135" s="10">
        <f t="shared" si="28"/>
        <v>0.50249999999999995</v>
      </c>
      <c r="F135" s="10">
        <f t="shared" si="29"/>
        <v>0.7</v>
      </c>
      <c r="G135" s="3">
        <f t="shared" si="30"/>
        <v>60.125</v>
      </c>
      <c r="H135" s="3">
        <f t="shared" si="26"/>
        <v>1</v>
      </c>
      <c r="I135" s="3">
        <f t="shared" si="31"/>
        <v>0.65227418022699668</v>
      </c>
      <c r="J135" s="3">
        <f t="shared" si="32"/>
        <v>0.50206093717168321</v>
      </c>
      <c r="K135" s="3">
        <f t="shared" si="33"/>
        <v>0.99995440802241276</v>
      </c>
      <c r="L135" s="3">
        <f t="shared" si="38"/>
        <v>-4.55930169330457E-5</v>
      </c>
      <c r="M135" s="9">
        <f t="shared" si="34"/>
        <v>0.58212058212058215</v>
      </c>
      <c r="N135" s="9">
        <f t="shared" si="35"/>
        <v>0.4178794178794179</v>
      </c>
      <c r="P135">
        <f t="shared" si="36"/>
        <v>78.5</v>
      </c>
      <c r="Q135">
        <f t="shared" si="37"/>
        <v>171.5</v>
      </c>
    </row>
    <row r="136" spans="1:17" x14ac:dyDescent="0.35">
      <c r="A136">
        <v>2023</v>
      </c>
      <c r="B136" s="3">
        <v>169</v>
      </c>
      <c r="C136" s="7">
        <v>39</v>
      </c>
      <c r="D136" s="3">
        <f t="shared" si="27"/>
        <v>21.125</v>
      </c>
      <c r="E136" s="10">
        <f t="shared" si="28"/>
        <v>0.42249999999999999</v>
      </c>
      <c r="F136" s="10">
        <f t="shared" si="29"/>
        <v>0.78</v>
      </c>
      <c r="G136" s="3">
        <f t="shared" si="30"/>
        <v>60.125</v>
      </c>
      <c r="H136" s="3">
        <f t="shared" si="26"/>
        <v>1</v>
      </c>
      <c r="I136" s="3">
        <f t="shared" si="31"/>
        <v>-0.54645333267395979</v>
      </c>
      <c r="J136" s="3">
        <f t="shared" si="32"/>
        <v>1.015055514528977</v>
      </c>
      <c r="K136" s="3">
        <f t="shared" si="33"/>
        <v>0.99993363093536369</v>
      </c>
      <c r="L136" s="3">
        <f t="shared" si="38"/>
        <v>-6.637126716013072E-5</v>
      </c>
      <c r="M136" s="9">
        <f t="shared" si="34"/>
        <v>0.64864864864864868</v>
      </c>
      <c r="N136" s="9">
        <f t="shared" si="35"/>
        <v>0.35135135135135137</v>
      </c>
      <c r="P136">
        <f t="shared" si="36"/>
        <v>299</v>
      </c>
      <c r="Q136">
        <f t="shared" si="37"/>
        <v>76.5</v>
      </c>
    </row>
    <row r="137" spans="1:17" x14ac:dyDescent="0.35">
      <c r="A137">
        <v>2023</v>
      </c>
      <c r="B137" s="3">
        <v>177</v>
      </c>
      <c r="C137" s="7">
        <v>38</v>
      </c>
      <c r="D137" s="3">
        <f t="shared" si="27"/>
        <v>22.125</v>
      </c>
      <c r="E137" s="10">
        <f t="shared" si="28"/>
        <v>0.4425</v>
      </c>
      <c r="F137" s="10">
        <f t="shared" si="29"/>
        <v>0.76</v>
      </c>
      <c r="G137" s="3">
        <f t="shared" si="30"/>
        <v>60.125</v>
      </c>
      <c r="H137" s="3">
        <f t="shared" si="26"/>
        <v>1</v>
      </c>
      <c r="I137" s="3">
        <f t="shared" si="31"/>
        <v>-0.2467714544487207</v>
      </c>
      <c r="J137" s="3">
        <f t="shared" si="32"/>
        <v>0.88680687018965354</v>
      </c>
      <c r="K137" s="3">
        <f t="shared" si="33"/>
        <v>0.99993957777590803</v>
      </c>
      <c r="L137" s="3">
        <f t="shared" si="38"/>
        <v>-6.0424049588087789E-5</v>
      </c>
      <c r="M137" s="9">
        <f t="shared" si="34"/>
        <v>0.63201663201663205</v>
      </c>
      <c r="N137" s="9">
        <f t="shared" si="35"/>
        <v>0.367983367983368</v>
      </c>
      <c r="P137">
        <f t="shared" si="36"/>
        <v>237.5</v>
      </c>
      <c r="Q137">
        <f t="shared" si="37"/>
        <v>103</v>
      </c>
    </row>
    <row r="138" spans="1:17" x14ac:dyDescent="0.35">
      <c r="A138">
        <v>2023</v>
      </c>
      <c r="B138" s="3">
        <v>150</v>
      </c>
      <c r="C138" s="7">
        <v>41</v>
      </c>
      <c r="D138" s="3">
        <f t="shared" si="27"/>
        <v>18.75</v>
      </c>
      <c r="E138" s="10">
        <f t="shared" si="28"/>
        <v>0.375</v>
      </c>
      <c r="F138" s="10">
        <f t="shared" si="29"/>
        <v>0.82</v>
      </c>
      <c r="G138" s="3">
        <f t="shared" si="30"/>
        <v>59.75</v>
      </c>
      <c r="H138" s="3">
        <f t="shared" si="26"/>
        <v>1</v>
      </c>
      <c r="I138" s="3">
        <f t="shared" si="31"/>
        <v>-1.2581977934589028</v>
      </c>
      <c r="J138" s="3">
        <f t="shared" si="32"/>
        <v>1.271552803207624</v>
      </c>
      <c r="K138" s="3">
        <f t="shared" si="33"/>
        <v>0.99988134434046039</v>
      </c>
      <c r="L138" s="3">
        <f t="shared" si="38"/>
        <v>-1.1866269967929017E-4</v>
      </c>
      <c r="M138" s="9">
        <f t="shared" si="34"/>
        <v>0.68619246861924688</v>
      </c>
      <c r="N138" s="9">
        <f t="shared" si="35"/>
        <v>0.31380753138075312</v>
      </c>
      <c r="P138">
        <f t="shared" si="36"/>
        <v>406.5</v>
      </c>
      <c r="Q138">
        <f t="shared" si="37"/>
        <v>27</v>
      </c>
    </row>
    <row r="139" spans="1:17" x14ac:dyDescent="0.35">
      <c r="A139">
        <v>2023</v>
      </c>
      <c r="B139" s="3">
        <v>150</v>
      </c>
      <c r="C139" s="7">
        <v>41</v>
      </c>
      <c r="D139" s="3">
        <f t="shared" si="27"/>
        <v>18.75</v>
      </c>
      <c r="E139" s="10">
        <f t="shared" si="28"/>
        <v>0.375</v>
      </c>
      <c r="F139" s="10">
        <f t="shared" si="29"/>
        <v>0.82</v>
      </c>
      <c r="G139" s="3">
        <f t="shared" si="30"/>
        <v>59.75</v>
      </c>
      <c r="H139" s="3">
        <f t="shared" si="26"/>
        <v>1</v>
      </c>
      <c r="I139" s="3">
        <f t="shared" si="31"/>
        <v>-1.2581977934589028</v>
      </c>
      <c r="J139" s="3">
        <f t="shared" si="32"/>
        <v>1.271552803207624</v>
      </c>
      <c r="K139" s="3">
        <f t="shared" si="33"/>
        <v>0.99988134434046039</v>
      </c>
      <c r="L139" s="3">
        <f t="shared" si="38"/>
        <v>-1.1866269967929017E-4</v>
      </c>
      <c r="M139" s="9">
        <f t="shared" si="34"/>
        <v>0.68619246861924688</v>
      </c>
      <c r="N139" s="9">
        <f t="shared" si="35"/>
        <v>0.31380753138075312</v>
      </c>
      <c r="P139">
        <f t="shared" si="36"/>
        <v>406.5</v>
      </c>
      <c r="Q139">
        <f t="shared" si="37"/>
        <v>27</v>
      </c>
    </row>
    <row r="140" spans="1:17" x14ac:dyDescent="0.35">
      <c r="A140">
        <v>2023</v>
      </c>
      <c r="B140" s="3">
        <v>164</v>
      </c>
      <c r="C140" s="7">
        <v>39</v>
      </c>
      <c r="D140" s="3">
        <f t="shared" si="27"/>
        <v>20.5</v>
      </c>
      <c r="E140" s="10">
        <f t="shared" si="28"/>
        <v>0.41</v>
      </c>
      <c r="F140" s="10">
        <f t="shared" si="29"/>
        <v>0.78</v>
      </c>
      <c r="G140" s="3">
        <f t="shared" si="30"/>
        <v>59.5</v>
      </c>
      <c r="H140" s="3">
        <f t="shared" si="26"/>
        <v>1</v>
      </c>
      <c r="I140" s="3">
        <f t="shared" si="31"/>
        <v>-0.73375450656473429</v>
      </c>
      <c r="J140" s="3">
        <f t="shared" si="32"/>
        <v>1.015055514528977</v>
      </c>
      <c r="K140" s="3">
        <f t="shared" si="33"/>
        <v>0.99987217684069807</v>
      </c>
      <c r="L140" s="3">
        <f t="shared" si="38"/>
        <v>-1.2783132937818289E-4</v>
      </c>
      <c r="M140" s="9">
        <f t="shared" si="34"/>
        <v>0.65546218487394958</v>
      </c>
      <c r="N140" s="9">
        <f t="shared" si="35"/>
        <v>0.34453781512605042</v>
      </c>
      <c r="P140">
        <f t="shared" si="36"/>
        <v>348.5</v>
      </c>
      <c r="Q140">
        <f t="shared" si="37"/>
        <v>76.5</v>
      </c>
    </row>
    <row r="141" spans="1:17" x14ac:dyDescent="0.35">
      <c r="A141">
        <v>2023</v>
      </c>
      <c r="B141" s="3">
        <v>166</v>
      </c>
      <c r="C141" s="7">
        <v>38</v>
      </c>
      <c r="D141" s="3">
        <f t="shared" si="27"/>
        <v>20.75</v>
      </c>
      <c r="E141" s="10">
        <f t="shared" si="28"/>
        <v>0.41499999999999998</v>
      </c>
      <c r="F141" s="10">
        <f t="shared" si="29"/>
        <v>0.76</v>
      </c>
      <c r="G141" s="3">
        <f t="shared" si="30"/>
        <v>58.75</v>
      </c>
      <c r="H141" s="3">
        <f t="shared" si="26"/>
        <v>1</v>
      </c>
      <c r="I141" s="3">
        <f t="shared" si="31"/>
        <v>-0.65883403700842447</v>
      </c>
      <c r="J141" s="3">
        <f t="shared" si="32"/>
        <v>0.88680687018965354</v>
      </c>
      <c r="K141" s="3">
        <f t="shared" si="33"/>
        <v>0.99974450219909605</v>
      </c>
      <c r="L141" s="3">
        <f t="shared" si="38"/>
        <v>-2.5553044602770437E-4</v>
      </c>
      <c r="M141" s="9">
        <f t="shared" si="34"/>
        <v>0.64680851063829792</v>
      </c>
      <c r="N141" s="9">
        <f t="shared" si="35"/>
        <v>0.35319148936170214</v>
      </c>
      <c r="P141">
        <f t="shared" si="36"/>
        <v>334.5</v>
      </c>
      <c r="Q141">
        <f t="shared" si="37"/>
        <v>103</v>
      </c>
    </row>
    <row r="142" spans="1:17" x14ac:dyDescent="0.35">
      <c r="A142">
        <v>2023</v>
      </c>
      <c r="B142" s="3">
        <v>197</v>
      </c>
      <c r="C142" s="7">
        <v>34</v>
      </c>
      <c r="D142" s="3">
        <f t="shared" si="27"/>
        <v>24.625</v>
      </c>
      <c r="E142" s="10">
        <f t="shared" si="28"/>
        <v>0.49249999999999999</v>
      </c>
      <c r="F142" s="10">
        <f t="shared" si="29"/>
        <v>0.68</v>
      </c>
      <c r="G142" s="3">
        <f t="shared" si="30"/>
        <v>58.625</v>
      </c>
      <c r="H142" s="3">
        <f t="shared" si="26"/>
        <v>1</v>
      </c>
      <c r="I142" s="3">
        <f t="shared" si="31"/>
        <v>0.50243324111437704</v>
      </c>
      <c r="J142" s="3">
        <f t="shared" si="32"/>
        <v>0.37381229283235973</v>
      </c>
      <c r="K142" s="3">
        <f t="shared" si="33"/>
        <v>0.99979989449035489</v>
      </c>
      <c r="L142" s="3">
        <f t="shared" si="38"/>
        <v>-2.0012553342389522E-4</v>
      </c>
      <c r="M142" s="9">
        <f t="shared" si="34"/>
        <v>0.57995735607675902</v>
      </c>
      <c r="N142" s="9">
        <f t="shared" si="35"/>
        <v>0.42004264392324092</v>
      </c>
      <c r="P142">
        <f t="shared" si="36"/>
        <v>102.5</v>
      </c>
      <c r="Q142">
        <f t="shared" si="37"/>
        <v>189.5</v>
      </c>
    </row>
    <row r="143" spans="1:17" x14ac:dyDescent="0.35">
      <c r="A143">
        <v>2023</v>
      </c>
      <c r="B143" s="3">
        <v>170</v>
      </c>
      <c r="C143" s="7">
        <v>37</v>
      </c>
      <c r="D143" s="3">
        <f t="shared" si="27"/>
        <v>21.25</v>
      </c>
      <c r="E143" s="10">
        <f t="shared" si="28"/>
        <v>0.42499999999999999</v>
      </c>
      <c r="F143" s="10">
        <f t="shared" si="29"/>
        <v>0.74</v>
      </c>
      <c r="G143" s="3">
        <f t="shared" si="30"/>
        <v>58.25</v>
      </c>
      <c r="H143" s="3">
        <f t="shared" si="26"/>
        <v>1</v>
      </c>
      <c r="I143" s="3">
        <f t="shared" si="31"/>
        <v>-0.50899309789580494</v>
      </c>
      <c r="J143" s="3">
        <f t="shared" si="32"/>
        <v>0.75855822585033006</v>
      </c>
      <c r="K143" s="3">
        <f t="shared" si="33"/>
        <v>0.99960709067945896</v>
      </c>
      <c r="L143" s="3">
        <f t="shared" si="38"/>
        <v>-3.9298652963289587E-4</v>
      </c>
      <c r="M143" s="9">
        <f t="shared" si="34"/>
        <v>0.63519313304721026</v>
      </c>
      <c r="N143" s="9">
        <f t="shared" si="35"/>
        <v>0.36480686695278969</v>
      </c>
      <c r="P143">
        <f t="shared" si="36"/>
        <v>287.5</v>
      </c>
      <c r="Q143">
        <f t="shared" si="37"/>
        <v>128</v>
      </c>
    </row>
    <row r="144" spans="1:17" x14ac:dyDescent="0.35">
      <c r="A144">
        <v>2023</v>
      </c>
      <c r="B144" s="3">
        <v>142</v>
      </c>
      <c r="C144" s="7">
        <v>40</v>
      </c>
      <c r="D144" s="3">
        <f t="shared" si="27"/>
        <v>17.75</v>
      </c>
      <c r="E144" s="10">
        <f t="shared" si="28"/>
        <v>0.35499999999999998</v>
      </c>
      <c r="F144" s="10">
        <f t="shared" si="29"/>
        <v>0.8</v>
      </c>
      <c r="G144" s="3">
        <f t="shared" si="30"/>
        <v>57.75</v>
      </c>
      <c r="H144" s="3">
        <f t="shared" si="26"/>
        <v>1</v>
      </c>
      <c r="I144" s="3">
        <f t="shared" si="31"/>
        <v>-1.5578796716841419</v>
      </c>
      <c r="J144" s="3">
        <f t="shared" si="32"/>
        <v>1.1433041588683004</v>
      </c>
      <c r="K144" s="3">
        <f t="shared" si="33"/>
        <v>0.99912071003671066</v>
      </c>
      <c r="L144" s="3">
        <f t="shared" si="38"/>
        <v>-8.7967676546658337E-4</v>
      </c>
      <c r="M144" s="9">
        <f t="shared" si="34"/>
        <v>0.69264069264069261</v>
      </c>
      <c r="N144" s="9">
        <f t="shared" si="35"/>
        <v>0.30735930735930733</v>
      </c>
      <c r="P144">
        <f t="shared" si="36"/>
        <v>428</v>
      </c>
      <c r="Q144">
        <f t="shared" si="37"/>
        <v>50.5</v>
      </c>
    </row>
    <row r="145" spans="1:17" x14ac:dyDescent="0.35">
      <c r="A145">
        <v>2023</v>
      </c>
      <c r="B145" s="3">
        <v>245</v>
      </c>
      <c r="C145" s="7">
        <v>27</v>
      </c>
      <c r="D145" s="3">
        <f t="shared" si="27"/>
        <v>30.625</v>
      </c>
      <c r="E145" s="10">
        <f t="shared" si="28"/>
        <v>0.61250000000000004</v>
      </c>
      <c r="F145" s="10">
        <f t="shared" si="29"/>
        <v>0.54</v>
      </c>
      <c r="G145" s="3">
        <f t="shared" si="30"/>
        <v>57.625</v>
      </c>
      <c r="H145" s="3">
        <f t="shared" si="26"/>
        <v>1</v>
      </c>
      <c r="I145" s="3">
        <f t="shared" si="31"/>
        <v>2.3005245104658116</v>
      </c>
      <c r="J145" s="3">
        <f t="shared" si="32"/>
        <v>-0.52392821754290453</v>
      </c>
      <c r="K145" s="3">
        <f t="shared" si="33"/>
        <v>0.99970400167752449</v>
      </c>
      <c r="L145" s="3">
        <f t="shared" si="38"/>
        <v>-2.9604213862551568E-4</v>
      </c>
      <c r="M145" s="9">
        <f t="shared" si="34"/>
        <v>0.46854663774403471</v>
      </c>
      <c r="N145" s="9">
        <f t="shared" si="35"/>
        <v>0.53145336225596529</v>
      </c>
      <c r="P145">
        <f t="shared" si="36"/>
        <v>11.5</v>
      </c>
      <c r="Q145">
        <f t="shared" si="37"/>
        <v>294.5</v>
      </c>
    </row>
    <row r="146" spans="1:17" x14ac:dyDescent="0.35">
      <c r="A146">
        <v>2023</v>
      </c>
      <c r="B146" s="3">
        <v>179</v>
      </c>
      <c r="C146" s="7">
        <v>35</v>
      </c>
      <c r="D146" s="3">
        <f t="shared" si="27"/>
        <v>22.375</v>
      </c>
      <c r="E146" s="10">
        <f t="shared" si="28"/>
        <v>0.44750000000000001</v>
      </c>
      <c r="F146" s="10">
        <f t="shared" si="29"/>
        <v>0.7</v>
      </c>
      <c r="G146" s="3">
        <f t="shared" si="30"/>
        <v>57.375</v>
      </c>
      <c r="H146" s="3">
        <f t="shared" si="26"/>
        <v>1</v>
      </c>
      <c r="I146" s="3">
        <f t="shared" si="31"/>
        <v>-0.17185098489241094</v>
      </c>
      <c r="J146" s="3">
        <f t="shared" si="32"/>
        <v>0.50206093717168321</v>
      </c>
      <c r="K146" s="3">
        <f t="shared" si="33"/>
        <v>0.99918509953445867</v>
      </c>
      <c r="L146" s="3">
        <f t="shared" si="38"/>
        <v>-8.1523267741770791E-4</v>
      </c>
      <c r="M146" s="9">
        <f t="shared" si="34"/>
        <v>0.61002178649237471</v>
      </c>
      <c r="N146" s="9">
        <f t="shared" si="35"/>
        <v>0.38997821350762529</v>
      </c>
      <c r="P146">
        <f t="shared" si="36"/>
        <v>223.5</v>
      </c>
      <c r="Q146">
        <f t="shared" si="37"/>
        <v>171.5</v>
      </c>
    </row>
    <row r="147" spans="1:17" x14ac:dyDescent="0.35">
      <c r="A147">
        <v>2023</v>
      </c>
      <c r="B147" s="3">
        <v>179</v>
      </c>
      <c r="C147" s="7">
        <v>35</v>
      </c>
      <c r="D147" s="3">
        <f t="shared" si="27"/>
        <v>22.375</v>
      </c>
      <c r="E147" s="10">
        <f t="shared" si="28"/>
        <v>0.44750000000000001</v>
      </c>
      <c r="F147" s="10">
        <f t="shared" si="29"/>
        <v>0.7</v>
      </c>
      <c r="G147" s="3">
        <f t="shared" si="30"/>
        <v>57.375</v>
      </c>
      <c r="H147" s="3">
        <f t="shared" si="26"/>
        <v>1</v>
      </c>
      <c r="I147" s="3">
        <f t="shared" si="31"/>
        <v>-0.17185098489241094</v>
      </c>
      <c r="J147" s="3">
        <f t="shared" si="32"/>
        <v>0.50206093717168321</v>
      </c>
      <c r="K147" s="3">
        <f t="shared" si="33"/>
        <v>0.99918509953445867</v>
      </c>
      <c r="L147" s="3">
        <f t="shared" si="38"/>
        <v>-8.1523267741770791E-4</v>
      </c>
      <c r="M147" s="9">
        <f t="shared" si="34"/>
        <v>0.61002178649237471</v>
      </c>
      <c r="N147" s="9">
        <f t="shared" si="35"/>
        <v>0.38997821350762529</v>
      </c>
      <c r="P147">
        <f t="shared" si="36"/>
        <v>223.5</v>
      </c>
      <c r="Q147">
        <f t="shared" si="37"/>
        <v>171.5</v>
      </c>
    </row>
    <row r="148" spans="1:17" x14ac:dyDescent="0.35">
      <c r="A148">
        <v>2023</v>
      </c>
      <c r="B148" s="3">
        <v>171</v>
      </c>
      <c r="C148" s="7">
        <v>36</v>
      </c>
      <c r="D148" s="3">
        <f t="shared" si="27"/>
        <v>21.375</v>
      </c>
      <c r="E148" s="10">
        <f t="shared" si="28"/>
        <v>0.42749999999999999</v>
      </c>
      <c r="F148" s="10">
        <f t="shared" si="29"/>
        <v>0.72</v>
      </c>
      <c r="G148" s="3">
        <f t="shared" si="30"/>
        <v>57.375</v>
      </c>
      <c r="H148" s="3">
        <f t="shared" si="26"/>
        <v>1</v>
      </c>
      <c r="I148" s="3">
        <f t="shared" si="31"/>
        <v>-0.47153286311765003</v>
      </c>
      <c r="J148" s="3">
        <f t="shared" si="32"/>
        <v>0.63030958151100658</v>
      </c>
      <c r="K148" s="3">
        <f t="shared" si="33"/>
        <v>0.99910496234756296</v>
      </c>
      <c r="L148" s="3">
        <f t="shared" si="38"/>
        <v>-8.9543843779984859E-4</v>
      </c>
      <c r="M148" s="9">
        <f t="shared" si="34"/>
        <v>0.62745098039215685</v>
      </c>
      <c r="N148" s="9">
        <f t="shared" si="35"/>
        <v>0.37254901960784315</v>
      </c>
      <c r="P148">
        <f t="shared" si="36"/>
        <v>278</v>
      </c>
      <c r="Q148">
        <f t="shared" si="37"/>
        <v>152</v>
      </c>
    </row>
    <row r="149" spans="1:17" x14ac:dyDescent="0.35">
      <c r="A149">
        <v>2023</v>
      </c>
      <c r="B149" s="3">
        <v>226</v>
      </c>
      <c r="C149" s="7">
        <v>29</v>
      </c>
      <c r="D149" s="3">
        <f t="shared" si="27"/>
        <v>28.25</v>
      </c>
      <c r="E149" s="10">
        <f t="shared" si="28"/>
        <v>0.56499999999999995</v>
      </c>
      <c r="F149" s="10">
        <f t="shared" si="29"/>
        <v>0.57999999999999996</v>
      </c>
      <c r="G149" s="3">
        <f t="shared" si="30"/>
        <v>57.25</v>
      </c>
      <c r="H149" s="3">
        <f t="shared" si="26"/>
        <v>1</v>
      </c>
      <c r="I149" s="3">
        <f t="shared" si="31"/>
        <v>1.5887800496808688</v>
      </c>
      <c r="J149" s="3">
        <f t="shared" si="32"/>
        <v>-0.26743092886425757</v>
      </c>
      <c r="K149" s="3">
        <f t="shared" si="33"/>
        <v>0.99947090525753612</v>
      </c>
      <c r="L149" s="3">
        <f t="shared" si="38"/>
        <v>-5.2923476247854131E-4</v>
      </c>
      <c r="M149" s="9">
        <f t="shared" si="34"/>
        <v>0.50655021834061131</v>
      </c>
      <c r="N149" s="9">
        <f t="shared" si="35"/>
        <v>0.49344978165938863</v>
      </c>
      <c r="P149">
        <f t="shared" si="36"/>
        <v>30</v>
      </c>
      <c r="Q149">
        <f t="shared" si="37"/>
        <v>272.5</v>
      </c>
    </row>
    <row r="150" spans="1:17" x14ac:dyDescent="0.35">
      <c r="A150">
        <v>2023</v>
      </c>
      <c r="B150" s="3">
        <v>192</v>
      </c>
      <c r="C150" s="7">
        <v>33</v>
      </c>
      <c r="D150" s="3">
        <f t="shared" si="27"/>
        <v>24</v>
      </c>
      <c r="E150" s="10">
        <f t="shared" si="28"/>
        <v>0.48</v>
      </c>
      <c r="F150" s="10">
        <f t="shared" si="29"/>
        <v>0.66</v>
      </c>
      <c r="G150" s="3">
        <f t="shared" si="30"/>
        <v>57</v>
      </c>
      <c r="H150" s="3">
        <f t="shared" si="26"/>
        <v>1</v>
      </c>
      <c r="I150" s="3">
        <f t="shared" si="31"/>
        <v>0.31513206722360265</v>
      </c>
      <c r="J150" s="3">
        <f t="shared" si="32"/>
        <v>0.24556364849303625</v>
      </c>
      <c r="K150" s="3">
        <f t="shared" si="33"/>
        <v>0.99899934815162938</v>
      </c>
      <c r="L150" s="3">
        <f t="shared" si="38"/>
        <v>-1.0011528346678988E-3</v>
      </c>
      <c r="M150" s="9">
        <f t="shared" si="34"/>
        <v>0.57894736842105265</v>
      </c>
      <c r="N150" s="9">
        <f t="shared" si="35"/>
        <v>0.42105263157894735</v>
      </c>
      <c r="P150">
        <f t="shared" si="36"/>
        <v>129.5</v>
      </c>
      <c r="Q150">
        <f t="shared" si="37"/>
        <v>208.5</v>
      </c>
    </row>
    <row r="151" spans="1:17" x14ac:dyDescent="0.35">
      <c r="A151">
        <v>2023</v>
      </c>
      <c r="B151" s="3">
        <v>174</v>
      </c>
      <c r="C151" s="7">
        <v>35</v>
      </c>
      <c r="D151" s="3">
        <f t="shared" si="27"/>
        <v>21.75</v>
      </c>
      <c r="E151" s="10">
        <f t="shared" si="28"/>
        <v>0.435</v>
      </c>
      <c r="F151" s="10">
        <f t="shared" si="29"/>
        <v>0.7</v>
      </c>
      <c r="G151" s="3">
        <f t="shared" si="30"/>
        <v>56.75</v>
      </c>
      <c r="H151" s="3">
        <f t="shared" si="26"/>
        <v>1</v>
      </c>
      <c r="I151" s="3">
        <f t="shared" si="31"/>
        <v>-0.3591521587831854</v>
      </c>
      <c r="J151" s="3">
        <f t="shared" si="32"/>
        <v>0.50206093717168321</v>
      </c>
      <c r="K151" s="3">
        <f t="shared" si="33"/>
        <v>0.99843163373697386</v>
      </c>
      <c r="L151" s="3">
        <f t="shared" si="38"/>
        <v>-1.5695974368496884E-3</v>
      </c>
      <c r="M151" s="9">
        <f t="shared" si="34"/>
        <v>0.61674008810572689</v>
      </c>
      <c r="N151" s="9">
        <f t="shared" si="35"/>
        <v>0.38325991189427311</v>
      </c>
      <c r="P151">
        <f t="shared" si="36"/>
        <v>261</v>
      </c>
      <c r="Q151">
        <f t="shared" si="37"/>
        <v>171.5</v>
      </c>
    </row>
    <row r="152" spans="1:17" x14ac:dyDescent="0.35">
      <c r="A152">
        <v>2023</v>
      </c>
      <c r="B152" s="3">
        <v>171</v>
      </c>
      <c r="C152" s="7">
        <v>34</v>
      </c>
      <c r="D152" s="3">
        <f t="shared" si="27"/>
        <v>21.375</v>
      </c>
      <c r="E152" s="10">
        <f t="shared" si="28"/>
        <v>0.42749999999999999</v>
      </c>
      <c r="F152" s="10">
        <f t="shared" si="29"/>
        <v>0.68</v>
      </c>
      <c r="G152" s="3">
        <f t="shared" si="30"/>
        <v>55.375</v>
      </c>
      <c r="H152" s="3">
        <f t="shared" si="26"/>
        <v>1</v>
      </c>
      <c r="I152" s="3">
        <f t="shared" si="31"/>
        <v>-0.47153286311765003</v>
      </c>
      <c r="J152" s="3">
        <f t="shared" si="32"/>
        <v>0.37381229283235973</v>
      </c>
      <c r="K152" s="3">
        <f t="shared" si="33"/>
        <v>0.99398806950272167</v>
      </c>
      <c r="L152" s="3">
        <f t="shared" si="38"/>
        <v>-6.0300749099461868E-3</v>
      </c>
      <c r="M152" s="9">
        <f t="shared" si="34"/>
        <v>0.61399548532731374</v>
      </c>
      <c r="N152" s="9">
        <f t="shared" si="35"/>
        <v>0.38600451467268621</v>
      </c>
      <c r="P152">
        <f t="shared" si="36"/>
        <v>278</v>
      </c>
      <c r="Q152">
        <f t="shared" si="37"/>
        <v>189.5</v>
      </c>
    </row>
    <row r="153" spans="1:17" x14ac:dyDescent="0.35">
      <c r="A153">
        <v>2023</v>
      </c>
      <c r="B153" s="3">
        <v>168</v>
      </c>
      <c r="C153" s="7">
        <v>34</v>
      </c>
      <c r="D153" s="3">
        <f t="shared" si="27"/>
        <v>21</v>
      </c>
      <c r="E153" s="10">
        <f t="shared" si="28"/>
        <v>0.42</v>
      </c>
      <c r="F153" s="10">
        <f t="shared" si="29"/>
        <v>0.68</v>
      </c>
      <c r="G153" s="3">
        <f t="shared" si="30"/>
        <v>55</v>
      </c>
      <c r="H153" s="3">
        <f t="shared" si="26"/>
        <v>1</v>
      </c>
      <c r="I153" s="3">
        <f t="shared" si="31"/>
        <v>-0.58391356745211476</v>
      </c>
      <c r="J153" s="3">
        <f t="shared" si="32"/>
        <v>0.37381229283235973</v>
      </c>
      <c r="K153" s="3">
        <f t="shared" si="33"/>
        <v>0.99111699253976959</v>
      </c>
      <c r="L153" s="3">
        <f t="shared" si="38"/>
        <v>-8.9226965850109606E-3</v>
      </c>
      <c r="M153" s="9">
        <f t="shared" si="34"/>
        <v>0.61818181818181817</v>
      </c>
      <c r="N153" s="9">
        <f t="shared" si="35"/>
        <v>0.38181818181818183</v>
      </c>
      <c r="P153">
        <f t="shared" si="36"/>
        <v>311.5</v>
      </c>
      <c r="Q153">
        <f t="shared" si="37"/>
        <v>189.5</v>
      </c>
    </row>
    <row r="154" spans="1:17" x14ac:dyDescent="0.35">
      <c r="A154">
        <v>2023</v>
      </c>
      <c r="B154" s="3">
        <v>167</v>
      </c>
      <c r="C154" s="7">
        <v>33</v>
      </c>
      <c r="D154" s="3">
        <f t="shared" si="27"/>
        <v>20.875</v>
      </c>
      <c r="E154" s="10">
        <f t="shared" si="28"/>
        <v>0.41749999999999998</v>
      </c>
      <c r="F154" s="10">
        <f t="shared" si="29"/>
        <v>0.66</v>
      </c>
      <c r="G154" s="3">
        <f t="shared" si="30"/>
        <v>53.875</v>
      </c>
      <c r="H154" s="3">
        <f t="shared" si="26"/>
        <v>1</v>
      </c>
      <c r="I154" s="3">
        <f t="shared" si="31"/>
        <v>-0.62137380223026961</v>
      </c>
      <c r="J154" s="3">
        <f t="shared" si="32"/>
        <v>0.24556364849303625</v>
      </c>
      <c r="K154" s="3">
        <f t="shared" si="33"/>
        <v>0.9741363243038722</v>
      </c>
      <c r="L154" s="3">
        <f t="shared" si="38"/>
        <v>-2.6204021782559754E-2</v>
      </c>
      <c r="M154" s="9">
        <f t="shared" si="34"/>
        <v>0.61252900232018559</v>
      </c>
      <c r="N154" s="9">
        <f t="shared" si="35"/>
        <v>0.38747099767981441</v>
      </c>
      <c r="P154">
        <f t="shared" si="36"/>
        <v>323</v>
      </c>
      <c r="Q154">
        <f t="shared" si="37"/>
        <v>208.5</v>
      </c>
    </row>
    <row r="155" spans="1:17" x14ac:dyDescent="0.35">
      <c r="A155">
        <v>2023</v>
      </c>
      <c r="B155" s="3">
        <v>221</v>
      </c>
      <c r="C155" s="7">
        <v>26</v>
      </c>
      <c r="D155" s="3">
        <f t="shared" si="27"/>
        <v>27.625</v>
      </c>
      <c r="E155" s="10">
        <f t="shared" si="28"/>
        <v>0.55249999999999999</v>
      </c>
      <c r="F155" s="10">
        <f t="shared" si="29"/>
        <v>0.52</v>
      </c>
      <c r="G155" s="3">
        <f t="shared" si="30"/>
        <v>53.625</v>
      </c>
      <c r="H155" s="3">
        <f t="shared" si="26"/>
        <v>1</v>
      </c>
      <c r="I155" s="3">
        <f t="shared" si="31"/>
        <v>1.4014788757900944</v>
      </c>
      <c r="J155" s="3">
        <f t="shared" si="32"/>
        <v>-0.65217686188222801</v>
      </c>
      <c r="K155" s="3">
        <f t="shared" si="33"/>
        <v>0.98242731414496265</v>
      </c>
      <c r="L155" s="3">
        <f t="shared" si="38"/>
        <v>-1.7728918489446882E-2</v>
      </c>
      <c r="M155" s="9">
        <f t="shared" si="34"/>
        <v>0.48484848484848486</v>
      </c>
      <c r="N155" s="9">
        <f t="shared" si="35"/>
        <v>0.51515151515151514</v>
      </c>
      <c r="P155">
        <f t="shared" si="36"/>
        <v>39</v>
      </c>
      <c r="Q155">
        <f t="shared" si="37"/>
        <v>312.5</v>
      </c>
    </row>
    <row r="156" spans="1:17" x14ac:dyDescent="0.35">
      <c r="A156">
        <v>2023</v>
      </c>
      <c r="B156" s="3">
        <v>245</v>
      </c>
      <c r="C156" s="7">
        <v>23</v>
      </c>
      <c r="D156" s="3">
        <f t="shared" si="27"/>
        <v>30.625</v>
      </c>
      <c r="E156" s="10">
        <f t="shared" si="28"/>
        <v>0.61250000000000004</v>
      </c>
      <c r="F156" s="10">
        <f t="shared" si="29"/>
        <v>0.46</v>
      </c>
      <c r="G156" s="3">
        <f t="shared" si="30"/>
        <v>53.625</v>
      </c>
      <c r="H156" s="3">
        <f t="shared" si="26"/>
        <v>1</v>
      </c>
      <c r="I156" s="3">
        <f t="shared" si="31"/>
        <v>2.3005245104658116</v>
      </c>
      <c r="J156" s="3">
        <f t="shared" si="32"/>
        <v>-1.0369227949001982</v>
      </c>
      <c r="K156" s="3">
        <f t="shared" si="33"/>
        <v>0.98668317412380557</v>
      </c>
      <c r="L156" s="3">
        <f t="shared" si="38"/>
        <v>-1.3406289941210431E-2</v>
      </c>
      <c r="M156" s="9">
        <f t="shared" si="34"/>
        <v>0.42890442890442892</v>
      </c>
      <c r="N156" s="9">
        <f t="shared" si="35"/>
        <v>0.57109557109557108</v>
      </c>
      <c r="P156">
        <f t="shared" si="36"/>
        <v>11.5</v>
      </c>
      <c r="Q156">
        <f t="shared" si="37"/>
        <v>352.5</v>
      </c>
    </row>
    <row r="157" spans="1:17" x14ac:dyDescent="0.35">
      <c r="A157">
        <v>2023</v>
      </c>
      <c r="B157" s="3">
        <v>159</v>
      </c>
      <c r="C157" s="7">
        <v>33</v>
      </c>
      <c r="D157" s="3">
        <f t="shared" si="27"/>
        <v>19.875</v>
      </c>
      <c r="E157" s="10">
        <f t="shared" si="28"/>
        <v>0.39750000000000002</v>
      </c>
      <c r="F157" s="10">
        <f t="shared" si="29"/>
        <v>0.66</v>
      </c>
      <c r="G157" s="3">
        <f t="shared" si="30"/>
        <v>52.875</v>
      </c>
      <c r="H157" s="3">
        <f t="shared" si="26"/>
        <v>1</v>
      </c>
      <c r="I157" s="3">
        <f t="shared" si="31"/>
        <v>-0.92105568045550867</v>
      </c>
      <c r="J157" s="3">
        <f t="shared" si="32"/>
        <v>0.24556364849303625</v>
      </c>
      <c r="K157" s="3">
        <f t="shared" si="33"/>
        <v>0.92955978053994781</v>
      </c>
      <c r="L157" s="3">
        <f t="shared" si="38"/>
        <v>-7.3044159160449387E-2</v>
      </c>
      <c r="M157" s="9">
        <f t="shared" si="34"/>
        <v>0.62411347517730498</v>
      </c>
      <c r="N157" s="9">
        <f t="shared" si="35"/>
        <v>0.37588652482269502</v>
      </c>
      <c r="P157">
        <f t="shared" si="36"/>
        <v>378</v>
      </c>
      <c r="Q157">
        <f t="shared" si="37"/>
        <v>208.5</v>
      </c>
    </row>
    <row r="158" spans="1:17" x14ac:dyDescent="0.35">
      <c r="A158">
        <v>2023</v>
      </c>
      <c r="B158" s="3">
        <v>181</v>
      </c>
      <c r="C158" s="7">
        <v>30</v>
      </c>
      <c r="D158" s="3">
        <f t="shared" si="27"/>
        <v>22.625</v>
      </c>
      <c r="E158" s="10">
        <f t="shared" si="28"/>
        <v>0.45250000000000001</v>
      </c>
      <c r="F158" s="10">
        <f t="shared" si="29"/>
        <v>0.6</v>
      </c>
      <c r="G158" s="3">
        <f t="shared" si="30"/>
        <v>52.625</v>
      </c>
      <c r="H158" s="3">
        <f t="shared" ref="H158:H221" si="39">IF(G158&gt;=50,1,0)</f>
        <v>1</v>
      </c>
      <c r="I158" s="3">
        <f t="shared" si="31"/>
        <v>-9.6930515336101156E-2</v>
      </c>
      <c r="J158" s="3">
        <f t="shared" si="32"/>
        <v>-0.13918228452493411</v>
      </c>
      <c r="K158" s="3">
        <f t="shared" si="33"/>
        <v>0.93082266543140968</v>
      </c>
      <c r="L158" s="3">
        <f t="shared" si="38"/>
        <v>-7.1686497365499063E-2</v>
      </c>
      <c r="M158" s="9">
        <f t="shared" si="34"/>
        <v>0.57007125890736343</v>
      </c>
      <c r="N158" s="9">
        <f t="shared" si="35"/>
        <v>0.42992874109263657</v>
      </c>
      <c r="P158">
        <f t="shared" si="36"/>
        <v>209.5</v>
      </c>
      <c r="Q158">
        <f t="shared" si="37"/>
        <v>259</v>
      </c>
    </row>
    <row r="159" spans="1:17" x14ac:dyDescent="0.35">
      <c r="A159">
        <v>2023</v>
      </c>
      <c r="B159" s="3">
        <v>210</v>
      </c>
      <c r="C159" s="7">
        <v>26</v>
      </c>
      <c r="D159" s="3">
        <f t="shared" si="27"/>
        <v>26.25</v>
      </c>
      <c r="E159" s="10">
        <f t="shared" si="28"/>
        <v>0.52500000000000002</v>
      </c>
      <c r="F159" s="10">
        <f t="shared" si="29"/>
        <v>0.52</v>
      </c>
      <c r="G159" s="3">
        <f t="shared" si="30"/>
        <v>52.25</v>
      </c>
      <c r="H159" s="3">
        <f t="shared" si="39"/>
        <v>1</v>
      </c>
      <c r="I159" s="3">
        <f t="shared" si="31"/>
        <v>0.9894162932303906</v>
      </c>
      <c r="J159" s="3">
        <f t="shared" si="32"/>
        <v>-0.65217686188222801</v>
      </c>
      <c r="K159" s="3">
        <f t="shared" si="33"/>
        <v>0.92966983305535889</v>
      </c>
      <c r="L159" s="3">
        <f t="shared" si="38"/>
        <v>-7.2925774088767145E-2</v>
      </c>
      <c r="M159" s="9">
        <f t="shared" si="34"/>
        <v>0.49760765550239233</v>
      </c>
      <c r="N159" s="9">
        <f t="shared" si="35"/>
        <v>0.50239234449760761</v>
      </c>
      <c r="P159">
        <f t="shared" si="36"/>
        <v>52</v>
      </c>
      <c r="Q159">
        <f t="shared" si="37"/>
        <v>312.5</v>
      </c>
    </row>
    <row r="160" spans="1:17" x14ac:dyDescent="0.35">
      <c r="A160">
        <v>2023</v>
      </c>
      <c r="B160" s="3">
        <v>167</v>
      </c>
      <c r="C160" s="7">
        <v>31</v>
      </c>
      <c r="D160" s="3">
        <f t="shared" si="27"/>
        <v>20.875</v>
      </c>
      <c r="E160" s="10">
        <f t="shared" si="28"/>
        <v>0.41749999999999998</v>
      </c>
      <c r="F160" s="10">
        <f t="shared" si="29"/>
        <v>0.62</v>
      </c>
      <c r="G160" s="3">
        <f t="shared" si="30"/>
        <v>51.875</v>
      </c>
      <c r="H160" s="3">
        <f t="shared" si="39"/>
        <v>1</v>
      </c>
      <c r="I160" s="3">
        <f t="shared" si="31"/>
        <v>-0.62137380223026961</v>
      </c>
      <c r="J160" s="3">
        <f t="shared" si="32"/>
        <v>-1.0933640185610671E-2</v>
      </c>
      <c r="K160" s="3">
        <f t="shared" si="33"/>
        <v>0.84799247248333209</v>
      </c>
      <c r="L160" s="3">
        <f t="shared" si="38"/>
        <v>-0.16488352001815637</v>
      </c>
      <c r="M160" s="9">
        <f t="shared" si="34"/>
        <v>0.59759036144578315</v>
      </c>
      <c r="N160" s="9">
        <f t="shared" si="35"/>
        <v>0.40240963855421685</v>
      </c>
      <c r="P160">
        <f t="shared" si="36"/>
        <v>323</v>
      </c>
      <c r="Q160">
        <f t="shared" si="37"/>
        <v>239.5</v>
      </c>
    </row>
    <row r="161" spans="1:17" x14ac:dyDescent="0.35">
      <c r="A161">
        <v>2023</v>
      </c>
      <c r="B161" s="3">
        <v>164</v>
      </c>
      <c r="C161" s="7">
        <v>31</v>
      </c>
      <c r="D161" s="3">
        <f t="shared" si="27"/>
        <v>20.5</v>
      </c>
      <c r="E161" s="10">
        <f t="shared" si="28"/>
        <v>0.41</v>
      </c>
      <c r="F161" s="10">
        <f t="shared" si="29"/>
        <v>0.62</v>
      </c>
      <c r="G161" s="3">
        <f t="shared" si="30"/>
        <v>51.5</v>
      </c>
      <c r="H161" s="3">
        <f t="shared" si="39"/>
        <v>1</v>
      </c>
      <c r="I161" s="3">
        <f t="shared" si="31"/>
        <v>-0.73375450656473429</v>
      </c>
      <c r="J161" s="3">
        <f t="shared" si="32"/>
        <v>-1.0933640185610671E-2</v>
      </c>
      <c r="K161" s="3">
        <f t="shared" si="33"/>
        <v>0.79012098407401876</v>
      </c>
      <c r="L161" s="3">
        <f t="shared" si="38"/>
        <v>-0.23556920084898392</v>
      </c>
      <c r="M161" s="9">
        <f t="shared" si="34"/>
        <v>0.60194174757281549</v>
      </c>
      <c r="N161" s="9">
        <f t="shared" si="35"/>
        <v>0.39805825242718446</v>
      </c>
      <c r="P161">
        <f t="shared" si="36"/>
        <v>348.5</v>
      </c>
      <c r="Q161">
        <f t="shared" si="37"/>
        <v>239.5</v>
      </c>
    </row>
    <row r="162" spans="1:17" x14ac:dyDescent="0.35">
      <c r="A162">
        <v>2023</v>
      </c>
      <c r="B162" s="3">
        <v>146</v>
      </c>
      <c r="C162" s="7">
        <v>33</v>
      </c>
      <c r="D162" s="3">
        <f t="shared" si="27"/>
        <v>18.25</v>
      </c>
      <c r="E162" s="10">
        <f t="shared" si="28"/>
        <v>0.36499999999999999</v>
      </c>
      <c r="F162" s="10">
        <f t="shared" si="29"/>
        <v>0.66</v>
      </c>
      <c r="G162" s="3">
        <f t="shared" si="30"/>
        <v>51.25</v>
      </c>
      <c r="H162" s="3">
        <f t="shared" si="39"/>
        <v>1</v>
      </c>
      <c r="I162" s="3">
        <f t="shared" si="31"/>
        <v>-1.4080387325715222</v>
      </c>
      <c r="J162" s="3">
        <f t="shared" si="32"/>
        <v>0.24556364849303625</v>
      </c>
      <c r="K162" s="3">
        <f t="shared" si="33"/>
        <v>0.7059310982718624</v>
      </c>
      <c r="L162" s="3">
        <f t="shared" si="38"/>
        <v>-0.34823764076732522</v>
      </c>
      <c r="M162" s="9">
        <f t="shared" si="34"/>
        <v>0.64390243902439026</v>
      </c>
      <c r="N162" s="9">
        <f t="shared" si="35"/>
        <v>0.35609756097560974</v>
      </c>
      <c r="P162">
        <f t="shared" si="36"/>
        <v>417</v>
      </c>
      <c r="Q162">
        <f t="shared" si="37"/>
        <v>208.5</v>
      </c>
    </row>
    <row r="163" spans="1:17" x14ac:dyDescent="0.35">
      <c r="A163">
        <v>2023</v>
      </c>
      <c r="B163" s="3">
        <v>162</v>
      </c>
      <c r="C163" s="7">
        <v>31</v>
      </c>
      <c r="D163" s="3">
        <f t="shared" si="27"/>
        <v>20.25</v>
      </c>
      <c r="E163" s="10">
        <f t="shared" si="28"/>
        <v>0.40500000000000003</v>
      </c>
      <c r="F163" s="10">
        <f t="shared" si="29"/>
        <v>0.62</v>
      </c>
      <c r="G163" s="3">
        <f t="shared" si="30"/>
        <v>51.25</v>
      </c>
      <c r="H163" s="3">
        <f t="shared" si="39"/>
        <v>1</v>
      </c>
      <c r="I163" s="3">
        <f t="shared" si="31"/>
        <v>-0.808674976121044</v>
      </c>
      <c r="J163" s="3">
        <f t="shared" si="32"/>
        <v>-1.0933640185610671E-2</v>
      </c>
      <c r="K163" s="3">
        <f t="shared" si="33"/>
        <v>0.74335188133454533</v>
      </c>
      <c r="L163" s="3">
        <f t="shared" si="38"/>
        <v>-0.29658575103939178</v>
      </c>
      <c r="M163" s="9">
        <f t="shared" si="34"/>
        <v>0.60487804878048779</v>
      </c>
      <c r="N163" s="9">
        <f t="shared" si="35"/>
        <v>0.39512195121951221</v>
      </c>
      <c r="P163">
        <f t="shared" si="36"/>
        <v>364.5</v>
      </c>
      <c r="Q163">
        <f t="shared" si="37"/>
        <v>239.5</v>
      </c>
    </row>
    <row r="164" spans="1:17" x14ac:dyDescent="0.35">
      <c r="A164">
        <v>2023</v>
      </c>
      <c r="B164" s="3">
        <v>167</v>
      </c>
      <c r="C164" s="7">
        <v>30</v>
      </c>
      <c r="D164" s="3">
        <f t="shared" si="27"/>
        <v>20.875</v>
      </c>
      <c r="E164" s="10">
        <f t="shared" si="28"/>
        <v>0.41749999999999998</v>
      </c>
      <c r="F164" s="10">
        <f t="shared" si="29"/>
        <v>0.6</v>
      </c>
      <c r="G164" s="3">
        <f t="shared" si="30"/>
        <v>50.875</v>
      </c>
      <c r="H164" s="3">
        <f t="shared" si="39"/>
        <v>1</v>
      </c>
      <c r="I164" s="3">
        <f t="shared" si="31"/>
        <v>-0.62137380223026961</v>
      </c>
      <c r="J164" s="3">
        <f t="shared" si="32"/>
        <v>-0.13918228452493411</v>
      </c>
      <c r="K164" s="3">
        <f t="shared" si="33"/>
        <v>0.6822338378040258</v>
      </c>
      <c r="L164" s="3">
        <f t="shared" si="38"/>
        <v>-0.38238280922500439</v>
      </c>
      <c r="M164" s="9">
        <f t="shared" si="34"/>
        <v>0.58968058968058967</v>
      </c>
      <c r="N164" s="9">
        <f t="shared" si="35"/>
        <v>0.41031941031941033</v>
      </c>
      <c r="P164">
        <f t="shared" si="36"/>
        <v>323</v>
      </c>
      <c r="Q164">
        <f t="shared" si="37"/>
        <v>259</v>
      </c>
    </row>
    <row r="165" spans="1:17" x14ac:dyDescent="0.35">
      <c r="A165">
        <v>2023</v>
      </c>
      <c r="B165" s="3">
        <v>166</v>
      </c>
      <c r="C165" s="7">
        <v>30</v>
      </c>
      <c r="D165" s="3">
        <f t="shared" si="27"/>
        <v>20.75</v>
      </c>
      <c r="E165" s="10">
        <f t="shared" si="28"/>
        <v>0.41499999999999998</v>
      </c>
      <c r="F165" s="10">
        <f t="shared" si="29"/>
        <v>0.6</v>
      </c>
      <c r="G165" s="3">
        <f t="shared" si="30"/>
        <v>50.75</v>
      </c>
      <c r="H165" s="3">
        <f t="shared" si="39"/>
        <v>1</v>
      </c>
      <c r="I165" s="3">
        <f t="shared" si="31"/>
        <v>-0.65883403700842447</v>
      </c>
      <c r="J165" s="3">
        <f t="shared" si="32"/>
        <v>-0.13918228452493411</v>
      </c>
      <c r="K165" s="3">
        <f t="shared" si="33"/>
        <v>0.65316057164995234</v>
      </c>
      <c r="L165" s="3">
        <f t="shared" si="38"/>
        <v>-0.42593228154179658</v>
      </c>
      <c r="M165" s="9">
        <f t="shared" si="34"/>
        <v>0.59113300492610843</v>
      </c>
      <c r="N165" s="9">
        <f t="shared" si="35"/>
        <v>0.40886699507389163</v>
      </c>
      <c r="P165">
        <f t="shared" si="36"/>
        <v>334.5</v>
      </c>
      <c r="Q165">
        <f t="shared" si="37"/>
        <v>259</v>
      </c>
    </row>
    <row r="166" spans="1:17" x14ac:dyDescent="0.35">
      <c r="A166">
        <v>2023</v>
      </c>
      <c r="B166" s="3">
        <v>221</v>
      </c>
      <c r="C166" s="7">
        <v>23</v>
      </c>
      <c r="D166" s="3">
        <f t="shared" si="27"/>
        <v>27.625</v>
      </c>
      <c r="E166" s="10">
        <f t="shared" si="28"/>
        <v>0.55249999999999999</v>
      </c>
      <c r="F166" s="10">
        <f t="shared" si="29"/>
        <v>0.46</v>
      </c>
      <c r="G166" s="3">
        <f t="shared" si="30"/>
        <v>50.625</v>
      </c>
      <c r="H166" s="3">
        <f t="shared" si="39"/>
        <v>1</v>
      </c>
      <c r="I166" s="3">
        <f t="shared" si="31"/>
        <v>1.4014788757900944</v>
      </c>
      <c r="J166" s="3">
        <f t="shared" si="32"/>
        <v>-1.0369227949001982</v>
      </c>
      <c r="K166" s="3">
        <f t="shared" si="33"/>
        <v>0.76115560616951983</v>
      </c>
      <c r="L166" s="3">
        <f t="shared" si="38"/>
        <v>-0.27291746611016032</v>
      </c>
      <c r="M166" s="9">
        <f t="shared" si="34"/>
        <v>0.454320987654321</v>
      </c>
      <c r="N166" s="9">
        <f t="shared" si="35"/>
        <v>0.54567901234567906</v>
      </c>
      <c r="P166">
        <f t="shared" si="36"/>
        <v>39</v>
      </c>
      <c r="Q166">
        <f t="shared" si="37"/>
        <v>352.5</v>
      </c>
    </row>
    <row r="167" spans="1:17" x14ac:dyDescent="0.35">
      <c r="A167">
        <v>2023</v>
      </c>
      <c r="B167" s="3">
        <v>217</v>
      </c>
      <c r="C167" s="7">
        <v>23</v>
      </c>
      <c r="D167" s="3">
        <f t="shared" si="27"/>
        <v>27.125</v>
      </c>
      <c r="E167" s="10">
        <f t="shared" si="28"/>
        <v>0.54249999999999998</v>
      </c>
      <c r="F167" s="10">
        <f t="shared" si="29"/>
        <v>0.46</v>
      </c>
      <c r="G167" s="3">
        <f t="shared" si="30"/>
        <v>50.125</v>
      </c>
      <c r="H167" s="3">
        <f t="shared" si="39"/>
        <v>1</v>
      </c>
      <c r="I167" s="3">
        <f t="shared" si="31"/>
        <v>1.2516379366774748</v>
      </c>
      <c r="J167" s="3">
        <f t="shared" si="32"/>
        <v>-1.0369227949001982</v>
      </c>
      <c r="K167" s="3">
        <f t="shared" si="33"/>
        <v>0.65354150778560938</v>
      </c>
      <c r="L167" s="3">
        <f t="shared" si="38"/>
        <v>-0.42534923181310386</v>
      </c>
      <c r="M167" s="9">
        <f t="shared" si="34"/>
        <v>0.45885286783042395</v>
      </c>
      <c r="N167" s="9">
        <f t="shared" si="35"/>
        <v>0.54114713216957611</v>
      </c>
      <c r="P167">
        <f t="shared" si="36"/>
        <v>44.5</v>
      </c>
      <c r="Q167">
        <f t="shared" si="37"/>
        <v>352.5</v>
      </c>
    </row>
    <row r="168" spans="1:17" x14ac:dyDescent="0.35">
      <c r="A168">
        <v>2023</v>
      </c>
      <c r="B168" s="3">
        <v>167</v>
      </c>
      <c r="C168" s="7">
        <v>29</v>
      </c>
      <c r="D168" s="3">
        <f t="shared" si="27"/>
        <v>20.875</v>
      </c>
      <c r="E168" s="10">
        <f t="shared" si="28"/>
        <v>0.41749999999999998</v>
      </c>
      <c r="F168" s="10">
        <f t="shared" si="29"/>
        <v>0.57999999999999996</v>
      </c>
      <c r="G168" s="3">
        <f t="shared" si="30"/>
        <v>49.875</v>
      </c>
      <c r="H168" s="3">
        <f t="shared" si="39"/>
        <v>0</v>
      </c>
      <c r="I168" s="3">
        <f t="shared" si="31"/>
        <v>-0.62137380223026961</v>
      </c>
      <c r="J168" s="3">
        <f t="shared" si="32"/>
        <v>-0.26743092886425757</v>
      </c>
      <c r="K168" s="3">
        <f t="shared" si="33"/>
        <v>0.4524371668225437</v>
      </c>
      <c r="L168" s="3">
        <f t="shared" si="38"/>
        <v>-0.60227806008190099</v>
      </c>
      <c r="M168" s="9">
        <f t="shared" si="34"/>
        <v>0.581453634085213</v>
      </c>
      <c r="N168" s="9">
        <f t="shared" si="35"/>
        <v>0.41854636591478694</v>
      </c>
      <c r="P168">
        <f t="shared" si="36"/>
        <v>323</v>
      </c>
      <c r="Q168">
        <f t="shared" si="37"/>
        <v>272.5</v>
      </c>
    </row>
    <row r="169" spans="1:17" x14ac:dyDescent="0.35">
      <c r="A169">
        <v>2023</v>
      </c>
      <c r="B169" s="3">
        <v>199</v>
      </c>
      <c r="C169" s="7">
        <v>25</v>
      </c>
      <c r="D169" s="3">
        <f t="shared" si="27"/>
        <v>24.875</v>
      </c>
      <c r="E169" s="10">
        <f t="shared" si="28"/>
        <v>0.4975</v>
      </c>
      <c r="F169" s="10">
        <f t="shared" si="29"/>
        <v>0.5</v>
      </c>
      <c r="G169" s="3">
        <f t="shared" si="30"/>
        <v>49.875</v>
      </c>
      <c r="H169" s="3">
        <f t="shared" si="39"/>
        <v>0</v>
      </c>
      <c r="I169" s="3">
        <f t="shared" si="31"/>
        <v>0.57735371067068686</v>
      </c>
      <c r="J169" s="3">
        <f t="shared" si="32"/>
        <v>-0.78042550622155138</v>
      </c>
      <c r="K169" s="3">
        <f t="shared" si="33"/>
        <v>0.54604213009540115</v>
      </c>
      <c r="L169" s="3">
        <f t="shared" si="38"/>
        <v>-0.78975088281371253</v>
      </c>
      <c r="M169" s="9">
        <f t="shared" si="34"/>
        <v>0.50125313283208017</v>
      </c>
      <c r="N169" s="9">
        <f t="shared" si="35"/>
        <v>0.49874686716791977</v>
      </c>
      <c r="P169">
        <f t="shared" si="36"/>
        <v>91.5</v>
      </c>
      <c r="Q169">
        <f t="shared" si="37"/>
        <v>326</v>
      </c>
    </row>
    <row r="170" spans="1:17" x14ac:dyDescent="0.35">
      <c r="A170">
        <v>2023</v>
      </c>
      <c r="B170" s="3">
        <v>194</v>
      </c>
      <c r="C170" s="7">
        <v>25</v>
      </c>
      <c r="D170" s="3">
        <f t="shared" si="27"/>
        <v>24.25</v>
      </c>
      <c r="E170" s="10">
        <f t="shared" si="28"/>
        <v>0.48499999999999999</v>
      </c>
      <c r="F170" s="10">
        <f t="shared" si="29"/>
        <v>0.5</v>
      </c>
      <c r="G170" s="3">
        <f t="shared" si="30"/>
        <v>49.25</v>
      </c>
      <c r="H170" s="3">
        <f t="shared" si="39"/>
        <v>0</v>
      </c>
      <c r="I170" s="3">
        <f t="shared" si="31"/>
        <v>0.39005253677991242</v>
      </c>
      <c r="J170" s="3">
        <f t="shared" si="32"/>
        <v>-0.78042550622155138</v>
      </c>
      <c r="K170" s="3">
        <f t="shared" si="33"/>
        <v>0.38443012805522475</v>
      </c>
      <c r="L170" s="3">
        <f t="shared" si="38"/>
        <v>-0.48520681917546477</v>
      </c>
      <c r="M170" s="9">
        <f t="shared" si="34"/>
        <v>0.50761421319796951</v>
      </c>
      <c r="N170" s="9">
        <f t="shared" si="35"/>
        <v>0.49238578680203043</v>
      </c>
      <c r="P170">
        <f t="shared" si="36"/>
        <v>120</v>
      </c>
      <c r="Q170">
        <f t="shared" si="37"/>
        <v>326</v>
      </c>
    </row>
    <row r="171" spans="1:17" x14ac:dyDescent="0.35">
      <c r="A171">
        <v>2023</v>
      </c>
      <c r="B171" s="3">
        <v>176</v>
      </c>
      <c r="C171" s="7">
        <v>27</v>
      </c>
      <c r="D171" s="3">
        <f t="shared" si="27"/>
        <v>22</v>
      </c>
      <c r="E171" s="10">
        <f t="shared" si="28"/>
        <v>0.44</v>
      </c>
      <c r="F171" s="10">
        <f t="shared" si="29"/>
        <v>0.54</v>
      </c>
      <c r="G171" s="3">
        <f t="shared" si="30"/>
        <v>49</v>
      </c>
      <c r="H171" s="3">
        <f t="shared" si="39"/>
        <v>0</v>
      </c>
      <c r="I171" s="3">
        <f t="shared" si="31"/>
        <v>-0.28423168922687558</v>
      </c>
      <c r="J171" s="3">
        <f t="shared" si="32"/>
        <v>-0.52392821754290453</v>
      </c>
      <c r="K171" s="3">
        <f t="shared" si="33"/>
        <v>0.28480760703252367</v>
      </c>
      <c r="L171" s="3">
        <f t="shared" si="38"/>
        <v>-0.33520369141055495</v>
      </c>
      <c r="M171" s="9">
        <f t="shared" si="34"/>
        <v>0.55102040816326525</v>
      </c>
      <c r="N171" s="9">
        <f t="shared" si="35"/>
        <v>0.44897959183673469</v>
      </c>
      <c r="P171">
        <f t="shared" si="36"/>
        <v>245.5</v>
      </c>
      <c r="Q171">
        <f t="shared" si="37"/>
        <v>294.5</v>
      </c>
    </row>
    <row r="172" spans="1:17" x14ac:dyDescent="0.35">
      <c r="A172">
        <v>2023</v>
      </c>
      <c r="B172" s="3">
        <v>183</v>
      </c>
      <c r="C172" s="7">
        <v>26</v>
      </c>
      <c r="D172" s="3">
        <f t="shared" si="27"/>
        <v>22.875</v>
      </c>
      <c r="E172" s="10">
        <f t="shared" si="28"/>
        <v>0.45750000000000002</v>
      </c>
      <c r="F172" s="10">
        <f t="shared" si="29"/>
        <v>0.52</v>
      </c>
      <c r="G172" s="3">
        <f t="shared" si="30"/>
        <v>48.875</v>
      </c>
      <c r="H172" s="3">
        <f t="shared" si="39"/>
        <v>0</v>
      </c>
      <c r="I172" s="3">
        <f t="shared" si="31"/>
        <v>-2.2010045779791373E-2</v>
      </c>
      <c r="J172" s="3">
        <f t="shared" si="32"/>
        <v>-0.65217686188222801</v>
      </c>
      <c r="K172" s="3">
        <f t="shared" si="33"/>
        <v>0.27728816290759634</v>
      </c>
      <c r="L172" s="3">
        <f t="shared" si="38"/>
        <v>-0.324744701842413</v>
      </c>
      <c r="M172" s="9">
        <f t="shared" si="34"/>
        <v>0.53196930946291565</v>
      </c>
      <c r="N172" s="9">
        <f t="shared" si="35"/>
        <v>0.4680306905370844</v>
      </c>
      <c r="P172">
        <f t="shared" si="36"/>
        <v>197</v>
      </c>
      <c r="Q172">
        <f t="shared" si="37"/>
        <v>312.5</v>
      </c>
    </row>
    <row r="173" spans="1:17" x14ac:dyDescent="0.35">
      <c r="A173">
        <v>2023</v>
      </c>
      <c r="B173" s="3">
        <v>174</v>
      </c>
      <c r="C173" s="7">
        <v>27</v>
      </c>
      <c r="D173" s="3">
        <f t="shared" si="27"/>
        <v>21.75</v>
      </c>
      <c r="E173" s="10">
        <f t="shared" si="28"/>
        <v>0.435</v>
      </c>
      <c r="F173" s="10">
        <f t="shared" si="29"/>
        <v>0.54</v>
      </c>
      <c r="G173" s="3">
        <f t="shared" si="30"/>
        <v>48.75</v>
      </c>
      <c r="H173" s="3">
        <f t="shared" si="39"/>
        <v>0</v>
      </c>
      <c r="I173" s="3">
        <f t="shared" si="31"/>
        <v>-0.3591521587831854</v>
      </c>
      <c r="J173" s="3">
        <f t="shared" si="32"/>
        <v>-0.52392821754290453</v>
      </c>
      <c r="K173" s="3">
        <f t="shared" si="33"/>
        <v>0.2345259706998597</v>
      </c>
      <c r="L173" s="3">
        <f t="shared" si="38"/>
        <v>-0.26725999091302893</v>
      </c>
      <c r="M173" s="9">
        <f t="shared" si="34"/>
        <v>0.55384615384615388</v>
      </c>
      <c r="N173" s="9">
        <f t="shared" si="35"/>
        <v>0.44615384615384618</v>
      </c>
      <c r="P173">
        <f t="shared" si="36"/>
        <v>261</v>
      </c>
      <c r="Q173">
        <f t="shared" si="37"/>
        <v>294.5</v>
      </c>
    </row>
    <row r="174" spans="1:17" x14ac:dyDescent="0.35">
      <c r="A174">
        <v>2023</v>
      </c>
      <c r="B174" s="3">
        <v>169</v>
      </c>
      <c r="C174" s="7">
        <v>27</v>
      </c>
      <c r="D174" s="3">
        <f t="shared" si="27"/>
        <v>21.125</v>
      </c>
      <c r="E174" s="10">
        <f t="shared" si="28"/>
        <v>0.42249999999999999</v>
      </c>
      <c r="F174" s="10">
        <f t="shared" si="29"/>
        <v>0.54</v>
      </c>
      <c r="G174" s="3">
        <f t="shared" si="30"/>
        <v>48.125</v>
      </c>
      <c r="H174" s="3">
        <f t="shared" si="39"/>
        <v>0</v>
      </c>
      <c r="I174" s="3">
        <f t="shared" si="31"/>
        <v>-0.54645333267395979</v>
      </c>
      <c r="J174" s="3">
        <f t="shared" si="32"/>
        <v>-0.52392821754290453</v>
      </c>
      <c r="K174" s="3">
        <f t="shared" si="33"/>
        <v>0.13723979051865967</v>
      </c>
      <c r="L174" s="3">
        <f t="shared" si="38"/>
        <v>-0.14761848342426984</v>
      </c>
      <c r="M174" s="9">
        <f t="shared" si="34"/>
        <v>0.561038961038961</v>
      </c>
      <c r="N174" s="9">
        <f t="shared" si="35"/>
        <v>0.43896103896103894</v>
      </c>
      <c r="P174">
        <f t="shared" si="36"/>
        <v>299</v>
      </c>
      <c r="Q174">
        <f t="shared" si="37"/>
        <v>294.5</v>
      </c>
    </row>
    <row r="175" spans="1:17" x14ac:dyDescent="0.35">
      <c r="A175">
        <v>2023</v>
      </c>
      <c r="B175" s="3">
        <v>168</v>
      </c>
      <c r="C175" s="7">
        <v>27</v>
      </c>
      <c r="D175" s="3">
        <f t="shared" si="27"/>
        <v>21</v>
      </c>
      <c r="E175" s="10">
        <f t="shared" si="28"/>
        <v>0.42</v>
      </c>
      <c r="F175" s="10">
        <f t="shared" si="29"/>
        <v>0.54</v>
      </c>
      <c r="G175" s="3">
        <f t="shared" si="30"/>
        <v>48</v>
      </c>
      <c r="H175" s="3">
        <f t="shared" si="39"/>
        <v>0</v>
      </c>
      <c r="I175" s="3">
        <f t="shared" si="31"/>
        <v>-0.58391356745211476</v>
      </c>
      <c r="J175" s="3">
        <f t="shared" si="32"/>
        <v>-0.52392821754290453</v>
      </c>
      <c r="K175" s="3">
        <f t="shared" si="33"/>
        <v>0.12244230818962645</v>
      </c>
      <c r="L175" s="3">
        <f t="shared" si="38"/>
        <v>-0.13061258015041952</v>
      </c>
      <c r="M175" s="9">
        <f t="shared" si="34"/>
        <v>0.5625</v>
      </c>
      <c r="N175" s="9">
        <f t="shared" si="35"/>
        <v>0.4375</v>
      </c>
      <c r="P175">
        <f t="shared" si="36"/>
        <v>311.5</v>
      </c>
      <c r="Q175">
        <f t="shared" si="37"/>
        <v>294.5</v>
      </c>
    </row>
    <row r="176" spans="1:17" x14ac:dyDescent="0.35">
      <c r="A176">
        <v>2023</v>
      </c>
      <c r="B176" s="3">
        <v>169</v>
      </c>
      <c r="C176" s="7">
        <v>26</v>
      </c>
      <c r="D176" s="3">
        <f t="shared" si="27"/>
        <v>21.125</v>
      </c>
      <c r="E176" s="10">
        <f t="shared" si="28"/>
        <v>0.42249999999999999</v>
      </c>
      <c r="F176" s="10">
        <f t="shared" si="29"/>
        <v>0.52</v>
      </c>
      <c r="G176" s="3">
        <f t="shared" si="30"/>
        <v>47.125</v>
      </c>
      <c r="H176" s="3">
        <f t="shared" si="39"/>
        <v>0</v>
      </c>
      <c r="I176" s="3">
        <f t="shared" si="31"/>
        <v>-0.54645333267395979</v>
      </c>
      <c r="J176" s="3">
        <f t="shared" si="32"/>
        <v>-0.65217686188222801</v>
      </c>
      <c r="K176" s="3">
        <f t="shared" si="33"/>
        <v>5.7687735083662435E-2</v>
      </c>
      <c r="L176" s="3">
        <f t="shared" si="38"/>
        <v>-5.941856791829779E-2</v>
      </c>
      <c r="M176" s="9">
        <f t="shared" si="34"/>
        <v>0.55172413793103448</v>
      </c>
      <c r="N176" s="9">
        <f t="shared" si="35"/>
        <v>0.44827586206896552</v>
      </c>
      <c r="P176">
        <f t="shared" si="36"/>
        <v>299</v>
      </c>
      <c r="Q176">
        <f t="shared" si="37"/>
        <v>312.5</v>
      </c>
    </row>
    <row r="177" spans="1:17" x14ac:dyDescent="0.35">
      <c r="A177">
        <v>2023</v>
      </c>
      <c r="B177" s="3">
        <v>187</v>
      </c>
      <c r="C177" s="7">
        <v>23</v>
      </c>
      <c r="D177" s="3">
        <f t="shared" si="27"/>
        <v>23.375</v>
      </c>
      <c r="E177" s="10">
        <f t="shared" si="28"/>
        <v>0.46750000000000003</v>
      </c>
      <c r="F177" s="10">
        <f t="shared" si="29"/>
        <v>0.46</v>
      </c>
      <c r="G177" s="3">
        <f t="shared" si="30"/>
        <v>46.375</v>
      </c>
      <c r="H177" s="3">
        <f t="shared" si="39"/>
        <v>0</v>
      </c>
      <c r="I177" s="3">
        <f t="shared" si="31"/>
        <v>0.12783089333282818</v>
      </c>
      <c r="J177" s="3">
        <f t="shared" si="32"/>
        <v>-1.0369227949001982</v>
      </c>
      <c r="K177" s="3">
        <f t="shared" si="33"/>
        <v>3.5632103084811198E-2</v>
      </c>
      <c r="L177" s="3">
        <f t="shared" si="38"/>
        <v>-3.6282421371874624E-2</v>
      </c>
      <c r="M177" s="9">
        <f t="shared" si="34"/>
        <v>0.49595687331536387</v>
      </c>
      <c r="N177" s="9">
        <f t="shared" si="35"/>
        <v>0.50404312668463613</v>
      </c>
      <c r="P177">
        <f t="shared" si="36"/>
        <v>163</v>
      </c>
      <c r="Q177">
        <f t="shared" si="37"/>
        <v>352.5</v>
      </c>
    </row>
    <row r="178" spans="1:17" x14ac:dyDescent="0.35">
      <c r="A178">
        <v>2023</v>
      </c>
      <c r="B178" s="3">
        <v>184</v>
      </c>
      <c r="C178" s="7">
        <v>23</v>
      </c>
      <c r="D178" s="3">
        <f t="shared" ref="D178:D237" si="40">B178 / 8</f>
        <v>23</v>
      </c>
      <c r="E178" s="10">
        <f t="shared" si="28"/>
        <v>0.46</v>
      </c>
      <c r="F178" s="10">
        <f t="shared" si="29"/>
        <v>0.46</v>
      </c>
      <c r="G178" s="3">
        <f t="shared" si="30"/>
        <v>46</v>
      </c>
      <c r="H178" s="3">
        <f t="shared" si="39"/>
        <v>0</v>
      </c>
      <c r="I178" s="3">
        <f t="shared" si="31"/>
        <v>1.5450188998363515E-2</v>
      </c>
      <c r="J178" s="3">
        <f t="shared" si="32"/>
        <v>-1.0369227949001982</v>
      </c>
      <c r="K178" s="3">
        <f t="shared" si="33"/>
        <v>2.4327662279289421E-2</v>
      </c>
      <c r="L178" s="3">
        <f t="shared" si="38"/>
        <v>-2.4628468483920318E-2</v>
      </c>
      <c r="M178" s="9">
        <f t="shared" si="34"/>
        <v>0.5</v>
      </c>
      <c r="N178" s="9">
        <f t="shared" si="35"/>
        <v>0.5</v>
      </c>
      <c r="P178">
        <f t="shared" si="36"/>
        <v>188.5</v>
      </c>
      <c r="Q178">
        <f t="shared" si="37"/>
        <v>352.5</v>
      </c>
    </row>
    <row r="179" spans="1:17" x14ac:dyDescent="0.35">
      <c r="A179">
        <v>2023</v>
      </c>
      <c r="B179" s="3">
        <v>160</v>
      </c>
      <c r="C179" s="7">
        <v>26</v>
      </c>
      <c r="D179" s="3">
        <f t="shared" si="40"/>
        <v>20</v>
      </c>
      <c r="E179" s="10">
        <f t="shared" si="28"/>
        <v>0.4</v>
      </c>
      <c r="F179" s="10">
        <f t="shared" si="29"/>
        <v>0.52</v>
      </c>
      <c r="G179" s="3">
        <f t="shared" si="30"/>
        <v>46</v>
      </c>
      <c r="H179" s="3">
        <f t="shared" si="39"/>
        <v>0</v>
      </c>
      <c r="I179" s="3">
        <f t="shared" si="31"/>
        <v>-0.88359544567735382</v>
      </c>
      <c r="J179" s="3">
        <f t="shared" si="32"/>
        <v>-0.65217686188222801</v>
      </c>
      <c r="K179" s="3">
        <f t="shared" si="33"/>
        <v>1.8466592017838006E-2</v>
      </c>
      <c r="L179" s="3">
        <f t="shared" si="38"/>
        <v>-1.86392281656622E-2</v>
      </c>
      <c r="M179" s="9">
        <f t="shared" si="34"/>
        <v>0.56521739130434778</v>
      </c>
      <c r="N179" s="9">
        <f t="shared" si="35"/>
        <v>0.43478260869565216</v>
      </c>
      <c r="P179">
        <f t="shared" si="36"/>
        <v>374.5</v>
      </c>
      <c r="Q179">
        <f t="shared" si="37"/>
        <v>312.5</v>
      </c>
    </row>
    <row r="180" spans="1:17" x14ac:dyDescent="0.35">
      <c r="A180">
        <v>2023</v>
      </c>
      <c r="B180" s="3">
        <v>197</v>
      </c>
      <c r="C180" s="7">
        <v>21</v>
      </c>
      <c r="D180" s="3">
        <f t="shared" si="40"/>
        <v>24.625</v>
      </c>
      <c r="E180" s="10">
        <f t="shared" si="28"/>
        <v>0.49249999999999999</v>
      </c>
      <c r="F180" s="10">
        <f t="shared" si="29"/>
        <v>0.42</v>
      </c>
      <c r="G180" s="3">
        <f t="shared" si="30"/>
        <v>45.625</v>
      </c>
      <c r="H180" s="3">
        <f t="shared" si="39"/>
        <v>0</v>
      </c>
      <c r="I180" s="3">
        <f t="shared" si="31"/>
        <v>0.50243324111437704</v>
      </c>
      <c r="J180" s="3">
        <f t="shared" si="32"/>
        <v>-1.2934200835788452</v>
      </c>
      <c r="K180" s="3">
        <f t="shared" si="33"/>
        <v>1.9897957563187137E-2</v>
      </c>
      <c r="L180" s="3">
        <f t="shared" si="38"/>
        <v>-2.0098587802620933E-2</v>
      </c>
      <c r="M180" s="9">
        <f t="shared" si="34"/>
        <v>0.46027397260273972</v>
      </c>
      <c r="N180" s="9">
        <f t="shared" si="35"/>
        <v>0.53972602739726028</v>
      </c>
      <c r="P180">
        <f t="shared" si="36"/>
        <v>102.5</v>
      </c>
      <c r="Q180">
        <f t="shared" si="37"/>
        <v>378.5</v>
      </c>
    </row>
    <row r="181" spans="1:17" x14ac:dyDescent="0.35">
      <c r="A181">
        <v>2023</v>
      </c>
      <c r="B181" s="3">
        <v>195</v>
      </c>
      <c r="C181" s="7">
        <v>21</v>
      </c>
      <c r="D181" s="3">
        <f t="shared" si="40"/>
        <v>24.375</v>
      </c>
      <c r="E181" s="10">
        <f t="shared" si="28"/>
        <v>0.48749999999999999</v>
      </c>
      <c r="F181" s="10">
        <f t="shared" si="29"/>
        <v>0.42</v>
      </c>
      <c r="G181" s="3">
        <f t="shared" si="30"/>
        <v>45.375</v>
      </c>
      <c r="H181" s="3">
        <f t="shared" si="39"/>
        <v>0</v>
      </c>
      <c r="I181" s="3">
        <f t="shared" si="31"/>
        <v>0.42751277155806727</v>
      </c>
      <c r="J181" s="3">
        <f t="shared" si="32"/>
        <v>-1.2934200835788452</v>
      </c>
      <c r="K181" s="3">
        <f t="shared" si="33"/>
        <v>1.5379348199410187E-2</v>
      </c>
      <c r="L181" s="3">
        <f t="shared" si="38"/>
        <v>-1.5498837065299708E-2</v>
      </c>
      <c r="M181" s="9">
        <f t="shared" si="34"/>
        <v>0.46280991735537191</v>
      </c>
      <c r="N181" s="9">
        <f t="shared" si="35"/>
        <v>0.53719008264462809</v>
      </c>
      <c r="P181">
        <f t="shared" si="36"/>
        <v>113.5</v>
      </c>
      <c r="Q181">
        <f t="shared" si="37"/>
        <v>378.5</v>
      </c>
    </row>
    <row r="182" spans="1:17" x14ac:dyDescent="0.35">
      <c r="A182">
        <v>2023</v>
      </c>
      <c r="B182" s="3">
        <v>195</v>
      </c>
      <c r="C182" s="7">
        <v>21</v>
      </c>
      <c r="D182" s="3">
        <f t="shared" si="40"/>
        <v>24.375</v>
      </c>
      <c r="E182" s="10">
        <f t="shared" ref="E182:E245" si="41">B182 / 400</f>
        <v>0.48749999999999999</v>
      </c>
      <c r="F182" s="10">
        <f t="shared" si="29"/>
        <v>0.42</v>
      </c>
      <c r="G182" s="3">
        <f t="shared" si="30"/>
        <v>45.375</v>
      </c>
      <c r="H182" s="3">
        <f t="shared" si="39"/>
        <v>0</v>
      </c>
      <c r="I182" s="3">
        <f t="shared" si="31"/>
        <v>0.42751277155806727</v>
      </c>
      <c r="J182" s="3">
        <f t="shared" si="32"/>
        <v>-1.2934200835788452</v>
      </c>
      <c r="K182" s="3">
        <f t="shared" si="33"/>
        <v>1.5379348199410187E-2</v>
      </c>
      <c r="L182" s="3">
        <f t="shared" si="38"/>
        <v>-1.5498837065299708E-2</v>
      </c>
      <c r="M182" s="9">
        <f t="shared" si="34"/>
        <v>0.46280991735537191</v>
      </c>
      <c r="N182" s="9">
        <f t="shared" si="35"/>
        <v>0.53719008264462809</v>
      </c>
      <c r="P182">
        <f t="shared" si="36"/>
        <v>113.5</v>
      </c>
      <c r="Q182">
        <f t="shared" si="37"/>
        <v>378.5</v>
      </c>
    </row>
    <row r="183" spans="1:17" x14ac:dyDescent="0.35">
      <c r="A183">
        <v>2023</v>
      </c>
      <c r="B183" s="3">
        <v>154</v>
      </c>
      <c r="C183" s="7">
        <v>26</v>
      </c>
      <c r="D183" s="3">
        <f t="shared" si="40"/>
        <v>19.25</v>
      </c>
      <c r="E183" s="10">
        <f t="shared" si="41"/>
        <v>0.38500000000000001</v>
      </c>
      <c r="F183" s="10">
        <f t="shared" si="29"/>
        <v>0.52</v>
      </c>
      <c r="G183" s="3">
        <f t="shared" si="30"/>
        <v>45.25</v>
      </c>
      <c r="H183" s="3">
        <f t="shared" si="39"/>
        <v>0</v>
      </c>
      <c r="I183" s="3">
        <f t="shared" si="31"/>
        <v>-1.1083568543462832</v>
      </c>
      <c r="J183" s="3">
        <f t="shared" si="32"/>
        <v>-0.65217686188222801</v>
      </c>
      <c r="K183" s="3">
        <f t="shared" si="33"/>
        <v>8.4951656898853561E-3</v>
      </c>
      <c r="L183" s="3">
        <f t="shared" si="38"/>
        <v>-8.5314552801490293E-3</v>
      </c>
      <c r="M183" s="9">
        <f t="shared" si="34"/>
        <v>0.574585635359116</v>
      </c>
      <c r="N183" s="9">
        <f t="shared" si="35"/>
        <v>0.425414364640884</v>
      </c>
      <c r="P183">
        <f t="shared" si="36"/>
        <v>395.5</v>
      </c>
      <c r="Q183">
        <f t="shared" si="37"/>
        <v>312.5</v>
      </c>
    </row>
    <row r="184" spans="1:17" x14ac:dyDescent="0.35">
      <c r="A184">
        <v>2023</v>
      </c>
      <c r="B184" s="3">
        <v>167</v>
      </c>
      <c r="C184" s="7">
        <v>23</v>
      </c>
      <c r="D184" s="3">
        <f t="shared" si="40"/>
        <v>20.875</v>
      </c>
      <c r="E184" s="10">
        <f t="shared" si="41"/>
        <v>0.41749999999999998</v>
      </c>
      <c r="F184" s="10">
        <f t="shared" si="29"/>
        <v>0.46</v>
      </c>
      <c r="G184" s="3">
        <f t="shared" si="30"/>
        <v>43.875</v>
      </c>
      <c r="H184" s="3">
        <f t="shared" si="39"/>
        <v>0</v>
      </c>
      <c r="I184" s="3">
        <f t="shared" si="31"/>
        <v>-0.62137380223026961</v>
      </c>
      <c r="J184" s="3">
        <f t="shared" si="32"/>
        <v>-1.0369227949001982</v>
      </c>
      <c r="K184" s="3">
        <f t="shared" si="33"/>
        <v>2.677639456567384E-3</v>
      </c>
      <c r="L184" s="3">
        <f t="shared" si="38"/>
        <v>-2.6812307453139132E-3</v>
      </c>
      <c r="M184" s="9">
        <f t="shared" si="34"/>
        <v>0.5242165242165242</v>
      </c>
      <c r="N184" s="9">
        <f t="shared" si="35"/>
        <v>0.4757834757834758</v>
      </c>
      <c r="P184">
        <f t="shared" si="36"/>
        <v>323</v>
      </c>
      <c r="Q184">
        <f t="shared" si="37"/>
        <v>352.5</v>
      </c>
    </row>
    <row r="185" spans="1:17" x14ac:dyDescent="0.35">
      <c r="A185">
        <v>2023</v>
      </c>
      <c r="B185" s="3">
        <v>192</v>
      </c>
      <c r="C185" s="7">
        <v>19</v>
      </c>
      <c r="D185" s="3">
        <f t="shared" si="40"/>
        <v>24</v>
      </c>
      <c r="E185" s="10">
        <f t="shared" si="41"/>
        <v>0.48</v>
      </c>
      <c r="F185" s="10">
        <f t="shared" si="29"/>
        <v>0.38</v>
      </c>
      <c r="G185" s="3">
        <f t="shared" si="30"/>
        <v>43</v>
      </c>
      <c r="H185" s="3">
        <f t="shared" si="39"/>
        <v>0</v>
      </c>
      <c r="I185" s="3">
        <f t="shared" si="31"/>
        <v>0.31513206722360265</v>
      </c>
      <c r="J185" s="3">
        <f t="shared" si="32"/>
        <v>-1.5499173722574922</v>
      </c>
      <c r="K185" s="3">
        <f t="shared" si="33"/>
        <v>1.5587862763314837E-3</v>
      </c>
      <c r="L185" s="3">
        <f t="shared" si="38"/>
        <v>-1.5600024476574983E-3</v>
      </c>
      <c r="M185" s="9">
        <f t="shared" si="34"/>
        <v>0.44186046511627908</v>
      </c>
      <c r="N185" s="9">
        <f t="shared" si="35"/>
        <v>0.55813953488372092</v>
      </c>
      <c r="P185">
        <f t="shared" si="36"/>
        <v>129.5</v>
      </c>
      <c r="Q185">
        <f t="shared" si="37"/>
        <v>397.5</v>
      </c>
    </row>
    <row r="186" spans="1:17" x14ac:dyDescent="0.35">
      <c r="A186">
        <v>2023</v>
      </c>
      <c r="B186" s="3">
        <v>193</v>
      </c>
      <c r="C186" s="7">
        <v>19</v>
      </c>
      <c r="D186" s="3">
        <f t="shared" si="40"/>
        <v>24.125</v>
      </c>
      <c r="E186" s="10">
        <f t="shared" si="41"/>
        <v>0.48249999999999998</v>
      </c>
      <c r="F186" s="10">
        <f t="shared" si="29"/>
        <v>0.38</v>
      </c>
      <c r="G186" s="3">
        <f t="shared" si="30"/>
        <v>43.125</v>
      </c>
      <c r="H186" s="3">
        <f t="shared" si="39"/>
        <v>0</v>
      </c>
      <c r="I186" s="3">
        <f t="shared" si="31"/>
        <v>0.35259230200175751</v>
      </c>
      <c r="J186" s="3">
        <f t="shared" si="32"/>
        <v>-1.5499173722574922</v>
      </c>
      <c r="K186" s="3">
        <f t="shared" si="33"/>
        <v>1.7767481186746186E-3</v>
      </c>
      <c r="L186" s="3">
        <f t="shared" si="38"/>
        <v>-1.7783284077410022E-3</v>
      </c>
      <c r="M186" s="9">
        <f t="shared" si="34"/>
        <v>0.44057971014492753</v>
      </c>
      <c r="N186" s="9">
        <f t="shared" si="35"/>
        <v>0.55942028985507242</v>
      </c>
      <c r="P186">
        <f t="shared" si="36"/>
        <v>124</v>
      </c>
      <c r="Q186">
        <f t="shared" si="37"/>
        <v>397.5</v>
      </c>
    </row>
    <row r="187" spans="1:17" x14ac:dyDescent="0.35">
      <c r="A187">
        <v>2023</v>
      </c>
      <c r="B187" s="3">
        <v>187</v>
      </c>
      <c r="C187" s="7">
        <v>19</v>
      </c>
      <c r="D187" s="3">
        <f t="shared" si="40"/>
        <v>23.375</v>
      </c>
      <c r="E187" s="10">
        <f t="shared" si="41"/>
        <v>0.46750000000000003</v>
      </c>
      <c r="F187" s="10">
        <f t="shared" si="29"/>
        <v>0.38</v>
      </c>
      <c r="G187" s="3">
        <f t="shared" si="30"/>
        <v>42.375</v>
      </c>
      <c r="H187" s="3">
        <f t="shared" si="39"/>
        <v>0</v>
      </c>
      <c r="I187" s="3">
        <f t="shared" si="31"/>
        <v>0.12783089333282818</v>
      </c>
      <c r="J187" s="3">
        <f t="shared" si="32"/>
        <v>-1.5499173722574922</v>
      </c>
      <c r="K187" s="3">
        <f t="shared" si="33"/>
        <v>8.0991910937691148E-4</v>
      </c>
      <c r="L187" s="3">
        <f t="shared" si="38"/>
        <v>-8.1024727106033222E-4</v>
      </c>
      <c r="M187" s="9">
        <f t="shared" si="34"/>
        <v>0.44837758112094395</v>
      </c>
      <c r="N187" s="9">
        <f t="shared" si="35"/>
        <v>0.55162241887905605</v>
      </c>
      <c r="P187">
        <f t="shared" si="36"/>
        <v>163</v>
      </c>
      <c r="Q187">
        <f t="shared" si="37"/>
        <v>397.5</v>
      </c>
    </row>
    <row r="188" spans="1:17" x14ac:dyDescent="0.35">
      <c r="A188">
        <v>2023</v>
      </c>
      <c r="B188" s="3">
        <v>143</v>
      </c>
      <c r="C188" s="7">
        <v>24</v>
      </c>
      <c r="D188" s="3">
        <f t="shared" si="40"/>
        <v>17.875</v>
      </c>
      <c r="E188" s="10">
        <f t="shared" si="41"/>
        <v>0.35749999999999998</v>
      </c>
      <c r="F188" s="10">
        <f t="shared" si="29"/>
        <v>0.48</v>
      </c>
      <c r="G188" s="3">
        <f t="shared" si="30"/>
        <v>41.875</v>
      </c>
      <c r="H188" s="3">
        <f t="shared" si="39"/>
        <v>0</v>
      </c>
      <c r="I188" s="3">
        <f t="shared" si="31"/>
        <v>-1.5204194369059869</v>
      </c>
      <c r="J188" s="3">
        <f t="shared" si="32"/>
        <v>-0.90867415056087486</v>
      </c>
      <c r="K188" s="3">
        <f t="shared" si="33"/>
        <v>2.9996386641096141E-4</v>
      </c>
      <c r="L188" s="3">
        <f t="shared" si="38"/>
        <v>-3.0000886457030618E-4</v>
      </c>
      <c r="M188" s="9">
        <f t="shared" si="34"/>
        <v>0.57313432835820899</v>
      </c>
      <c r="N188" s="9">
        <f t="shared" si="35"/>
        <v>0.42686567164179107</v>
      </c>
      <c r="P188">
        <f t="shared" si="36"/>
        <v>424</v>
      </c>
      <c r="Q188">
        <f t="shared" si="37"/>
        <v>335.5</v>
      </c>
    </row>
    <row r="189" spans="1:17" x14ac:dyDescent="0.35">
      <c r="A189">
        <v>2023</v>
      </c>
      <c r="B189" s="3">
        <v>185</v>
      </c>
      <c r="C189" s="7">
        <v>19</v>
      </c>
      <c r="D189" s="3">
        <f t="shared" si="40"/>
        <v>23.125</v>
      </c>
      <c r="E189" s="10">
        <f t="shared" si="41"/>
        <v>0.46250000000000002</v>
      </c>
      <c r="F189" s="10">
        <f t="shared" si="29"/>
        <v>0.38</v>
      </c>
      <c r="G189" s="3">
        <f t="shared" si="30"/>
        <v>42.125</v>
      </c>
      <c r="H189" s="3">
        <f t="shared" si="39"/>
        <v>0</v>
      </c>
      <c r="I189" s="3">
        <f t="shared" si="31"/>
        <v>5.2910423776518403E-2</v>
      </c>
      <c r="J189" s="3">
        <f t="shared" si="32"/>
        <v>-1.5499173722574922</v>
      </c>
      <c r="K189" s="3">
        <f t="shared" si="33"/>
        <v>6.2323891286489579E-4</v>
      </c>
      <c r="L189" s="3">
        <f t="shared" si="38"/>
        <v>-6.2343320696807761E-4</v>
      </c>
      <c r="M189" s="9">
        <f t="shared" si="34"/>
        <v>0.45103857566765576</v>
      </c>
      <c r="N189" s="9">
        <f t="shared" si="35"/>
        <v>0.54896142433234418</v>
      </c>
      <c r="P189">
        <f t="shared" si="36"/>
        <v>179.5</v>
      </c>
      <c r="Q189">
        <f t="shared" si="37"/>
        <v>397.5</v>
      </c>
    </row>
    <row r="190" spans="1:17" x14ac:dyDescent="0.35">
      <c r="A190">
        <v>2023</v>
      </c>
      <c r="B190" s="3">
        <v>161</v>
      </c>
      <c r="C190" s="7">
        <v>19</v>
      </c>
      <c r="D190" s="3">
        <f t="shared" si="40"/>
        <v>20.125</v>
      </c>
      <c r="E190" s="10">
        <f t="shared" si="41"/>
        <v>0.40250000000000002</v>
      </c>
      <c r="F190" s="10">
        <f t="shared" si="29"/>
        <v>0.38</v>
      </c>
      <c r="G190" s="3">
        <f t="shared" si="30"/>
        <v>39.125</v>
      </c>
      <c r="H190" s="3">
        <f t="shared" si="39"/>
        <v>0</v>
      </c>
      <c r="I190" s="3">
        <f t="shared" si="31"/>
        <v>-0.84613521089919896</v>
      </c>
      <c r="J190" s="3">
        <f t="shared" si="32"/>
        <v>-1.5499173722574922</v>
      </c>
      <c r="K190" s="3">
        <f t="shared" si="33"/>
        <v>2.6822241191118474E-5</v>
      </c>
      <c r="L190" s="3">
        <f t="shared" si="38"/>
        <v>-2.6822600913848197E-5</v>
      </c>
      <c r="M190" s="9">
        <f t="shared" si="34"/>
        <v>0.48562300319488816</v>
      </c>
      <c r="N190" s="9">
        <f t="shared" si="35"/>
        <v>0.51437699680511184</v>
      </c>
      <c r="P190">
        <f t="shared" si="36"/>
        <v>370</v>
      </c>
      <c r="Q190">
        <f t="shared" si="37"/>
        <v>397.5</v>
      </c>
    </row>
    <row r="191" spans="1:17" x14ac:dyDescent="0.35">
      <c r="A191">
        <v>2023</v>
      </c>
      <c r="B191" s="3">
        <v>151</v>
      </c>
      <c r="C191" s="7">
        <v>39</v>
      </c>
      <c r="D191" s="3">
        <f t="shared" si="40"/>
        <v>18.875</v>
      </c>
      <c r="E191" s="10">
        <f t="shared" si="41"/>
        <v>0.3775</v>
      </c>
      <c r="F191" s="10">
        <f t="shared" si="29"/>
        <v>0.78</v>
      </c>
      <c r="G191" s="3">
        <f t="shared" si="30"/>
        <v>57.875</v>
      </c>
      <c r="H191" s="3">
        <f t="shared" si="39"/>
        <v>1</v>
      </c>
      <c r="I191" s="3">
        <f t="shared" si="31"/>
        <v>-1.2207375586807478</v>
      </c>
      <c r="J191" s="3">
        <f t="shared" si="32"/>
        <v>1.015055514528977</v>
      </c>
      <c r="K191" s="3">
        <f t="shared" si="33"/>
        <v>0.99929773119877263</v>
      </c>
      <c r="L191" s="3">
        <f t="shared" si="38"/>
        <v>-7.0251550747145106E-4</v>
      </c>
      <c r="M191" s="9">
        <f t="shared" si="34"/>
        <v>0.67386609071274295</v>
      </c>
      <c r="N191" s="9">
        <f t="shared" si="35"/>
        <v>0.326133909287257</v>
      </c>
      <c r="P191">
        <f t="shared" si="36"/>
        <v>402.5</v>
      </c>
      <c r="Q191">
        <f t="shared" si="37"/>
        <v>76.5</v>
      </c>
    </row>
    <row r="192" spans="1:17" x14ac:dyDescent="0.35">
      <c r="A192">
        <v>2023</v>
      </c>
      <c r="B192" s="3">
        <v>184</v>
      </c>
      <c r="C192" s="7">
        <v>16</v>
      </c>
      <c r="D192" s="3">
        <f t="shared" si="40"/>
        <v>23</v>
      </c>
      <c r="E192" s="10">
        <f t="shared" si="41"/>
        <v>0.46</v>
      </c>
      <c r="F192" s="10">
        <f t="shared" si="29"/>
        <v>0.32</v>
      </c>
      <c r="G192" s="3">
        <f t="shared" si="30"/>
        <v>39</v>
      </c>
      <c r="H192" s="3">
        <f t="shared" si="39"/>
        <v>0</v>
      </c>
      <c r="I192" s="3">
        <f t="shared" si="31"/>
        <v>1.5450188998363515E-2</v>
      </c>
      <c r="J192" s="3">
        <f t="shared" si="32"/>
        <v>-1.9346633052754625</v>
      </c>
      <c r="K192" s="3">
        <f t="shared" si="33"/>
        <v>3.1179832679475095E-5</v>
      </c>
      <c r="L192" s="3">
        <f t="shared" si="38"/>
        <v>-3.1180318780616084E-5</v>
      </c>
      <c r="M192" s="9">
        <f t="shared" si="34"/>
        <v>0.41025641025641024</v>
      </c>
      <c r="N192" s="9">
        <f t="shared" si="35"/>
        <v>0.58974358974358976</v>
      </c>
      <c r="P192">
        <f t="shared" si="36"/>
        <v>188.5</v>
      </c>
      <c r="Q192">
        <f t="shared" si="37"/>
        <v>420.5</v>
      </c>
    </row>
    <row r="193" spans="1:17" x14ac:dyDescent="0.35">
      <c r="A193">
        <v>2023</v>
      </c>
      <c r="B193" s="3">
        <v>167</v>
      </c>
      <c r="C193" s="7">
        <v>18</v>
      </c>
      <c r="D193" s="3">
        <f t="shared" si="40"/>
        <v>20.875</v>
      </c>
      <c r="E193" s="10">
        <f t="shared" si="41"/>
        <v>0.41749999999999998</v>
      </c>
      <c r="F193" s="10">
        <f t="shared" si="29"/>
        <v>0.36</v>
      </c>
      <c r="G193" s="3">
        <f t="shared" si="30"/>
        <v>38.875</v>
      </c>
      <c r="H193" s="3">
        <f t="shared" si="39"/>
        <v>0</v>
      </c>
      <c r="I193" s="3">
        <f t="shared" si="31"/>
        <v>-0.62137380223026961</v>
      </c>
      <c r="J193" s="3">
        <f t="shared" si="32"/>
        <v>-1.6781660165968155</v>
      </c>
      <c r="K193" s="3">
        <f t="shared" si="33"/>
        <v>2.2667322504216568E-5</v>
      </c>
      <c r="L193" s="3">
        <f t="shared" si="38"/>
        <v>-2.2667579411858799E-5</v>
      </c>
      <c r="M193" s="9">
        <f t="shared" si="34"/>
        <v>0.46302250803858519</v>
      </c>
      <c r="N193" s="9">
        <f t="shared" si="35"/>
        <v>0.53697749196141475</v>
      </c>
      <c r="P193">
        <f t="shared" si="36"/>
        <v>323</v>
      </c>
      <c r="Q193">
        <f t="shared" si="37"/>
        <v>409</v>
      </c>
    </row>
    <row r="194" spans="1:17" x14ac:dyDescent="0.35">
      <c r="A194">
        <v>2023</v>
      </c>
      <c r="B194" s="3">
        <v>157</v>
      </c>
      <c r="C194" s="7">
        <v>19</v>
      </c>
      <c r="D194" s="3">
        <f t="shared" si="40"/>
        <v>19.625</v>
      </c>
      <c r="E194" s="10">
        <f t="shared" si="41"/>
        <v>0.39250000000000002</v>
      </c>
      <c r="F194" s="10">
        <f t="shared" ref="F194:F257" si="42">C194 / 50</f>
        <v>0.38</v>
      </c>
      <c r="G194" s="3">
        <f t="shared" ref="G194:G257" si="43">SUM(D194 + C194)</f>
        <v>38.625</v>
      </c>
      <c r="H194" s="3">
        <f t="shared" si="39"/>
        <v>0</v>
      </c>
      <c r="I194" s="3">
        <f t="shared" ref="I194:I257" si="44" xml:space="preserve"> (D:D - AVERAGE(D:D)) / STDEV(D:D)</f>
        <v>-0.9959761500118185</v>
      </c>
      <c r="J194" s="3">
        <f t="shared" ref="J194:J257" si="45" xml:space="preserve"> (C:C - AVERAGE(C:C)) / STDEV(C:C)</f>
        <v>-1.5499173722574922</v>
      </c>
      <c r="K194" s="3">
        <f t="shared" ref="K194:K257" si="46">1/(1+EXP(-($AD$68 +$AD$69 * I194 +$AD$70 * J194 )))</f>
        <v>1.5876814963926159E-5</v>
      </c>
      <c r="L194" s="3">
        <f t="shared" si="38"/>
        <v>-1.5876941001916188E-5</v>
      </c>
      <c r="M194" s="9">
        <f t="shared" si="34"/>
        <v>0.49190938511326859</v>
      </c>
      <c r="N194" s="9">
        <f t="shared" si="35"/>
        <v>0.50809061488673135</v>
      </c>
      <c r="P194">
        <f t="shared" si="36"/>
        <v>384.5</v>
      </c>
      <c r="Q194">
        <f t="shared" si="37"/>
        <v>397.5</v>
      </c>
    </row>
    <row r="195" spans="1:17" x14ac:dyDescent="0.35">
      <c r="A195">
        <v>2023</v>
      </c>
      <c r="B195" s="3">
        <v>167</v>
      </c>
      <c r="C195" s="7">
        <v>17</v>
      </c>
      <c r="D195" s="3">
        <f t="shared" si="40"/>
        <v>20.875</v>
      </c>
      <c r="E195" s="10">
        <f t="shared" si="41"/>
        <v>0.41749999999999998</v>
      </c>
      <c r="F195" s="10">
        <f t="shared" si="42"/>
        <v>0.34</v>
      </c>
      <c r="G195" s="3">
        <f t="shared" si="43"/>
        <v>37.875</v>
      </c>
      <c r="H195" s="3">
        <f t="shared" si="39"/>
        <v>0</v>
      </c>
      <c r="I195" s="3">
        <f t="shared" si="44"/>
        <v>-0.62137380223026961</v>
      </c>
      <c r="J195" s="3">
        <f t="shared" si="45"/>
        <v>-1.8064146609361391</v>
      </c>
      <c r="K195" s="3">
        <f t="shared" si="46"/>
        <v>8.7237856171827948E-6</v>
      </c>
      <c r="L195" s="3">
        <f t="shared" si="38"/>
        <v>-8.7238236696652533E-6</v>
      </c>
      <c r="M195" s="9">
        <f t="shared" ref="M195:M258" si="47">IF(G195=0, 0,  C195  / G195 )</f>
        <v>0.44884488448844884</v>
      </c>
      <c r="N195" s="9">
        <f t="shared" ref="N195:N258" si="48">IF(G195=0, 0,  D195  / G195 )</f>
        <v>0.55115511551155116</v>
      </c>
      <c r="P195">
        <f t="shared" ref="P195:P258" si="49">_xlfn.RANK.AVG(B195,$B$2:$B$435)</f>
        <v>323</v>
      </c>
      <c r="Q195">
        <f t="shared" si="37"/>
        <v>415</v>
      </c>
    </row>
    <row r="196" spans="1:17" x14ac:dyDescent="0.35">
      <c r="A196">
        <v>2023</v>
      </c>
      <c r="B196" s="5">
        <v>174</v>
      </c>
      <c r="C196" s="16">
        <v>16</v>
      </c>
      <c r="D196" s="3">
        <f t="shared" si="40"/>
        <v>21.75</v>
      </c>
      <c r="E196" s="10">
        <f t="shared" si="41"/>
        <v>0.435</v>
      </c>
      <c r="F196" s="10">
        <f t="shared" si="42"/>
        <v>0.32</v>
      </c>
      <c r="G196" s="3">
        <f t="shared" si="43"/>
        <v>37.75</v>
      </c>
      <c r="H196" s="3">
        <f t="shared" si="39"/>
        <v>0</v>
      </c>
      <c r="I196" s="3">
        <f t="shared" si="44"/>
        <v>-0.3591521587831854</v>
      </c>
      <c r="J196" s="3">
        <f t="shared" si="45"/>
        <v>-1.9346633052754625</v>
      </c>
      <c r="K196" s="3">
        <f t="shared" si="46"/>
        <v>8.4050942363711936E-6</v>
      </c>
      <c r="L196" s="3">
        <f t="shared" si="38"/>
        <v>-8.4051295593880694E-6</v>
      </c>
      <c r="M196" s="9">
        <f t="shared" si="47"/>
        <v>0.42384105960264901</v>
      </c>
      <c r="N196" s="9">
        <f t="shared" si="48"/>
        <v>0.57615894039735094</v>
      </c>
      <c r="P196">
        <f t="shared" si="49"/>
        <v>261</v>
      </c>
      <c r="Q196">
        <f t="shared" ref="Q196:Q259" si="50">_xlfn.RANK.AVG(C196,$C$2:$C$435)</f>
        <v>420.5</v>
      </c>
    </row>
    <row r="197" spans="1:17" x14ac:dyDescent="0.35">
      <c r="A197">
        <v>2023</v>
      </c>
      <c r="B197" s="3">
        <v>170</v>
      </c>
      <c r="C197" s="7">
        <v>16</v>
      </c>
      <c r="D197" s="3">
        <f t="shared" si="40"/>
        <v>21.25</v>
      </c>
      <c r="E197" s="10">
        <f t="shared" si="41"/>
        <v>0.42499999999999999</v>
      </c>
      <c r="F197" s="10">
        <f t="shared" si="42"/>
        <v>0.32</v>
      </c>
      <c r="G197" s="3">
        <f t="shared" si="43"/>
        <v>37.25</v>
      </c>
      <c r="H197" s="3">
        <f t="shared" si="39"/>
        <v>0</v>
      </c>
      <c r="I197" s="3">
        <f t="shared" si="44"/>
        <v>-0.50899309789580494</v>
      </c>
      <c r="J197" s="3">
        <f t="shared" si="45"/>
        <v>-1.9346633052754625</v>
      </c>
      <c r="K197" s="3">
        <f t="shared" si="46"/>
        <v>4.9751667676028372E-6</v>
      </c>
      <c r="L197" s="3">
        <f t="shared" ref="L197:L260" si="51">IF(K197=0, -1000, IF(K197=1, -1000, H197 * LN(K197) + (1 - H197) * LN(1 - K197)))</f>
        <v>-4.9751791437456097E-6</v>
      </c>
      <c r="M197" s="9">
        <f t="shared" si="47"/>
        <v>0.42953020134228187</v>
      </c>
      <c r="N197" s="9">
        <f t="shared" si="48"/>
        <v>0.57046979865771807</v>
      </c>
      <c r="P197">
        <f t="shared" si="49"/>
        <v>287.5</v>
      </c>
      <c r="Q197">
        <f t="shared" si="50"/>
        <v>420.5</v>
      </c>
    </row>
    <row r="198" spans="1:17" x14ac:dyDescent="0.35">
      <c r="A198">
        <v>2023</v>
      </c>
      <c r="B198" s="3">
        <v>191</v>
      </c>
      <c r="C198" s="7">
        <v>37</v>
      </c>
      <c r="D198" s="3">
        <f t="shared" si="40"/>
        <v>23.875</v>
      </c>
      <c r="E198" s="10">
        <f t="shared" si="41"/>
        <v>0.47749999999999998</v>
      </c>
      <c r="F198" s="10">
        <f t="shared" si="42"/>
        <v>0.74</v>
      </c>
      <c r="G198" s="3">
        <f t="shared" si="43"/>
        <v>60.875</v>
      </c>
      <c r="H198" s="3">
        <f t="shared" si="39"/>
        <v>1</v>
      </c>
      <c r="I198" s="3">
        <f t="shared" si="44"/>
        <v>0.27767183244544774</v>
      </c>
      <c r="J198" s="3">
        <f t="shared" si="45"/>
        <v>0.75855822585033006</v>
      </c>
      <c r="K198" s="3">
        <f t="shared" si="46"/>
        <v>0.99997494837824008</v>
      </c>
      <c r="L198" s="3">
        <f t="shared" si="51"/>
        <v>-2.5051935557036648E-5</v>
      </c>
      <c r="M198" s="9">
        <f t="shared" si="47"/>
        <v>0.6078028747433265</v>
      </c>
      <c r="N198" s="9">
        <f t="shared" si="48"/>
        <v>0.3921971252566735</v>
      </c>
      <c r="P198">
        <f t="shared" si="49"/>
        <v>137.5</v>
      </c>
      <c r="Q198">
        <f t="shared" si="50"/>
        <v>128</v>
      </c>
    </row>
    <row r="199" spans="1:17" x14ac:dyDescent="0.35">
      <c r="A199">
        <v>2023</v>
      </c>
      <c r="B199" s="3">
        <v>171</v>
      </c>
      <c r="C199" s="7">
        <v>17</v>
      </c>
      <c r="D199" s="3">
        <f t="shared" si="40"/>
        <v>21.375</v>
      </c>
      <c r="E199" s="10">
        <f t="shared" si="41"/>
        <v>0.42749999999999999</v>
      </c>
      <c r="F199" s="10">
        <f t="shared" si="42"/>
        <v>0.34</v>
      </c>
      <c r="G199" s="3">
        <f t="shared" si="43"/>
        <v>38.375</v>
      </c>
      <c r="H199" s="3">
        <f t="shared" si="39"/>
        <v>0</v>
      </c>
      <c r="I199" s="3">
        <f t="shared" si="44"/>
        <v>-0.47153286311765003</v>
      </c>
      <c r="J199" s="3">
        <f t="shared" si="45"/>
        <v>-1.8064146609361391</v>
      </c>
      <c r="K199" s="3">
        <f t="shared" si="46"/>
        <v>1.4738008621748764E-5</v>
      </c>
      <c r="L199" s="3">
        <f t="shared" si="51"/>
        <v>-1.4738117227244737E-5</v>
      </c>
      <c r="M199" s="9">
        <f t="shared" si="47"/>
        <v>0.44299674267100975</v>
      </c>
      <c r="N199" s="9">
        <f t="shared" si="48"/>
        <v>0.55700325732899025</v>
      </c>
      <c r="P199">
        <f t="shared" si="49"/>
        <v>278</v>
      </c>
      <c r="Q199">
        <f t="shared" si="50"/>
        <v>415</v>
      </c>
    </row>
    <row r="200" spans="1:17" x14ac:dyDescent="0.35">
      <c r="A200">
        <v>2023</v>
      </c>
      <c r="B200" s="3">
        <v>176</v>
      </c>
      <c r="C200" s="7">
        <v>14</v>
      </c>
      <c r="D200" s="3">
        <f t="shared" si="40"/>
        <v>22</v>
      </c>
      <c r="E200" s="10">
        <f t="shared" si="41"/>
        <v>0.44</v>
      </c>
      <c r="F200" s="10">
        <f t="shared" si="42"/>
        <v>0.28000000000000003</v>
      </c>
      <c r="G200" s="3">
        <f t="shared" si="43"/>
        <v>36</v>
      </c>
      <c r="H200" s="3">
        <f t="shared" si="39"/>
        <v>0</v>
      </c>
      <c r="I200" s="3">
        <f t="shared" si="44"/>
        <v>-0.28423168922687558</v>
      </c>
      <c r="J200" s="3">
        <f t="shared" si="45"/>
        <v>-2.1911605939541094</v>
      </c>
      <c r="K200" s="3">
        <f t="shared" si="46"/>
        <v>1.6181216238171998E-6</v>
      </c>
      <c r="L200" s="3">
        <f t="shared" si="51"/>
        <v>-1.6181229329633551E-6</v>
      </c>
      <c r="M200" s="9">
        <f t="shared" si="47"/>
        <v>0.3888888888888889</v>
      </c>
      <c r="N200" s="9">
        <f t="shared" si="48"/>
        <v>0.61111111111111116</v>
      </c>
      <c r="P200">
        <f t="shared" si="49"/>
        <v>245.5</v>
      </c>
      <c r="Q200">
        <f t="shared" si="50"/>
        <v>427</v>
      </c>
    </row>
    <row r="201" spans="1:17" x14ac:dyDescent="0.35">
      <c r="A201">
        <v>2023</v>
      </c>
      <c r="B201" s="3">
        <v>163</v>
      </c>
      <c r="C201" s="7">
        <v>14</v>
      </c>
      <c r="D201" s="3">
        <f t="shared" si="40"/>
        <v>20.375</v>
      </c>
      <c r="E201" s="10">
        <f t="shared" si="41"/>
        <v>0.40749999999999997</v>
      </c>
      <c r="F201" s="10">
        <f t="shared" si="42"/>
        <v>0.28000000000000003</v>
      </c>
      <c r="G201" s="3">
        <f t="shared" si="43"/>
        <v>34.375</v>
      </c>
      <c r="H201" s="3">
        <f t="shared" si="39"/>
        <v>0</v>
      </c>
      <c r="I201" s="3">
        <f t="shared" si="44"/>
        <v>-0.77121474134288914</v>
      </c>
      <c r="J201" s="3">
        <f t="shared" si="45"/>
        <v>-2.1911605939541094</v>
      </c>
      <c r="K201" s="3">
        <f t="shared" si="46"/>
        <v>2.9435290536571393E-7</v>
      </c>
      <c r="L201" s="3">
        <f t="shared" si="51"/>
        <v>-2.9435294870520208E-7</v>
      </c>
      <c r="M201" s="9">
        <f t="shared" si="47"/>
        <v>0.40727272727272729</v>
      </c>
      <c r="N201" s="9">
        <f t="shared" si="48"/>
        <v>0.59272727272727277</v>
      </c>
      <c r="P201">
        <f t="shared" si="49"/>
        <v>356.5</v>
      </c>
      <c r="Q201">
        <f t="shared" si="50"/>
        <v>427</v>
      </c>
    </row>
    <row r="202" spans="1:17" x14ac:dyDescent="0.35">
      <c r="A202">
        <v>2023</v>
      </c>
      <c r="B202" s="3">
        <v>147</v>
      </c>
      <c r="C202" s="7">
        <v>16</v>
      </c>
      <c r="D202" s="3">
        <f t="shared" si="40"/>
        <v>18.375</v>
      </c>
      <c r="E202" s="10">
        <f t="shared" si="41"/>
        <v>0.36749999999999999</v>
      </c>
      <c r="F202" s="10">
        <f t="shared" si="42"/>
        <v>0.32</v>
      </c>
      <c r="G202" s="3">
        <f t="shared" si="43"/>
        <v>34.375</v>
      </c>
      <c r="H202" s="3">
        <f t="shared" si="39"/>
        <v>0</v>
      </c>
      <c r="I202" s="3">
        <f t="shared" si="44"/>
        <v>-1.3705784977933675</v>
      </c>
      <c r="J202" s="3">
        <f t="shared" si="45"/>
        <v>-1.9346633052754625</v>
      </c>
      <c r="K202" s="3">
        <f t="shared" si="46"/>
        <v>2.4396369559083871E-7</v>
      </c>
      <c r="L202" s="3">
        <f t="shared" si="51"/>
        <v>-2.4396372533781117E-7</v>
      </c>
      <c r="M202" s="9">
        <f t="shared" si="47"/>
        <v>0.46545454545454545</v>
      </c>
      <c r="N202" s="9">
        <f t="shared" si="48"/>
        <v>0.53454545454545455</v>
      </c>
      <c r="P202">
        <f t="shared" si="49"/>
        <v>414.5</v>
      </c>
      <c r="Q202">
        <f t="shared" si="50"/>
        <v>420.5</v>
      </c>
    </row>
    <row r="203" spans="1:17" x14ac:dyDescent="0.35">
      <c r="A203">
        <v>2023</v>
      </c>
      <c r="B203" s="3">
        <v>180</v>
      </c>
      <c r="C203" s="7">
        <v>34</v>
      </c>
      <c r="D203" s="3">
        <f t="shared" si="40"/>
        <v>22.5</v>
      </c>
      <c r="E203" s="10">
        <f t="shared" si="41"/>
        <v>0.45</v>
      </c>
      <c r="F203" s="10">
        <f t="shared" si="42"/>
        <v>0.68</v>
      </c>
      <c r="G203" s="3">
        <f t="shared" si="43"/>
        <v>56.5</v>
      </c>
      <c r="H203" s="3">
        <f t="shared" si="39"/>
        <v>1</v>
      </c>
      <c r="I203" s="3">
        <f t="shared" si="44"/>
        <v>-0.13439075011425605</v>
      </c>
      <c r="J203" s="3">
        <f t="shared" si="45"/>
        <v>0.37381229283235973</v>
      </c>
      <c r="K203" s="3">
        <f t="shared" si="46"/>
        <v>0.9981446779805242</v>
      </c>
      <c r="L203" s="3">
        <f t="shared" si="51"/>
        <v>-1.8570452611491289E-3</v>
      </c>
      <c r="M203" s="9">
        <f t="shared" si="47"/>
        <v>0.60176991150442483</v>
      </c>
      <c r="N203" s="9">
        <f t="shared" si="48"/>
        <v>0.39823008849557523</v>
      </c>
      <c r="P203">
        <f t="shared" si="49"/>
        <v>216.5</v>
      </c>
      <c r="Q203">
        <f t="shared" si="50"/>
        <v>189.5</v>
      </c>
    </row>
    <row r="204" spans="1:17" x14ac:dyDescent="0.35">
      <c r="A204">
        <v>2023</v>
      </c>
      <c r="B204" s="3">
        <v>181</v>
      </c>
      <c r="C204" s="7">
        <v>34</v>
      </c>
      <c r="D204" s="3">
        <f t="shared" si="40"/>
        <v>22.625</v>
      </c>
      <c r="E204" s="10">
        <f t="shared" si="41"/>
        <v>0.45250000000000001</v>
      </c>
      <c r="F204" s="10">
        <f t="shared" si="42"/>
        <v>0.68</v>
      </c>
      <c r="G204" s="3">
        <f t="shared" si="43"/>
        <v>56.625</v>
      </c>
      <c r="H204" s="3">
        <f t="shared" si="39"/>
        <v>1</v>
      </c>
      <c r="I204" s="3">
        <f t="shared" si="44"/>
        <v>-9.6930515336101156E-2</v>
      </c>
      <c r="J204" s="3">
        <f t="shared" si="45"/>
        <v>0.37381229283235973</v>
      </c>
      <c r="K204" s="3">
        <f t="shared" si="46"/>
        <v>0.99837226312601113</v>
      </c>
      <c r="L204" s="3">
        <f t="shared" si="51"/>
        <v>-1.6290630769894092E-3</v>
      </c>
      <c r="M204" s="9">
        <f t="shared" si="47"/>
        <v>0.60044150110375272</v>
      </c>
      <c r="N204" s="9">
        <f t="shared" si="48"/>
        <v>0.39955849889624723</v>
      </c>
      <c r="P204">
        <f t="shared" si="49"/>
        <v>209.5</v>
      </c>
      <c r="Q204">
        <f t="shared" si="50"/>
        <v>189.5</v>
      </c>
    </row>
    <row r="205" spans="1:17" x14ac:dyDescent="0.35">
      <c r="A205">
        <v>2023</v>
      </c>
      <c r="B205" s="3">
        <v>190</v>
      </c>
      <c r="C205" s="7">
        <v>34</v>
      </c>
      <c r="D205" s="3">
        <f t="shared" si="40"/>
        <v>23.75</v>
      </c>
      <c r="E205" s="10">
        <f t="shared" si="41"/>
        <v>0.47499999999999998</v>
      </c>
      <c r="F205" s="10">
        <f t="shared" si="42"/>
        <v>0.68</v>
      </c>
      <c r="G205" s="3">
        <f t="shared" si="43"/>
        <v>57.75</v>
      </c>
      <c r="H205" s="3">
        <f t="shared" si="39"/>
        <v>1</v>
      </c>
      <c r="I205" s="3">
        <f t="shared" si="44"/>
        <v>0.24021159766729286</v>
      </c>
      <c r="J205" s="3">
        <f t="shared" si="45"/>
        <v>0.37381229283235973</v>
      </c>
      <c r="K205" s="3">
        <f t="shared" si="46"/>
        <v>0.99949919671557275</v>
      </c>
      <c r="L205" s="3">
        <f t="shared" si="51"/>
        <v>-5.0092872827564269E-4</v>
      </c>
      <c r="M205" s="9">
        <f t="shared" si="47"/>
        <v>0.58874458874458879</v>
      </c>
      <c r="N205" s="9">
        <f t="shared" si="48"/>
        <v>0.41125541125541126</v>
      </c>
      <c r="P205">
        <f t="shared" si="49"/>
        <v>145</v>
      </c>
      <c r="Q205">
        <f t="shared" si="50"/>
        <v>189.5</v>
      </c>
    </row>
    <row r="206" spans="1:17" x14ac:dyDescent="0.35">
      <c r="A206">
        <v>2023</v>
      </c>
      <c r="B206" s="3">
        <v>199</v>
      </c>
      <c r="C206" s="7">
        <v>34</v>
      </c>
      <c r="D206" s="3">
        <f t="shared" si="40"/>
        <v>24.875</v>
      </c>
      <c r="E206" s="10">
        <f t="shared" si="41"/>
        <v>0.4975</v>
      </c>
      <c r="F206" s="10">
        <f t="shared" si="42"/>
        <v>0.68</v>
      </c>
      <c r="G206" s="3">
        <f t="shared" si="43"/>
        <v>58.875</v>
      </c>
      <c r="H206" s="3">
        <f t="shared" si="39"/>
        <v>1</v>
      </c>
      <c r="I206" s="3">
        <f t="shared" si="44"/>
        <v>0.57735371067068686</v>
      </c>
      <c r="J206" s="3">
        <f t="shared" si="45"/>
        <v>0.37381229283235973</v>
      </c>
      <c r="K206" s="3">
        <f t="shared" si="46"/>
        <v>0.99984603894673707</v>
      </c>
      <c r="L206" s="3">
        <f t="shared" si="51"/>
        <v>-1.5397290648252917E-4</v>
      </c>
      <c r="M206" s="9">
        <f t="shared" si="47"/>
        <v>0.57749469214437366</v>
      </c>
      <c r="N206" s="9">
        <f t="shared" si="48"/>
        <v>0.42250530785562634</v>
      </c>
      <c r="P206">
        <f t="shared" si="49"/>
        <v>91.5</v>
      </c>
      <c r="Q206">
        <f t="shared" si="50"/>
        <v>189.5</v>
      </c>
    </row>
    <row r="207" spans="1:17" x14ac:dyDescent="0.35">
      <c r="A207">
        <v>2023</v>
      </c>
      <c r="B207" s="3">
        <v>168</v>
      </c>
      <c r="C207" s="7">
        <v>13</v>
      </c>
      <c r="D207" s="3">
        <f t="shared" si="40"/>
        <v>21</v>
      </c>
      <c r="E207" s="10">
        <f t="shared" si="41"/>
        <v>0.42</v>
      </c>
      <c r="F207" s="10">
        <f t="shared" si="42"/>
        <v>0.26</v>
      </c>
      <c r="G207" s="3">
        <f t="shared" si="43"/>
        <v>34</v>
      </c>
      <c r="H207" s="3">
        <f t="shared" si="39"/>
        <v>0</v>
      </c>
      <c r="I207" s="3">
        <f t="shared" si="44"/>
        <v>-0.58391356745211476</v>
      </c>
      <c r="J207" s="3">
        <f t="shared" si="45"/>
        <v>-2.3194092382934328</v>
      </c>
      <c r="K207" s="3">
        <f t="shared" si="46"/>
        <v>2.1819138908090902E-7</v>
      </c>
      <c r="L207" s="3">
        <f t="shared" si="51"/>
        <v>-2.1819141287127925E-7</v>
      </c>
      <c r="M207" s="9">
        <f t="shared" si="47"/>
        <v>0.38235294117647056</v>
      </c>
      <c r="N207" s="9">
        <f t="shared" si="48"/>
        <v>0.61764705882352944</v>
      </c>
      <c r="P207">
        <f t="shared" si="49"/>
        <v>311.5</v>
      </c>
      <c r="Q207">
        <f t="shared" si="50"/>
        <v>430.5</v>
      </c>
    </row>
    <row r="208" spans="1:17" x14ac:dyDescent="0.35">
      <c r="A208">
        <v>2023</v>
      </c>
      <c r="B208" s="3">
        <v>198</v>
      </c>
      <c r="C208" s="7">
        <v>34</v>
      </c>
      <c r="D208" s="3">
        <f t="shared" si="40"/>
        <v>24.75</v>
      </c>
      <c r="E208" s="10">
        <f t="shared" si="41"/>
        <v>0.495</v>
      </c>
      <c r="F208" s="10">
        <f t="shared" si="42"/>
        <v>0.68</v>
      </c>
      <c r="G208" s="3">
        <f t="shared" si="43"/>
        <v>58.75</v>
      </c>
      <c r="H208" s="3">
        <f t="shared" si="39"/>
        <v>1</v>
      </c>
      <c r="I208" s="3">
        <f t="shared" si="44"/>
        <v>0.539893475892532</v>
      </c>
      <c r="J208" s="3">
        <f t="shared" si="45"/>
        <v>0.37381229283235973</v>
      </c>
      <c r="K208" s="3">
        <f t="shared" si="46"/>
        <v>0.99982447636033533</v>
      </c>
      <c r="L208" s="3">
        <f t="shared" si="51"/>
        <v>-1.7553904574148607E-4</v>
      </c>
      <c r="M208" s="9">
        <f t="shared" si="47"/>
        <v>0.5787234042553191</v>
      </c>
      <c r="N208" s="9">
        <f t="shared" si="48"/>
        <v>0.42127659574468085</v>
      </c>
      <c r="P208">
        <f t="shared" si="49"/>
        <v>97.5</v>
      </c>
      <c r="Q208">
        <f t="shared" si="50"/>
        <v>189.5</v>
      </c>
    </row>
    <row r="209" spans="1:17" x14ac:dyDescent="0.35">
      <c r="A209">
        <v>2023</v>
      </c>
      <c r="B209" s="3">
        <v>182</v>
      </c>
      <c r="C209" s="7">
        <v>11</v>
      </c>
      <c r="D209" s="3">
        <f t="shared" si="40"/>
        <v>22.75</v>
      </c>
      <c r="E209" s="10">
        <f t="shared" si="41"/>
        <v>0.45500000000000002</v>
      </c>
      <c r="F209" s="10">
        <f t="shared" si="42"/>
        <v>0.22</v>
      </c>
      <c r="G209" s="3">
        <f t="shared" si="43"/>
        <v>33.75</v>
      </c>
      <c r="H209" s="3">
        <f t="shared" si="39"/>
        <v>0</v>
      </c>
      <c r="I209" s="3">
        <f t="shared" si="44"/>
        <v>-5.9470280557946266E-2</v>
      </c>
      <c r="J209" s="3">
        <f t="shared" si="45"/>
        <v>-2.57590652697208</v>
      </c>
      <c r="K209" s="3">
        <f t="shared" si="46"/>
        <v>2.0254080991551557E-7</v>
      </c>
      <c r="L209" s="3">
        <f t="shared" si="51"/>
        <v>-2.0254083041295615E-7</v>
      </c>
      <c r="M209" s="9">
        <f t="shared" si="47"/>
        <v>0.32592592592592595</v>
      </c>
      <c r="N209" s="9">
        <f t="shared" si="48"/>
        <v>0.67407407407407405</v>
      </c>
      <c r="P209">
        <f t="shared" si="49"/>
        <v>204</v>
      </c>
      <c r="Q209">
        <f t="shared" si="50"/>
        <v>434</v>
      </c>
    </row>
    <row r="210" spans="1:17" x14ac:dyDescent="0.35">
      <c r="A210">
        <v>2023</v>
      </c>
      <c r="B210" s="3">
        <v>169</v>
      </c>
      <c r="C210" s="7">
        <v>12</v>
      </c>
      <c r="D210" s="3">
        <f t="shared" si="40"/>
        <v>21.125</v>
      </c>
      <c r="E210" s="10">
        <f t="shared" si="41"/>
        <v>0.42249999999999999</v>
      </c>
      <c r="F210" s="10">
        <f t="shared" si="42"/>
        <v>0.24</v>
      </c>
      <c r="G210" s="3">
        <f t="shared" si="43"/>
        <v>33.125</v>
      </c>
      <c r="H210" s="3">
        <f t="shared" si="39"/>
        <v>0</v>
      </c>
      <c r="I210" s="3">
        <f t="shared" si="44"/>
        <v>-0.54645333267395979</v>
      </c>
      <c r="J210" s="3">
        <f t="shared" si="45"/>
        <v>-2.4476578826327562</v>
      </c>
      <c r="K210" s="3">
        <f t="shared" si="46"/>
        <v>9.5734940977107969E-8</v>
      </c>
      <c r="L210" s="3">
        <f t="shared" si="51"/>
        <v>-9.5734945557290785E-8</v>
      </c>
      <c r="M210" s="9">
        <f t="shared" si="47"/>
        <v>0.3622641509433962</v>
      </c>
      <c r="N210" s="9">
        <f t="shared" si="48"/>
        <v>0.63773584905660374</v>
      </c>
      <c r="P210">
        <f t="shared" si="49"/>
        <v>299</v>
      </c>
      <c r="Q210">
        <f t="shared" si="50"/>
        <v>433</v>
      </c>
    </row>
    <row r="211" spans="1:17" x14ac:dyDescent="0.35">
      <c r="A211">
        <v>2023</v>
      </c>
      <c r="B211" s="3">
        <v>170</v>
      </c>
      <c r="C211" s="7">
        <v>33</v>
      </c>
      <c r="D211" s="3">
        <f t="shared" si="40"/>
        <v>21.25</v>
      </c>
      <c r="E211" s="10">
        <f t="shared" si="41"/>
        <v>0.42499999999999999</v>
      </c>
      <c r="F211" s="10">
        <f t="shared" si="42"/>
        <v>0.66</v>
      </c>
      <c r="G211" s="3">
        <f t="shared" si="43"/>
        <v>54.25</v>
      </c>
      <c r="H211" s="3">
        <f t="shared" si="39"/>
        <v>1</v>
      </c>
      <c r="I211" s="3">
        <f t="shared" si="44"/>
        <v>-0.50899309789580494</v>
      </c>
      <c r="J211" s="3">
        <f t="shared" si="45"/>
        <v>0.24556364849303625</v>
      </c>
      <c r="K211" s="3">
        <f t="shared" si="46"/>
        <v>0.98239825340105602</v>
      </c>
      <c r="L211" s="3">
        <f t="shared" si="51"/>
        <v>-1.7758499480644022E-2</v>
      </c>
      <c r="M211" s="9">
        <f t="shared" si="47"/>
        <v>0.60829493087557607</v>
      </c>
      <c r="N211" s="9">
        <f t="shared" si="48"/>
        <v>0.39170506912442399</v>
      </c>
      <c r="P211">
        <f t="shared" si="49"/>
        <v>287.5</v>
      </c>
      <c r="Q211">
        <f t="shared" si="50"/>
        <v>208.5</v>
      </c>
    </row>
    <row r="212" spans="1:17" x14ac:dyDescent="0.35">
      <c r="A212">
        <v>2023</v>
      </c>
      <c r="B212" s="3">
        <v>162</v>
      </c>
      <c r="C212" s="7">
        <v>33</v>
      </c>
      <c r="D212" s="3">
        <f t="shared" si="40"/>
        <v>20.25</v>
      </c>
      <c r="E212" s="10">
        <f t="shared" si="41"/>
        <v>0.40500000000000003</v>
      </c>
      <c r="F212" s="10">
        <f t="shared" si="42"/>
        <v>0.66</v>
      </c>
      <c r="G212" s="3">
        <f t="shared" si="43"/>
        <v>53.25</v>
      </c>
      <c r="H212" s="3">
        <f t="shared" si="39"/>
        <v>1</v>
      </c>
      <c r="I212" s="3">
        <f t="shared" si="44"/>
        <v>-0.808674976121044</v>
      </c>
      <c r="J212" s="3">
        <f t="shared" si="45"/>
        <v>0.24556364849303625</v>
      </c>
      <c r="K212" s="3">
        <f t="shared" si="46"/>
        <v>0.9513501568497621</v>
      </c>
      <c r="L212" s="3">
        <f t="shared" si="51"/>
        <v>-4.9873085625018174E-2</v>
      </c>
      <c r="M212" s="9">
        <f t="shared" si="47"/>
        <v>0.61971830985915488</v>
      </c>
      <c r="N212" s="9">
        <f t="shared" si="48"/>
        <v>0.38028169014084506</v>
      </c>
      <c r="P212">
        <f t="shared" si="49"/>
        <v>364.5</v>
      </c>
      <c r="Q212">
        <f t="shared" si="50"/>
        <v>208.5</v>
      </c>
    </row>
    <row r="213" spans="1:17" x14ac:dyDescent="0.35">
      <c r="A213">
        <v>2023</v>
      </c>
      <c r="B213" s="3">
        <v>186</v>
      </c>
      <c r="C213" s="7">
        <v>32</v>
      </c>
      <c r="D213" s="3">
        <f t="shared" si="40"/>
        <v>23.25</v>
      </c>
      <c r="E213" s="10">
        <f t="shared" si="41"/>
        <v>0.46500000000000002</v>
      </c>
      <c r="F213" s="10">
        <f t="shared" si="42"/>
        <v>0.64</v>
      </c>
      <c r="G213" s="3">
        <f t="shared" si="43"/>
        <v>55.25</v>
      </c>
      <c r="H213" s="3">
        <f t="shared" si="39"/>
        <v>1</v>
      </c>
      <c r="I213" s="3">
        <f t="shared" si="44"/>
        <v>9.03706585546733E-2</v>
      </c>
      <c r="J213" s="3">
        <f t="shared" si="45"/>
        <v>0.11731500415371279</v>
      </c>
      <c r="K213" s="3">
        <f t="shared" si="46"/>
        <v>0.99431737794698161</v>
      </c>
      <c r="L213" s="3">
        <f t="shared" si="51"/>
        <v>-5.6988295797144621E-3</v>
      </c>
      <c r="M213" s="9">
        <f t="shared" si="47"/>
        <v>0.579185520361991</v>
      </c>
      <c r="N213" s="9">
        <f t="shared" si="48"/>
        <v>0.42081447963800905</v>
      </c>
      <c r="P213">
        <f t="shared" si="49"/>
        <v>171.5</v>
      </c>
      <c r="Q213">
        <f t="shared" si="50"/>
        <v>222</v>
      </c>
    </row>
    <row r="214" spans="1:17" x14ac:dyDescent="0.35">
      <c r="A214">
        <v>2023</v>
      </c>
      <c r="B214" s="3">
        <v>177</v>
      </c>
      <c r="C214" s="7">
        <v>31</v>
      </c>
      <c r="D214" s="3">
        <f t="shared" si="40"/>
        <v>22.125</v>
      </c>
      <c r="E214" s="10">
        <f t="shared" si="41"/>
        <v>0.4425</v>
      </c>
      <c r="F214" s="10">
        <f t="shared" si="42"/>
        <v>0.62</v>
      </c>
      <c r="G214" s="3">
        <f t="shared" si="43"/>
        <v>53.125</v>
      </c>
      <c r="H214" s="3">
        <f t="shared" si="39"/>
        <v>1</v>
      </c>
      <c r="I214" s="3">
        <f t="shared" si="44"/>
        <v>-0.2467714544487207</v>
      </c>
      <c r="J214" s="3">
        <f t="shared" si="45"/>
        <v>-1.0933640185610671E-2</v>
      </c>
      <c r="K214" s="3">
        <f t="shared" si="46"/>
        <v>0.95390668880058493</v>
      </c>
      <c r="L214" s="3">
        <f t="shared" si="51"/>
        <v>-4.718942279917477E-2</v>
      </c>
      <c r="M214" s="9">
        <f t="shared" si="47"/>
        <v>0.58352941176470585</v>
      </c>
      <c r="N214" s="9">
        <f t="shared" si="48"/>
        <v>0.41647058823529409</v>
      </c>
      <c r="P214">
        <f t="shared" si="49"/>
        <v>237.5</v>
      </c>
      <c r="Q214">
        <f t="shared" si="50"/>
        <v>239.5</v>
      </c>
    </row>
    <row r="215" spans="1:17" x14ac:dyDescent="0.35">
      <c r="A215">
        <v>2023</v>
      </c>
      <c r="B215" s="3">
        <v>165</v>
      </c>
      <c r="C215" s="7">
        <v>31</v>
      </c>
      <c r="D215" s="3">
        <f t="shared" si="40"/>
        <v>20.625</v>
      </c>
      <c r="E215" s="10">
        <f t="shared" si="41"/>
        <v>0.41249999999999998</v>
      </c>
      <c r="F215" s="10">
        <f t="shared" si="42"/>
        <v>0.62</v>
      </c>
      <c r="G215" s="3">
        <f t="shared" si="43"/>
        <v>51.625</v>
      </c>
      <c r="H215" s="3">
        <f t="shared" si="39"/>
        <v>1</v>
      </c>
      <c r="I215" s="3">
        <f t="shared" si="44"/>
        <v>-0.69629427178657943</v>
      </c>
      <c r="J215" s="3">
        <f t="shared" si="45"/>
        <v>-1.0933640185610671E-2</v>
      </c>
      <c r="K215" s="3">
        <f t="shared" si="46"/>
        <v>0.81103516251314733</v>
      </c>
      <c r="L215" s="3">
        <f t="shared" si="51"/>
        <v>-0.20944386882369193</v>
      </c>
      <c r="M215" s="9">
        <f t="shared" si="47"/>
        <v>0.6004842615012107</v>
      </c>
      <c r="N215" s="9">
        <f t="shared" si="48"/>
        <v>0.39951573849878935</v>
      </c>
      <c r="P215">
        <f t="shared" si="49"/>
        <v>342.5</v>
      </c>
      <c r="Q215">
        <f t="shared" si="50"/>
        <v>239.5</v>
      </c>
    </row>
    <row r="216" spans="1:17" x14ac:dyDescent="0.35">
      <c r="A216">
        <v>2023</v>
      </c>
      <c r="B216" s="3">
        <v>145</v>
      </c>
      <c r="C216" s="7">
        <v>31</v>
      </c>
      <c r="D216" s="3">
        <f t="shared" si="40"/>
        <v>18.125</v>
      </c>
      <c r="E216" s="10">
        <f t="shared" si="41"/>
        <v>0.36249999999999999</v>
      </c>
      <c r="F216" s="10">
        <f t="shared" si="42"/>
        <v>0.62</v>
      </c>
      <c r="G216" s="3">
        <f t="shared" si="43"/>
        <v>49.125</v>
      </c>
      <c r="H216" s="3">
        <f t="shared" si="39"/>
        <v>0</v>
      </c>
      <c r="I216" s="3">
        <f t="shared" si="44"/>
        <v>-1.4454989673496772</v>
      </c>
      <c r="J216" s="3">
        <f t="shared" si="45"/>
        <v>-1.0933640185610671E-2</v>
      </c>
      <c r="K216" s="3">
        <f t="shared" si="46"/>
        <v>0.23773056495462405</v>
      </c>
      <c r="L216" s="3">
        <f t="shared" si="51"/>
        <v>-0.27145519649506117</v>
      </c>
      <c r="M216" s="9">
        <f t="shared" si="47"/>
        <v>0.63104325699745545</v>
      </c>
      <c r="N216" s="9">
        <f t="shared" si="48"/>
        <v>0.36895674300254455</v>
      </c>
      <c r="P216">
        <f t="shared" si="49"/>
        <v>419.5</v>
      </c>
      <c r="Q216">
        <f t="shared" si="50"/>
        <v>239.5</v>
      </c>
    </row>
    <row r="217" spans="1:17" x14ac:dyDescent="0.35">
      <c r="A217">
        <v>2023</v>
      </c>
      <c r="B217" s="3">
        <v>180</v>
      </c>
      <c r="C217" s="7">
        <v>30</v>
      </c>
      <c r="D217" s="3">
        <f t="shared" si="40"/>
        <v>22.5</v>
      </c>
      <c r="E217" s="10">
        <f t="shared" si="41"/>
        <v>0.45</v>
      </c>
      <c r="F217" s="10">
        <f t="shared" si="42"/>
        <v>0.6</v>
      </c>
      <c r="G217" s="3">
        <f t="shared" si="43"/>
        <v>52.5</v>
      </c>
      <c r="H217" s="3">
        <f t="shared" si="39"/>
        <v>1</v>
      </c>
      <c r="I217" s="3">
        <f t="shared" si="44"/>
        <v>-0.13439075011425605</v>
      </c>
      <c r="J217" s="3">
        <f t="shared" si="45"/>
        <v>-0.13918228452493411</v>
      </c>
      <c r="K217" s="3">
        <f t="shared" si="46"/>
        <v>0.92188942806375773</v>
      </c>
      <c r="L217" s="3">
        <f t="shared" si="51"/>
        <v>-8.1329988795399266E-2</v>
      </c>
      <c r="M217" s="9">
        <f t="shared" si="47"/>
        <v>0.5714285714285714</v>
      </c>
      <c r="N217" s="9">
        <f t="shared" si="48"/>
        <v>0.42857142857142855</v>
      </c>
      <c r="P217">
        <f t="shared" si="49"/>
        <v>216.5</v>
      </c>
      <c r="Q217">
        <f t="shared" si="50"/>
        <v>259</v>
      </c>
    </row>
    <row r="218" spans="1:17" x14ac:dyDescent="0.35">
      <c r="A218">
        <v>2023</v>
      </c>
      <c r="B218" s="3">
        <v>198</v>
      </c>
      <c r="C218" s="7">
        <v>30</v>
      </c>
      <c r="D218" s="3">
        <f t="shared" si="40"/>
        <v>24.75</v>
      </c>
      <c r="E218" s="10">
        <f t="shared" si="41"/>
        <v>0.495</v>
      </c>
      <c r="F218" s="10">
        <f t="shared" si="42"/>
        <v>0.6</v>
      </c>
      <c r="G218" s="3">
        <f t="shared" si="43"/>
        <v>54.75</v>
      </c>
      <c r="H218" s="3">
        <f t="shared" si="39"/>
        <v>1</v>
      </c>
      <c r="I218" s="3">
        <f t="shared" si="44"/>
        <v>0.539893475892532</v>
      </c>
      <c r="J218" s="3">
        <f t="shared" si="45"/>
        <v>-0.13918228452493411</v>
      </c>
      <c r="K218" s="3">
        <f t="shared" si="46"/>
        <v>0.99206118849053015</v>
      </c>
      <c r="L218" s="3">
        <f t="shared" si="51"/>
        <v>-7.9704916534183278E-3</v>
      </c>
      <c r="M218" s="9">
        <f t="shared" si="47"/>
        <v>0.54794520547945202</v>
      </c>
      <c r="N218" s="9">
        <f t="shared" si="48"/>
        <v>0.45205479452054792</v>
      </c>
      <c r="P218">
        <f t="shared" si="49"/>
        <v>97.5</v>
      </c>
      <c r="Q218">
        <f t="shared" si="50"/>
        <v>259</v>
      </c>
    </row>
    <row r="219" spans="1:17" x14ac:dyDescent="0.35">
      <c r="A219">
        <v>2023</v>
      </c>
      <c r="B219" s="3">
        <v>215</v>
      </c>
      <c r="C219" s="7">
        <v>29</v>
      </c>
      <c r="D219" s="3">
        <f t="shared" si="40"/>
        <v>26.875</v>
      </c>
      <c r="E219" s="10">
        <f t="shared" si="41"/>
        <v>0.53749999999999998</v>
      </c>
      <c r="F219" s="10">
        <f t="shared" si="42"/>
        <v>0.57999999999999996</v>
      </c>
      <c r="G219" s="3">
        <f t="shared" si="43"/>
        <v>55.875</v>
      </c>
      <c r="H219" s="3">
        <f t="shared" si="39"/>
        <v>1</v>
      </c>
      <c r="I219" s="3">
        <f t="shared" si="44"/>
        <v>1.1767174671211651</v>
      </c>
      <c r="J219" s="3">
        <f t="shared" si="45"/>
        <v>-0.26743092886425757</v>
      </c>
      <c r="K219" s="3">
        <f t="shared" si="46"/>
        <v>0.99776608204318595</v>
      </c>
      <c r="L219" s="3">
        <f t="shared" si="51"/>
        <v>-2.2364168738102709E-3</v>
      </c>
      <c r="M219" s="9">
        <f t="shared" si="47"/>
        <v>0.51901565995525722</v>
      </c>
      <c r="N219" s="9">
        <f t="shared" si="48"/>
        <v>0.48098434004474272</v>
      </c>
      <c r="P219">
        <f t="shared" si="49"/>
        <v>47.5</v>
      </c>
      <c r="Q219">
        <f t="shared" si="50"/>
        <v>272.5</v>
      </c>
    </row>
    <row r="220" spans="1:17" x14ac:dyDescent="0.35">
      <c r="A220">
        <v>2023</v>
      </c>
      <c r="B220" s="3">
        <v>201</v>
      </c>
      <c r="C220" s="7">
        <v>26</v>
      </c>
      <c r="D220" s="3">
        <f t="shared" si="40"/>
        <v>25.125</v>
      </c>
      <c r="E220" s="10">
        <f t="shared" si="41"/>
        <v>0.50249999999999995</v>
      </c>
      <c r="F220" s="10">
        <f t="shared" si="42"/>
        <v>0.52</v>
      </c>
      <c r="G220" s="3">
        <f t="shared" si="43"/>
        <v>51.125</v>
      </c>
      <c r="H220" s="3">
        <f t="shared" si="39"/>
        <v>1</v>
      </c>
      <c r="I220" s="3">
        <f t="shared" si="44"/>
        <v>0.65227418022699668</v>
      </c>
      <c r="J220" s="3">
        <f t="shared" si="45"/>
        <v>-0.65217686188222801</v>
      </c>
      <c r="K220" s="3">
        <f t="shared" si="46"/>
        <v>0.80246429617992165</v>
      </c>
      <c r="L220" s="3">
        <f t="shared" si="51"/>
        <v>-0.22006791570923917</v>
      </c>
      <c r="M220" s="9">
        <f t="shared" si="47"/>
        <v>0.50855745721271395</v>
      </c>
      <c r="N220" s="9">
        <f t="shared" si="48"/>
        <v>0.49144254278728605</v>
      </c>
      <c r="P220">
        <f t="shared" si="49"/>
        <v>78.5</v>
      </c>
      <c r="Q220">
        <f t="shared" si="50"/>
        <v>312.5</v>
      </c>
    </row>
    <row r="221" spans="1:17" x14ac:dyDescent="0.35">
      <c r="A221">
        <v>2023</v>
      </c>
      <c r="B221" s="3">
        <v>144</v>
      </c>
      <c r="C221" s="7">
        <v>25</v>
      </c>
      <c r="D221" s="3">
        <f t="shared" si="40"/>
        <v>18</v>
      </c>
      <c r="E221" s="10">
        <f t="shared" si="41"/>
        <v>0.36</v>
      </c>
      <c r="F221" s="10">
        <f t="shared" si="42"/>
        <v>0.5</v>
      </c>
      <c r="G221" s="3">
        <f t="shared" si="43"/>
        <v>43</v>
      </c>
      <c r="H221" s="3">
        <f t="shared" si="39"/>
        <v>0</v>
      </c>
      <c r="I221" s="3">
        <f t="shared" si="44"/>
        <v>-1.4829592021278322</v>
      </c>
      <c r="J221" s="3">
        <f t="shared" si="45"/>
        <v>-0.78042550622155138</v>
      </c>
      <c r="K221" s="3">
        <f t="shared" si="46"/>
        <v>8.8807323574075761E-4</v>
      </c>
      <c r="L221" s="3">
        <f t="shared" si="51"/>
        <v>-8.8846780639921519E-4</v>
      </c>
      <c r="M221" s="9">
        <f t="shared" si="47"/>
        <v>0.58139534883720934</v>
      </c>
      <c r="N221" s="9">
        <f t="shared" si="48"/>
        <v>0.41860465116279072</v>
      </c>
      <c r="P221">
        <f t="shared" si="49"/>
        <v>421</v>
      </c>
      <c r="Q221">
        <f t="shared" si="50"/>
        <v>326</v>
      </c>
    </row>
    <row r="222" spans="1:17" x14ac:dyDescent="0.35">
      <c r="A222">
        <v>2023</v>
      </c>
      <c r="B222" s="3">
        <v>198</v>
      </c>
      <c r="C222" s="7">
        <v>24</v>
      </c>
      <c r="D222" s="3">
        <f t="shared" si="40"/>
        <v>24.75</v>
      </c>
      <c r="E222" s="10">
        <f t="shared" si="41"/>
        <v>0.495</v>
      </c>
      <c r="F222" s="10">
        <f t="shared" si="42"/>
        <v>0.48</v>
      </c>
      <c r="G222" s="3">
        <f t="shared" si="43"/>
        <v>48.75</v>
      </c>
      <c r="H222" s="3">
        <f t="shared" ref="H222:H285" si="52">IF(G222&gt;=50,1,0)</f>
        <v>0</v>
      </c>
      <c r="I222" s="3">
        <f t="shared" si="44"/>
        <v>0.539893475892532</v>
      </c>
      <c r="J222" s="3">
        <f t="shared" si="45"/>
        <v>-0.90867415056087486</v>
      </c>
      <c r="K222" s="3">
        <f t="shared" si="46"/>
        <v>0.28878569776936358</v>
      </c>
      <c r="L222" s="3">
        <f t="shared" si="51"/>
        <v>-0.3407814849865628</v>
      </c>
      <c r="M222" s="9">
        <f t="shared" si="47"/>
        <v>0.49230769230769234</v>
      </c>
      <c r="N222" s="9">
        <f t="shared" si="48"/>
        <v>0.50769230769230766</v>
      </c>
      <c r="P222">
        <f t="shared" si="49"/>
        <v>97.5</v>
      </c>
      <c r="Q222">
        <f t="shared" si="50"/>
        <v>335.5</v>
      </c>
    </row>
    <row r="223" spans="1:17" x14ac:dyDescent="0.35">
      <c r="A223">
        <v>2023</v>
      </c>
      <c r="B223" s="3">
        <v>160</v>
      </c>
      <c r="C223" s="7">
        <v>24</v>
      </c>
      <c r="D223" s="3">
        <f t="shared" si="40"/>
        <v>20</v>
      </c>
      <c r="E223" s="10">
        <f t="shared" si="41"/>
        <v>0.4</v>
      </c>
      <c r="F223" s="10">
        <f t="shared" si="42"/>
        <v>0.48</v>
      </c>
      <c r="G223" s="3">
        <f t="shared" si="43"/>
        <v>44</v>
      </c>
      <c r="H223" s="3">
        <f t="shared" si="52"/>
        <v>0</v>
      </c>
      <c r="I223" s="3">
        <f t="shared" si="44"/>
        <v>-0.88359544567735382</v>
      </c>
      <c r="J223" s="3">
        <f t="shared" si="45"/>
        <v>-0.90867415056087486</v>
      </c>
      <c r="K223" s="3">
        <f t="shared" si="46"/>
        <v>2.7788848061451993E-3</v>
      </c>
      <c r="L223" s="3">
        <f t="shared" si="51"/>
        <v>-2.7827530745048747E-3</v>
      </c>
      <c r="M223" s="9">
        <f t="shared" si="47"/>
        <v>0.54545454545454541</v>
      </c>
      <c r="N223" s="9">
        <f t="shared" si="48"/>
        <v>0.45454545454545453</v>
      </c>
      <c r="P223">
        <f t="shared" si="49"/>
        <v>374.5</v>
      </c>
      <c r="Q223">
        <f t="shared" si="50"/>
        <v>335.5</v>
      </c>
    </row>
    <row r="224" spans="1:17" x14ac:dyDescent="0.35">
      <c r="A224">
        <v>2023</v>
      </c>
      <c r="B224" s="3">
        <v>165</v>
      </c>
      <c r="C224" s="7">
        <v>23</v>
      </c>
      <c r="D224" s="3">
        <f t="shared" si="40"/>
        <v>20.625</v>
      </c>
      <c r="E224" s="10">
        <f t="shared" si="41"/>
        <v>0.41249999999999998</v>
      </c>
      <c r="F224" s="10">
        <f t="shared" si="42"/>
        <v>0.46</v>
      </c>
      <c r="G224" s="3">
        <f t="shared" si="43"/>
        <v>43.625</v>
      </c>
      <c r="H224" s="3">
        <f t="shared" si="52"/>
        <v>0</v>
      </c>
      <c r="I224" s="3">
        <f t="shared" si="44"/>
        <v>-0.69629427178657943</v>
      </c>
      <c r="J224" s="3">
        <f t="shared" si="45"/>
        <v>-1.0369227949001982</v>
      </c>
      <c r="K224" s="3">
        <f t="shared" si="46"/>
        <v>2.0613520429451759E-3</v>
      </c>
      <c r="L224" s="3">
        <f t="shared" si="51"/>
        <v>-2.0634795532689819E-3</v>
      </c>
      <c r="M224" s="9">
        <f t="shared" si="47"/>
        <v>0.52722063037249278</v>
      </c>
      <c r="N224" s="9">
        <f t="shared" si="48"/>
        <v>0.47277936962750716</v>
      </c>
      <c r="P224">
        <f t="shared" si="49"/>
        <v>342.5</v>
      </c>
      <c r="Q224">
        <f t="shared" si="50"/>
        <v>352.5</v>
      </c>
    </row>
    <row r="225" spans="1:17" x14ac:dyDescent="0.35">
      <c r="A225">
        <v>2023</v>
      </c>
      <c r="B225" s="3">
        <v>163</v>
      </c>
      <c r="C225" s="7">
        <v>22</v>
      </c>
      <c r="D225" s="3">
        <f t="shared" si="40"/>
        <v>20.375</v>
      </c>
      <c r="E225" s="10">
        <f t="shared" si="41"/>
        <v>0.40749999999999997</v>
      </c>
      <c r="F225" s="10">
        <f t="shared" si="42"/>
        <v>0.44</v>
      </c>
      <c r="G225" s="3">
        <f t="shared" si="43"/>
        <v>42.375</v>
      </c>
      <c r="H225" s="3">
        <f t="shared" si="52"/>
        <v>0</v>
      </c>
      <c r="I225" s="3">
        <f t="shared" si="44"/>
        <v>-0.77121474134288914</v>
      </c>
      <c r="J225" s="3">
        <f t="shared" si="45"/>
        <v>-1.1651714392395218</v>
      </c>
      <c r="K225" s="3">
        <f t="shared" si="46"/>
        <v>6.1124212060442468E-4</v>
      </c>
      <c r="L225" s="3">
        <f t="shared" si="51"/>
        <v>-6.1142900522775478E-4</v>
      </c>
      <c r="M225" s="9">
        <f t="shared" si="47"/>
        <v>0.5191740412979351</v>
      </c>
      <c r="N225" s="9">
        <f t="shared" si="48"/>
        <v>0.4808259587020649</v>
      </c>
      <c r="P225">
        <f t="shared" si="49"/>
        <v>356.5</v>
      </c>
      <c r="Q225">
        <f t="shared" si="50"/>
        <v>370</v>
      </c>
    </row>
    <row r="226" spans="1:17" x14ac:dyDescent="0.35">
      <c r="A226">
        <v>2023</v>
      </c>
      <c r="B226" s="3">
        <v>161</v>
      </c>
      <c r="C226" s="7">
        <v>20</v>
      </c>
      <c r="D226" s="3">
        <f t="shared" si="40"/>
        <v>20.125</v>
      </c>
      <c r="E226" s="10">
        <f t="shared" si="41"/>
        <v>0.40250000000000002</v>
      </c>
      <c r="F226" s="10">
        <f t="shared" si="42"/>
        <v>0.4</v>
      </c>
      <c r="G226" s="3">
        <f t="shared" si="43"/>
        <v>40.125</v>
      </c>
      <c r="H226" s="3">
        <f t="shared" si="52"/>
        <v>0</v>
      </c>
      <c r="I226" s="3">
        <f t="shared" si="44"/>
        <v>-0.84613521089919896</v>
      </c>
      <c r="J226" s="3">
        <f t="shared" si="45"/>
        <v>-1.4216687279181688</v>
      </c>
      <c r="K226" s="3">
        <f t="shared" si="46"/>
        <v>6.9691167444113107E-5</v>
      </c>
      <c r="L226" s="3">
        <f t="shared" si="51"/>
        <v>-6.9693595986394972E-5</v>
      </c>
      <c r="M226" s="9">
        <f t="shared" si="47"/>
        <v>0.49844236760124611</v>
      </c>
      <c r="N226" s="9">
        <f t="shared" si="48"/>
        <v>0.50155763239875384</v>
      </c>
      <c r="P226">
        <f t="shared" si="49"/>
        <v>370</v>
      </c>
      <c r="Q226">
        <f t="shared" si="50"/>
        <v>386</v>
      </c>
    </row>
    <row r="227" spans="1:17" x14ac:dyDescent="0.35">
      <c r="A227">
        <v>2023</v>
      </c>
      <c r="B227" s="3">
        <v>184</v>
      </c>
      <c r="C227" s="7">
        <v>18</v>
      </c>
      <c r="D227" s="3">
        <f t="shared" si="40"/>
        <v>23</v>
      </c>
      <c r="E227" s="10">
        <f t="shared" si="41"/>
        <v>0.46</v>
      </c>
      <c r="F227" s="10">
        <f t="shared" si="42"/>
        <v>0.36</v>
      </c>
      <c r="G227" s="3">
        <f t="shared" si="43"/>
        <v>41</v>
      </c>
      <c r="H227" s="3">
        <f t="shared" si="52"/>
        <v>0</v>
      </c>
      <c r="I227" s="3">
        <f t="shared" si="44"/>
        <v>1.5450188998363515E-2</v>
      </c>
      <c r="J227" s="3">
        <f t="shared" si="45"/>
        <v>-1.6781660165968155</v>
      </c>
      <c r="K227" s="3">
        <f t="shared" si="46"/>
        <v>2.1047401913021558E-4</v>
      </c>
      <c r="L227" s="3">
        <f t="shared" si="51"/>
        <v>-2.1049617189502004E-4</v>
      </c>
      <c r="M227" s="9">
        <f t="shared" si="47"/>
        <v>0.43902439024390244</v>
      </c>
      <c r="N227" s="9">
        <f t="shared" si="48"/>
        <v>0.56097560975609762</v>
      </c>
      <c r="P227">
        <f t="shared" si="49"/>
        <v>188.5</v>
      </c>
      <c r="Q227">
        <f t="shared" si="50"/>
        <v>409</v>
      </c>
    </row>
    <row r="228" spans="1:17" x14ac:dyDescent="0.35">
      <c r="A228">
        <v>2023</v>
      </c>
      <c r="B228" s="3">
        <v>149</v>
      </c>
      <c r="C228" s="7">
        <v>17</v>
      </c>
      <c r="D228" s="3">
        <f t="shared" si="40"/>
        <v>18.625</v>
      </c>
      <c r="E228" s="10">
        <f t="shared" si="41"/>
        <v>0.3725</v>
      </c>
      <c r="F228" s="10">
        <f t="shared" si="42"/>
        <v>0.34</v>
      </c>
      <c r="G228" s="3">
        <f t="shared" si="43"/>
        <v>35.625</v>
      </c>
      <c r="H228" s="3">
        <f t="shared" si="52"/>
        <v>0</v>
      </c>
      <c r="I228" s="3">
        <f t="shared" si="44"/>
        <v>-1.2956580282370576</v>
      </c>
      <c r="J228" s="3">
        <f t="shared" si="45"/>
        <v>-1.8064146609361391</v>
      </c>
      <c r="K228" s="3">
        <f t="shared" si="46"/>
        <v>8.2393786801679264E-7</v>
      </c>
      <c r="L228" s="3">
        <f t="shared" si="51"/>
        <v>-8.2393820748112505E-7</v>
      </c>
      <c r="M228" s="9">
        <f t="shared" si="47"/>
        <v>0.47719298245614034</v>
      </c>
      <c r="N228" s="9">
        <f t="shared" si="48"/>
        <v>0.52280701754385961</v>
      </c>
      <c r="P228">
        <f t="shared" si="49"/>
        <v>409</v>
      </c>
      <c r="Q228">
        <f t="shared" si="50"/>
        <v>415</v>
      </c>
    </row>
    <row r="229" spans="1:17" x14ac:dyDescent="0.35">
      <c r="A229">
        <v>2023</v>
      </c>
      <c r="B229" s="3">
        <v>186</v>
      </c>
      <c r="C229" s="7">
        <v>17</v>
      </c>
      <c r="D229" s="3">
        <f t="shared" si="40"/>
        <v>23.25</v>
      </c>
      <c r="E229" s="10">
        <f t="shared" si="41"/>
        <v>0.46500000000000002</v>
      </c>
      <c r="F229" s="10">
        <f t="shared" si="42"/>
        <v>0.34</v>
      </c>
      <c r="G229" s="3">
        <f t="shared" si="43"/>
        <v>40.25</v>
      </c>
      <c r="H229" s="3">
        <f t="shared" si="52"/>
        <v>0</v>
      </c>
      <c r="I229" s="3">
        <f t="shared" si="44"/>
        <v>9.03706585546733E-2</v>
      </c>
      <c r="J229" s="3">
        <f t="shared" si="45"/>
        <v>-1.8064146609361391</v>
      </c>
      <c r="K229" s="3">
        <f t="shared" si="46"/>
        <v>1.0529581289695781E-4</v>
      </c>
      <c r="L229" s="3">
        <f t="shared" si="51"/>
        <v>-1.0530135689026029E-4</v>
      </c>
      <c r="M229" s="9">
        <f t="shared" si="47"/>
        <v>0.42236024844720499</v>
      </c>
      <c r="N229" s="9">
        <f t="shared" si="48"/>
        <v>0.57763975155279501</v>
      </c>
      <c r="P229">
        <f t="shared" si="49"/>
        <v>171.5</v>
      </c>
      <c r="Q229">
        <f t="shared" si="50"/>
        <v>415</v>
      </c>
    </row>
    <row r="230" spans="1:17" x14ac:dyDescent="0.35">
      <c r="A230">
        <v>2023</v>
      </c>
      <c r="B230" s="3">
        <v>192</v>
      </c>
      <c r="C230" s="7">
        <v>19</v>
      </c>
      <c r="D230" s="3">
        <f t="shared" si="40"/>
        <v>24</v>
      </c>
      <c r="E230" s="10">
        <f t="shared" si="41"/>
        <v>0.48</v>
      </c>
      <c r="F230" s="10">
        <f t="shared" si="42"/>
        <v>0.38</v>
      </c>
      <c r="G230" s="3">
        <f t="shared" si="43"/>
        <v>43</v>
      </c>
      <c r="H230" s="3">
        <f t="shared" si="52"/>
        <v>0</v>
      </c>
      <c r="I230" s="3">
        <f t="shared" si="44"/>
        <v>0.31513206722360265</v>
      </c>
      <c r="J230" s="3">
        <f t="shared" si="45"/>
        <v>-1.5499173722574922</v>
      </c>
      <c r="K230" s="3">
        <f t="shared" si="46"/>
        <v>1.5587862763314837E-3</v>
      </c>
      <c r="L230" s="3">
        <f t="shared" si="51"/>
        <v>-1.5600024476574983E-3</v>
      </c>
      <c r="M230" s="9">
        <f t="shared" si="47"/>
        <v>0.44186046511627908</v>
      </c>
      <c r="N230" s="9">
        <f t="shared" si="48"/>
        <v>0.55813953488372092</v>
      </c>
      <c r="P230">
        <f t="shared" si="49"/>
        <v>129.5</v>
      </c>
      <c r="Q230">
        <f t="shared" si="50"/>
        <v>397.5</v>
      </c>
    </row>
    <row r="231" spans="1:17" x14ac:dyDescent="0.35">
      <c r="A231">
        <v>2023</v>
      </c>
      <c r="B231" s="3">
        <v>187</v>
      </c>
      <c r="C231" s="7">
        <v>19</v>
      </c>
      <c r="D231" s="3">
        <f t="shared" si="40"/>
        <v>23.375</v>
      </c>
      <c r="E231" s="10">
        <f t="shared" si="41"/>
        <v>0.46750000000000003</v>
      </c>
      <c r="F231" s="10">
        <f t="shared" si="42"/>
        <v>0.38</v>
      </c>
      <c r="G231" s="3">
        <f t="shared" si="43"/>
        <v>42.375</v>
      </c>
      <c r="H231" s="3">
        <f t="shared" si="52"/>
        <v>0</v>
      </c>
      <c r="I231" s="3">
        <f t="shared" si="44"/>
        <v>0.12783089333282818</v>
      </c>
      <c r="J231" s="3">
        <f t="shared" si="45"/>
        <v>-1.5499173722574922</v>
      </c>
      <c r="K231" s="3">
        <f t="shared" si="46"/>
        <v>8.0991910937691148E-4</v>
      </c>
      <c r="L231" s="3">
        <f t="shared" si="51"/>
        <v>-8.1024727106033222E-4</v>
      </c>
      <c r="M231" s="9">
        <f t="shared" si="47"/>
        <v>0.44837758112094395</v>
      </c>
      <c r="N231" s="9">
        <f t="shared" si="48"/>
        <v>0.55162241887905605</v>
      </c>
      <c r="P231">
        <f t="shared" si="49"/>
        <v>163</v>
      </c>
      <c r="Q231">
        <f t="shared" si="50"/>
        <v>397.5</v>
      </c>
    </row>
    <row r="232" spans="1:17" x14ac:dyDescent="0.35">
      <c r="A232">
        <v>2023</v>
      </c>
      <c r="B232" s="3">
        <v>143</v>
      </c>
      <c r="C232" s="7">
        <v>24</v>
      </c>
      <c r="D232" s="3">
        <f t="shared" si="40"/>
        <v>17.875</v>
      </c>
      <c r="E232" s="10">
        <f t="shared" si="41"/>
        <v>0.35749999999999998</v>
      </c>
      <c r="F232" s="10">
        <f t="shared" si="42"/>
        <v>0.48</v>
      </c>
      <c r="G232" s="3">
        <f t="shared" si="43"/>
        <v>41.875</v>
      </c>
      <c r="H232" s="3">
        <f t="shared" si="52"/>
        <v>0</v>
      </c>
      <c r="I232" s="3">
        <f t="shared" si="44"/>
        <v>-1.5204194369059869</v>
      </c>
      <c r="J232" s="3">
        <f t="shared" si="45"/>
        <v>-0.90867415056087486</v>
      </c>
      <c r="K232" s="3">
        <f t="shared" si="46"/>
        <v>2.9996386641096141E-4</v>
      </c>
      <c r="L232" s="3">
        <f t="shared" si="51"/>
        <v>-3.0000886457030618E-4</v>
      </c>
      <c r="M232" s="9">
        <f t="shared" si="47"/>
        <v>0.57313432835820899</v>
      </c>
      <c r="N232" s="9">
        <f t="shared" si="48"/>
        <v>0.42686567164179107</v>
      </c>
      <c r="P232">
        <f t="shared" si="49"/>
        <v>424</v>
      </c>
      <c r="Q232">
        <f t="shared" si="50"/>
        <v>335.5</v>
      </c>
    </row>
    <row r="233" spans="1:17" x14ac:dyDescent="0.35">
      <c r="A233">
        <v>2023</v>
      </c>
      <c r="B233" s="3">
        <v>185</v>
      </c>
      <c r="C233" s="7">
        <v>19</v>
      </c>
      <c r="D233" s="3">
        <f t="shared" si="40"/>
        <v>23.125</v>
      </c>
      <c r="E233" s="10">
        <f t="shared" si="41"/>
        <v>0.46250000000000002</v>
      </c>
      <c r="F233" s="10">
        <f t="shared" si="42"/>
        <v>0.38</v>
      </c>
      <c r="G233" s="3">
        <f t="shared" si="43"/>
        <v>42.125</v>
      </c>
      <c r="H233" s="3">
        <f t="shared" si="52"/>
        <v>0</v>
      </c>
      <c r="I233" s="3">
        <f t="shared" si="44"/>
        <v>5.2910423776518403E-2</v>
      </c>
      <c r="J233" s="3">
        <f t="shared" si="45"/>
        <v>-1.5499173722574922</v>
      </c>
      <c r="K233" s="3">
        <f t="shared" si="46"/>
        <v>6.2323891286489579E-4</v>
      </c>
      <c r="L233" s="3">
        <f t="shared" si="51"/>
        <v>-6.2343320696807761E-4</v>
      </c>
      <c r="M233" s="9">
        <f t="shared" si="47"/>
        <v>0.45103857566765576</v>
      </c>
      <c r="N233" s="9">
        <f t="shared" si="48"/>
        <v>0.54896142433234418</v>
      </c>
      <c r="P233">
        <f t="shared" si="49"/>
        <v>179.5</v>
      </c>
      <c r="Q233">
        <f t="shared" si="50"/>
        <v>397.5</v>
      </c>
    </row>
    <row r="234" spans="1:17" x14ac:dyDescent="0.35">
      <c r="A234">
        <v>2023</v>
      </c>
      <c r="B234" s="3">
        <v>180</v>
      </c>
      <c r="C234" s="7">
        <v>18</v>
      </c>
      <c r="D234" s="3">
        <f t="shared" si="40"/>
        <v>22.5</v>
      </c>
      <c r="E234" s="10">
        <f t="shared" si="41"/>
        <v>0.45</v>
      </c>
      <c r="F234" s="10">
        <f t="shared" si="42"/>
        <v>0.36</v>
      </c>
      <c r="G234" s="3">
        <f t="shared" si="43"/>
        <v>40.5</v>
      </c>
      <c r="H234" s="3">
        <f t="shared" si="52"/>
        <v>0</v>
      </c>
      <c r="I234" s="3">
        <f t="shared" si="44"/>
        <v>-0.13439075011425605</v>
      </c>
      <c r="J234" s="3">
        <f t="shared" si="45"/>
        <v>-1.6781660165968155</v>
      </c>
      <c r="K234" s="3">
        <f t="shared" si="46"/>
        <v>1.2459464117455359E-4</v>
      </c>
      <c r="L234" s="3">
        <f t="shared" si="51"/>
        <v>-1.2460240373162918E-4</v>
      </c>
      <c r="M234" s="9">
        <f t="shared" si="47"/>
        <v>0.44444444444444442</v>
      </c>
      <c r="N234" s="9">
        <f t="shared" si="48"/>
        <v>0.55555555555555558</v>
      </c>
      <c r="P234">
        <f t="shared" si="49"/>
        <v>216.5</v>
      </c>
      <c r="Q234">
        <f t="shared" si="50"/>
        <v>409</v>
      </c>
    </row>
    <row r="235" spans="1:17" x14ac:dyDescent="0.35">
      <c r="A235">
        <v>2023</v>
      </c>
      <c r="B235" s="3">
        <v>163</v>
      </c>
      <c r="C235" s="7">
        <v>40</v>
      </c>
      <c r="D235" s="3">
        <f t="shared" si="40"/>
        <v>20.375</v>
      </c>
      <c r="E235" s="10">
        <f t="shared" si="41"/>
        <v>0.40749999999999997</v>
      </c>
      <c r="F235" s="10">
        <f t="shared" si="42"/>
        <v>0.8</v>
      </c>
      <c r="G235" s="3">
        <f t="shared" si="43"/>
        <v>60.375</v>
      </c>
      <c r="H235" s="3">
        <f t="shared" si="52"/>
        <v>1</v>
      </c>
      <c r="I235" s="3">
        <f t="shared" si="44"/>
        <v>-0.77121474134288914</v>
      </c>
      <c r="J235" s="3">
        <f t="shared" si="45"/>
        <v>1.1433041588683004</v>
      </c>
      <c r="K235" s="3">
        <f t="shared" si="46"/>
        <v>0.99994391153975348</v>
      </c>
      <c r="L235" s="3">
        <f t="shared" si="51"/>
        <v>-5.609003326302266E-5</v>
      </c>
      <c r="M235" s="9">
        <f t="shared" si="47"/>
        <v>0.66252587991718426</v>
      </c>
      <c r="N235" s="9">
        <f t="shared" si="48"/>
        <v>0.33747412008281574</v>
      </c>
      <c r="P235">
        <f t="shared" si="49"/>
        <v>356.5</v>
      </c>
      <c r="Q235">
        <f t="shared" si="50"/>
        <v>50.5</v>
      </c>
    </row>
    <row r="236" spans="1:17" x14ac:dyDescent="0.35">
      <c r="A236">
        <v>2023</v>
      </c>
      <c r="B236" s="3">
        <v>151</v>
      </c>
      <c r="C236" s="7">
        <v>21</v>
      </c>
      <c r="D236" s="3">
        <f t="shared" si="40"/>
        <v>18.875</v>
      </c>
      <c r="E236" s="10">
        <f t="shared" si="41"/>
        <v>0.3775</v>
      </c>
      <c r="F236" s="10">
        <f t="shared" si="42"/>
        <v>0.42</v>
      </c>
      <c r="G236" s="3">
        <f t="shared" si="43"/>
        <v>39.875</v>
      </c>
      <c r="H236" s="3">
        <f t="shared" si="52"/>
        <v>0</v>
      </c>
      <c r="I236" s="3">
        <f t="shared" si="44"/>
        <v>-1.2207375586807478</v>
      </c>
      <c r="J236" s="3">
        <f t="shared" si="45"/>
        <v>-1.2934200835788452</v>
      </c>
      <c r="K236" s="3">
        <f t="shared" si="46"/>
        <v>4.8814294562223304E-5</v>
      </c>
      <c r="L236" s="3">
        <f t="shared" si="51"/>
        <v>-4.8815486018721965E-5</v>
      </c>
      <c r="M236" s="9">
        <f t="shared" si="47"/>
        <v>0.52664576802507834</v>
      </c>
      <c r="N236" s="9">
        <f t="shared" si="48"/>
        <v>0.47335423197492166</v>
      </c>
      <c r="P236">
        <f t="shared" si="49"/>
        <v>402.5</v>
      </c>
      <c r="Q236">
        <f t="shared" si="50"/>
        <v>378.5</v>
      </c>
    </row>
    <row r="237" spans="1:17" x14ac:dyDescent="0.35">
      <c r="A237">
        <v>2023</v>
      </c>
      <c r="B237" s="3">
        <v>155</v>
      </c>
      <c r="C237" s="7">
        <v>40</v>
      </c>
      <c r="D237" s="3">
        <f t="shared" si="40"/>
        <v>19.375</v>
      </c>
      <c r="E237" s="10">
        <f t="shared" si="41"/>
        <v>0.38750000000000001</v>
      </c>
      <c r="F237" s="10">
        <f t="shared" si="42"/>
        <v>0.8</v>
      </c>
      <c r="G237" s="3">
        <f t="shared" si="43"/>
        <v>59.375</v>
      </c>
      <c r="H237" s="3">
        <f t="shared" si="52"/>
        <v>1</v>
      </c>
      <c r="I237" s="3">
        <f t="shared" si="44"/>
        <v>-1.0708966195681282</v>
      </c>
      <c r="J237" s="3">
        <f t="shared" si="45"/>
        <v>1.1433041588683004</v>
      </c>
      <c r="K237" s="3">
        <f t="shared" si="46"/>
        <v>0.99983993321456188</v>
      </c>
      <c r="L237" s="3">
        <f t="shared" si="51"/>
        <v>-1.6007959749322583E-4</v>
      </c>
      <c r="M237" s="9">
        <f t="shared" si="47"/>
        <v>0.67368421052631577</v>
      </c>
      <c r="N237" s="9">
        <f t="shared" si="48"/>
        <v>0.32631578947368423</v>
      </c>
      <c r="P237">
        <f t="shared" si="49"/>
        <v>393.5</v>
      </c>
      <c r="Q237">
        <f t="shared" si="50"/>
        <v>50.5</v>
      </c>
    </row>
    <row r="238" spans="1:17" x14ac:dyDescent="0.35">
      <c r="A238">
        <v>2023</v>
      </c>
      <c r="B238" s="3">
        <v>206</v>
      </c>
      <c r="C238" s="7">
        <v>40</v>
      </c>
      <c r="D238" s="3">
        <f>B238 / 8</f>
        <v>25.75</v>
      </c>
      <c r="E238" s="10">
        <f t="shared" si="41"/>
        <v>0.51500000000000001</v>
      </c>
      <c r="F238" s="10">
        <f t="shared" si="42"/>
        <v>0.8</v>
      </c>
      <c r="G238" s="3">
        <f t="shared" si="43"/>
        <v>65.75</v>
      </c>
      <c r="H238" s="3">
        <f t="shared" si="52"/>
        <v>1</v>
      </c>
      <c r="I238" s="3">
        <f t="shared" si="44"/>
        <v>0.83957535411777107</v>
      </c>
      <c r="J238" s="3">
        <f t="shared" si="45"/>
        <v>1.1433041588683004</v>
      </c>
      <c r="K238" s="3">
        <f t="shared" si="46"/>
        <v>0.99999980013758649</v>
      </c>
      <c r="L238" s="3">
        <f t="shared" si="51"/>
        <v>-1.9986243348049554E-7</v>
      </c>
      <c r="M238" s="9">
        <f t="shared" si="47"/>
        <v>0.60836501901140683</v>
      </c>
      <c r="N238" s="9">
        <f t="shared" si="48"/>
        <v>0.39163498098859317</v>
      </c>
      <c r="P238">
        <f t="shared" si="49"/>
        <v>61.5</v>
      </c>
      <c r="Q238">
        <f t="shared" si="50"/>
        <v>50.5</v>
      </c>
    </row>
    <row r="239" spans="1:17" x14ac:dyDescent="0.35">
      <c r="A239">
        <v>2024</v>
      </c>
      <c r="B239" s="6">
        <v>187</v>
      </c>
      <c r="C239" s="17">
        <v>39</v>
      </c>
      <c r="D239" s="3">
        <f>B239 / 8</f>
        <v>23.375</v>
      </c>
      <c r="E239" s="10">
        <f t="shared" si="41"/>
        <v>0.46750000000000003</v>
      </c>
      <c r="F239" s="10">
        <f t="shared" si="42"/>
        <v>0.78</v>
      </c>
      <c r="G239" s="3">
        <f t="shared" si="43"/>
        <v>62.375</v>
      </c>
      <c r="H239" s="3">
        <f t="shared" si="52"/>
        <v>1</v>
      </c>
      <c r="I239" s="3">
        <f t="shared" si="44"/>
        <v>0.12783089333282818</v>
      </c>
      <c r="J239" s="3">
        <f t="shared" si="45"/>
        <v>1.015055514528977</v>
      </c>
      <c r="K239" s="3">
        <f t="shared" si="46"/>
        <v>0.99999373129479074</v>
      </c>
      <c r="L239" s="3">
        <f t="shared" si="51"/>
        <v>-6.2687248576704339E-6</v>
      </c>
      <c r="M239" s="9">
        <f t="shared" si="47"/>
        <v>0.62525050100200397</v>
      </c>
      <c r="N239" s="9">
        <f t="shared" si="48"/>
        <v>0.37474949899799598</v>
      </c>
      <c r="P239">
        <f t="shared" si="49"/>
        <v>163</v>
      </c>
      <c r="Q239">
        <f t="shared" si="50"/>
        <v>76.5</v>
      </c>
    </row>
    <row r="240" spans="1:17" x14ac:dyDescent="0.35">
      <c r="A240">
        <v>2024</v>
      </c>
      <c r="B240" s="6">
        <v>232</v>
      </c>
      <c r="C240" s="17">
        <v>31</v>
      </c>
      <c r="D240" s="3">
        <f t="shared" ref="D240:D303" si="53">B240 / 8</f>
        <v>29</v>
      </c>
      <c r="E240" s="10">
        <f t="shared" si="41"/>
        <v>0.57999999999999996</v>
      </c>
      <c r="F240" s="10">
        <f t="shared" si="42"/>
        <v>0.62</v>
      </c>
      <c r="G240" s="3">
        <f t="shared" si="43"/>
        <v>60</v>
      </c>
      <c r="H240" s="3">
        <f t="shared" si="52"/>
        <v>1</v>
      </c>
      <c r="I240" s="3">
        <f t="shared" si="44"/>
        <v>1.8135414583497982</v>
      </c>
      <c r="J240" s="3">
        <f t="shared" si="45"/>
        <v>-1.0933640185610671E-2</v>
      </c>
      <c r="K240" s="3">
        <f t="shared" si="46"/>
        <v>0.99996429405414244</v>
      </c>
      <c r="L240" s="3">
        <f t="shared" si="51"/>
        <v>-3.5706583330015137E-5</v>
      </c>
      <c r="M240" s="9">
        <f t="shared" si="47"/>
        <v>0.51666666666666672</v>
      </c>
      <c r="N240" s="9">
        <f t="shared" si="48"/>
        <v>0.48333333333333334</v>
      </c>
      <c r="P240">
        <f t="shared" si="49"/>
        <v>23</v>
      </c>
      <c r="Q240">
        <f t="shared" si="50"/>
        <v>239.5</v>
      </c>
    </row>
    <row r="241" spans="1:17" x14ac:dyDescent="0.35">
      <c r="A241">
        <v>2024</v>
      </c>
      <c r="B241" s="6">
        <v>165</v>
      </c>
      <c r="C241" s="17">
        <v>37</v>
      </c>
      <c r="D241" s="3">
        <f t="shared" si="53"/>
        <v>20.625</v>
      </c>
      <c r="E241" s="10">
        <f t="shared" si="41"/>
        <v>0.41249999999999998</v>
      </c>
      <c r="F241" s="10">
        <f t="shared" si="42"/>
        <v>0.74</v>
      </c>
      <c r="G241" s="3">
        <f t="shared" si="43"/>
        <v>57.625</v>
      </c>
      <c r="H241" s="3">
        <f t="shared" si="52"/>
        <v>1</v>
      </c>
      <c r="I241" s="3">
        <f t="shared" si="44"/>
        <v>-0.69629427178657943</v>
      </c>
      <c r="J241" s="3">
        <f t="shared" si="45"/>
        <v>0.75855822585033006</v>
      </c>
      <c r="K241" s="3">
        <f t="shared" si="46"/>
        <v>0.99924350705835663</v>
      </c>
      <c r="L241" s="3">
        <f t="shared" si="51"/>
        <v>-7.5677922681966576E-4</v>
      </c>
      <c r="M241" s="9">
        <f t="shared" si="47"/>
        <v>0.64208242950108463</v>
      </c>
      <c r="N241" s="9">
        <f t="shared" si="48"/>
        <v>0.35791757049891543</v>
      </c>
      <c r="P241">
        <f t="shared" si="49"/>
        <v>342.5</v>
      </c>
      <c r="Q241">
        <f t="shared" si="50"/>
        <v>128</v>
      </c>
    </row>
    <row r="242" spans="1:17" x14ac:dyDescent="0.35">
      <c r="A242">
        <v>2024</v>
      </c>
      <c r="B242" s="6">
        <v>179</v>
      </c>
      <c r="C242" s="17">
        <v>43</v>
      </c>
      <c r="D242" s="3">
        <f t="shared" si="53"/>
        <v>22.375</v>
      </c>
      <c r="E242" s="10">
        <f t="shared" si="41"/>
        <v>0.44750000000000001</v>
      </c>
      <c r="F242" s="10">
        <f t="shared" si="42"/>
        <v>0.86</v>
      </c>
      <c r="G242" s="3">
        <f t="shared" si="43"/>
        <v>65.375</v>
      </c>
      <c r="H242" s="3">
        <f t="shared" si="52"/>
        <v>1</v>
      </c>
      <c r="I242" s="3">
        <f t="shared" si="44"/>
        <v>-0.17185098489241094</v>
      </c>
      <c r="J242" s="3">
        <f t="shared" si="45"/>
        <v>1.5280500918862707</v>
      </c>
      <c r="K242" s="3">
        <f t="shared" si="46"/>
        <v>0.9999996074923847</v>
      </c>
      <c r="L242" s="3">
        <f t="shared" si="51"/>
        <v>-3.92507692329988E-7</v>
      </c>
      <c r="M242" s="9">
        <f t="shared" si="47"/>
        <v>0.65774378585086046</v>
      </c>
      <c r="N242" s="9">
        <f t="shared" si="48"/>
        <v>0.34225621414913959</v>
      </c>
      <c r="P242">
        <f t="shared" si="49"/>
        <v>223.5</v>
      </c>
      <c r="Q242">
        <f t="shared" si="50"/>
        <v>7</v>
      </c>
    </row>
    <row r="243" spans="1:17" x14ac:dyDescent="0.35">
      <c r="A243">
        <v>2024</v>
      </c>
      <c r="B243" s="6">
        <v>249</v>
      </c>
      <c r="C243" s="17">
        <v>31</v>
      </c>
      <c r="D243" s="3">
        <f t="shared" si="53"/>
        <v>31.125</v>
      </c>
      <c r="E243" s="10">
        <f t="shared" si="41"/>
        <v>0.62250000000000005</v>
      </c>
      <c r="F243" s="10">
        <f t="shared" si="42"/>
        <v>0.62</v>
      </c>
      <c r="G243" s="3">
        <f t="shared" si="43"/>
        <v>62.125</v>
      </c>
      <c r="H243" s="3">
        <f t="shared" si="52"/>
        <v>1</v>
      </c>
      <c r="I243" s="3">
        <f t="shared" si="44"/>
        <v>2.4503654495784315</v>
      </c>
      <c r="J243" s="3">
        <f t="shared" si="45"/>
        <v>-1.0933640185610671E-2</v>
      </c>
      <c r="K243" s="3">
        <f t="shared" si="46"/>
        <v>0.99999615519307206</v>
      </c>
      <c r="L243" s="3">
        <f t="shared" si="51"/>
        <v>-3.8448143192330797E-6</v>
      </c>
      <c r="M243" s="9">
        <f t="shared" si="47"/>
        <v>0.49899396378269617</v>
      </c>
      <c r="N243" s="9">
        <f t="shared" si="48"/>
        <v>0.50100603621730377</v>
      </c>
      <c r="P243">
        <f t="shared" si="49"/>
        <v>8</v>
      </c>
      <c r="Q243">
        <f t="shared" si="50"/>
        <v>239.5</v>
      </c>
    </row>
    <row r="244" spans="1:17" x14ac:dyDescent="0.35">
      <c r="A244">
        <v>2024</v>
      </c>
      <c r="B244" s="6">
        <v>196</v>
      </c>
      <c r="C244" s="17">
        <v>40</v>
      </c>
      <c r="D244" s="3">
        <f t="shared" si="53"/>
        <v>24.5</v>
      </c>
      <c r="E244" s="10">
        <f t="shared" si="41"/>
        <v>0.49</v>
      </c>
      <c r="F244" s="10">
        <f t="shared" si="42"/>
        <v>0.8</v>
      </c>
      <c r="G244" s="3">
        <f t="shared" si="43"/>
        <v>64.5</v>
      </c>
      <c r="H244" s="3">
        <f t="shared" si="52"/>
        <v>1</v>
      </c>
      <c r="I244" s="3">
        <f t="shared" si="44"/>
        <v>0.46497300633622218</v>
      </c>
      <c r="J244" s="3">
        <f t="shared" si="45"/>
        <v>1.1433041588683004</v>
      </c>
      <c r="K244" s="3">
        <f t="shared" si="46"/>
        <v>0.99999925856688898</v>
      </c>
      <c r="L244" s="3">
        <f t="shared" si="51"/>
        <v>-7.4143338587948457E-7</v>
      </c>
      <c r="M244" s="9">
        <f t="shared" si="47"/>
        <v>0.62015503875968991</v>
      </c>
      <c r="N244" s="9">
        <f t="shared" si="48"/>
        <v>0.37984496124031009</v>
      </c>
      <c r="P244">
        <f t="shared" si="49"/>
        <v>106.5</v>
      </c>
      <c r="Q244">
        <f t="shared" si="50"/>
        <v>50.5</v>
      </c>
    </row>
    <row r="245" spans="1:17" x14ac:dyDescent="0.35">
      <c r="A245">
        <v>2024</v>
      </c>
      <c r="B245" s="6">
        <v>162</v>
      </c>
      <c r="C245" s="17">
        <v>40</v>
      </c>
      <c r="D245" s="3">
        <f t="shared" si="53"/>
        <v>20.25</v>
      </c>
      <c r="E245" s="10">
        <f t="shared" si="41"/>
        <v>0.40500000000000003</v>
      </c>
      <c r="F245" s="10">
        <f t="shared" si="42"/>
        <v>0.8</v>
      </c>
      <c r="G245" s="3">
        <f t="shared" si="43"/>
        <v>60.25</v>
      </c>
      <c r="H245" s="3">
        <f t="shared" si="52"/>
        <v>1</v>
      </c>
      <c r="I245" s="3">
        <f t="shared" si="44"/>
        <v>-0.808674976121044</v>
      </c>
      <c r="J245" s="3">
        <f t="shared" si="45"/>
        <v>1.1433041588683004</v>
      </c>
      <c r="K245" s="3">
        <f t="shared" si="46"/>
        <v>0.99993605535006613</v>
      </c>
      <c r="L245" s="3">
        <f t="shared" si="51"/>
        <v>-6.394669448015352E-5</v>
      </c>
      <c r="M245" s="9">
        <f t="shared" si="47"/>
        <v>0.66390041493775931</v>
      </c>
      <c r="N245" s="9">
        <f t="shared" si="48"/>
        <v>0.33609958506224069</v>
      </c>
      <c r="P245">
        <f t="shared" si="49"/>
        <v>364.5</v>
      </c>
      <c r="Q245">
        <f t="shared" si="50"/>
        <v>50.5</v>
      </c>
    </row>
    <row r="246" spans="1:17" x14ac:dyDescent="0.35">
      <c r="A246">
        <v>2024</v>
      </c>
      <c r="B246" s="6">
        <v>206</v>
      </c>
      <c r="C246" s="17">
        <v>29</v>
      </c>
      <c r="D246" s="3">
        <f t="shared" si="53"/>
        <v>25.75</v>
      </c>
      <c r="E246" s="10">
        <f t="shared" ref="E246:E309" si="54">B246 / 400</f>
        <v>0.51500000000000001</v>
      </c>
      <c r="F246" s="10">
        <f t="shared" si="42"/>
        <v>0.57999999999999996</v>
      </c>
      <c r="G246" s="3">
        <f t="shared" si="43"/>
        <v>54.75</v>
      </c>
      <c r="H246" s="3">
        <f t="shared" si="52"/>
        <v>1</v>
      </c>
      <c r="I246" s="3">
        <f t="shared" si="44"/>
        <v>0.83957535411777107</v>
      </c>
      <c r="J246" s="3">
        <f t="shared" si="45"/>
        <v>-0.26743092886425757</v>
      </c>
      <c r="K246" s="3">
        <f t="shared" si="46"/>
        <v>0.99276742448359978</v>
      </c>
      <c r="L246" s="3">
        <f t="shared" si="51"/>
        <v>-7.2588573911372021E-3</v>
      </c>
      <c r="M246" s="9">
        <f t="shared" si="47"/>
        <v>0.52968036529680362</v>
      </c>
      <c r="N246" s="9">
        <f t="shared" si="48"/>
        <v>0.47031963470319632</v>
      </c>
      <c r="P246">
        <f t="shared" si="49"/>
        <v>61.5</v>
      </c>
      <c r="Q246">
        <f t="shared" si="50"/>
        <v>272.5</v>
      </c>
    </row>
    <row r="247" spans="1:17" x14ac:dyDescent="0.35">
      <c r="A247">
        <v>2024</v>
      </c>
      <c r="B247" s="6">
        <v>226</v>
      </c>
      <c r="C247" s="17">
        <v>40</v>
      </c>
      <c r="D247" s="3">
        <f t="shared" si="53"/>
        <v>28.25</v>
      </c>
      <c r="E247" s="10">
        <f t="shared" si="54"/>
        <v>0.56499999999999995</v>
      </c>
      <c r="F247" s="10">
        <f t="shared" si="42"/>
        <v>0.8</v>
      </c>
      <c r="G247" s="3">
        <f t="shared" si="43"/>
        <v>68.25</v>
      </c>
      <c r="H247" s="3">
        <f t="shared" si="52"/>
        <v>1</v>
      </c>
      <c r="I247" s="3">
        <f t="shared" si="44"/>
        <v>1.5887800496808688</v>
      </c>
      <c r="J247" s="3">
        <f t="shared" si="45"/>
        <v>1.1433041588683004</v>
      </c>
      <c r="K247" s="3">
        <f t="shared" si="46"/>
        <v>0.99999998547724411</v>
      </c>
      <c r="L247" s="3">
        <f t="shared" si="51"/>
        <v>-1.4522755992214107E-8</v>
      </c>
      <c r="M247" s="9">
        <f t="shared" si="47"/>
        <v>0.58608058608058611</v>
      </c>
      <c r="N247" s="9">
        <f t="shared" si="48"/>
        <v>0.41391941391941389</v>
      </c>
      <c r="P247">
        <f t="shared" si="49"/>
        <v>30</v>
      </c>
      <c r="Q247">
        <f t="shared" si="50"/>
        <v>50.5</v>
      </c>
    </row>
    <row r="248" spans="1:17" x14ac:dyDescent="0.35">
      <c r="A248">
        <v>2024</v>
      </c>
      <c r="B248" s="6">
        <v>229</v>
      </c>
      <c r="C248" s="17">
        <v>27</v>
      </c>
      <c r="D248" s="3">
        <f t="shared" si="53"/>
        <v>28.625</v>
      </c>
      <c r="E248" s="10">
        <f t="shared" si="54"/>
        <v>0.57250000000000001</v>
      </c>
      <c r="F248" s="10">
        <f t="shared" si="42"/>
        <v>0.54</v>
      </c>
      <c r="G248" s="3">
        <f t="shared" si="43"/>
        <v>55.625</v>
      </c>
      <c r="H248" s="3">
        <f t="shared" si="52"/>
        <v>1</v>
      </c>
      <c r="I248" s="3">
        <f t="shared" si="44"/>
        <v>1.7011607540153335</v>
      </c>
      <c r="J248" s="3">
        <f t="shared" si="45"/>
        <v>-0.52392821754290453</v>
      </c>
      <c r="K248" s="3">
        <f t="shared" si="46"/>
        <v>0.99759387973780433</v>
      </c>
      <c r="L248" s="3">
        <f t="shared" si="51"/>
        <v>-2.4090196212919173E-3</v>
      </c>
      <c r="M248" s="9">
        <f t="shared" si="47"/>
        <v>0.48539325842696629</v>
      </c>
      <c r="N248" s="9">
        <f t="shared" si="48"/>
        <v>0.51460674157303365</v>
      </c>
      <c r="P248">
        <f t="shared" si="49"/>
        <v>25.5</v>
      </c>
      <c r="Q248">
        <f t="shared" si="50"/>
        <v>294.5</v>
      </c>
    </row>
    <row r="249" spans="1:17" x14ac:dyDescent="0.35">
      <c r="A249">
        <v>2024</v>
      </c>
      <c r="B249" s="6">
        <v>152</v>
      </c>
      <c r="C249" s="17">
        <v>31</v>
      </c>
      <c r="D249" s="3">
        <f t="shared" si="53"/>
        <v>19</v>
      </c>
      <c r="E249" s="10">
        <f t="shared" si="54"/>
        <v>0.38</v>
      </c>
      <c r="F249" s="10">
        <f t="shared" si="42"/>
        <v>0.62</v>
      </c>
      <c r="G249" s="3">
        <f t="shared" si="43"/>
        <v>50</v>
      </c>
      <c r="H249" s="3">
        <f t="shared" si="52"/>
        <v>1</v>
      </c>
      <c r="I249" s="3">
        <f t="shared" si="44"/>
        <v>-1.1832773239025929</v>
      </c>
      <c r="J249" s="3">
        <f t="shared" si="45"/>
        <v>-1.0933640185610671E-2</v>
      </c>
      <c r="K249" s="3">
        <f t="shared" si="46"/>
        <v>0.43844072097369902</v>
      </c>
      <c r="L249" s="3">
        <f t="shared" si="51"/>
        <v>-0.82453066222920834</v>
      </c>
      <c r="M249" s="9">
        <f t="shared" si="47"/>
        <v>0.62</v>
      </c>
      <c r="N249" s="9">
        <f t="shared" si="48"/>
        <v>0.38</v>
      </c>
      <c r="P249">
        <f t="shared" si="49"/>
        <v>398</v>
      </c>
      <c r="Q249">
        <f t="shared" si="50"/>
        <v>239.5</v>
      </c>
    </row>
    <row r="250" spans="1:17" x14ac:dyDescent="0.35">
      <c r="A250">
        <v>2024</v>
      </c>
      <c r="B250" s="6">
        <v>226</v>
      </c>
      <c r="C250" s="17">
        <v>37</v>
      </c>
      <c r="D250" s="3">
        <f t="shared" si="53"/>
        <v>28.25</v>
      </c>
      <c r="E250" s="10">
        <f t="shared" si="54"/>
        <v>0.56499999999999995</v>
      </c>
      <c r="F250" s="10">
        <f t="shared" si="42"/>
        <v>0.74</v>
      </c>
      <c r="G250" s="3">
        <f t="shared" si="43"/>
        <v>65.25</v>
      </c>
      <c r="H250" s="3">
        <f t="shared" si="52"/>
        <v>1</v>
      </c>
      <c r="I250" s="3">
        <f t="shared" si="44"/>
        <v>1.5887800496808688</v>
      </c>
      <c r="J250" s="3">
        <f t="shared" si="45"/>
        <v>0.75855822585033006</v>
      </c>
      <c r="K250" s="3">
        <f t="shared" si="46"/>
        <v>0.99999974522734092</v>
      </c>
      <c r="L250" s="3">
        <f t="shared" si="51"/>
        <v>-2.5477269153525253E-7</v>
      </c>
      <c r="M250" s="9">
        <f t="shared" si="47"/>
        <v>0.56704980842911878</v>
      </c>
      <c r="N250" s="9">
        <f t="shared" si="48"/>
        <v>0.43295019157088122</v>
      </c>
      <c r="P250">
        <f t="shared" si="49"/>
        <v>30</v>
      </c>
      <c r="Q250">
        <f t="shared" si="50"/>
        <v>128</v>
      </c>
    </row>
    <row r="251" spans="1:17" x14ac:dyDescent="0.35">
      <c r="A251">
        <v>2024</v>
      </c>
      <c r="B251" s="6">
        <v>178</v>
      </c>
      <c r="C251" s="17">
        <v>42</v>
      </c>
      <c r="D251" s="3">
        <f t="shared" si="53"/>
        <v>22.25</v>
      </c>
      <c r="E251" s="10">
        <f t="shared" si="54"/>
        <v>0.44500000000000001</v>
      </c>
      <c r="F251" s="10">
        <f t="shared" si="42"/>
        <v>0.84</v>
      </c>
      <c r="G251" s="3">
        <f t="shared" si="43"/>
        <v>64.25</v>
      </c>
      <c r="H251" s="3">
        <f t="shared" si="52"/>
        <v>1</v>
      </c>
      <c r="I251" s="3">
        <f t="shared" si="44"/>
        <v>-0.20931121967056582</v>
      </c>
      <c r="J251" s="3">
        <f t="shared" si="45"/>
        <v>1.3998014475469474</v>
      </c>
      <c r="K251" s="3">
        <f t="shared" si="46"/>
        <v>0.99999883725854655</v>
      </c>
      <c r="L251" s="3">
        <f t="shared" si="51"/>
        <v>-1.1627421294375543E-6</v>
      </c>
      <c r="M251" s="9">
        <f t="shared" si="47"/>
        <v>0.65369649805447472</v>
      </c>
      <c r="N251" s="9">
        <f t="shared" si="48"/>
        <v>0.34630350194552528</v>
      </c>
      <c r="P251">
        <f t="shared" si="49"/>
        <v>230.5</v>
      </c>
      <c r="Q251">
        <f t="shared" si="50"/>
        <v>13.5</v>
      </c>
    </row>
    <row r="252" spans="1:17" x14ac:dyDescent="0.35">
      <c r="A252">
        <v>2024</v>
      </c>
      <c r="B252" s="6">
        <v>265</v>
      </c>
      <c r="C252" s="17">
        <v>27</v>
      </c>
      <c r="D252" s="3">
        <f t="shared" si="53"/>
        <v>33.125</v>
      </c>
      <c r="E252" s="10">
        <f t="shared" si="54"/>
        <v>0.66249999999999998</v>
      </c>
      <c r="F252" s="10">
        <f t="shared" si="42"/>
        <v>0.54</v>
      </c>
      <c r="G252" s="3">
        <f t="shared" si="43"/>
        <v>60.125</v>
      </c>
      <c r="H252" s="3">
        <f t="shared" si="52"/>
        <v>1</v>
      </c>
      <c r="I252" s="3">
        <f t="shared" si="44"/>
        <v>3.0497292060289096</v>
      </c>
      <c r="J252" s="3">
        <f t="shared" si="45"/>
        <v>-0.52392821754290453</v>
      </c>
      <c r="K252" s="3">
        <f t="shared" si="46"/>
        <v>0.99997848574524983</v>
      </c>
      <c r="L252" s="3">
        <f t="shared" si="51"/>
        <v>-2.1514486185063828E-5</v>
      </c>
      <c r="M252" s="9">
        <f t="shared" si="47"/>
        <v>0.44906444906444909</v>
      </c>
      <c r="N252" s="9">
        <f t="shared" si="48"/>
        <v>0.55093555093555091</v>
      </c>
      <c r="P252">
        <f t="shared" si="49"/>
        <v>6</v>
      </c>
      <c r="Q252">
        <f t="shared" si="50"/>
        <v>294.5</v>
      </c>
    </row>
    <row r="253" spans="1:17" x14ac:dyDescent="0.35">
      <c r="A253">
        <v>2024</v>
      </c>
      <c r="B253" s="6">
        <v>168</v>
      </c>
      <c r="C253" s="17">
        <v>42</v>
      </c>
      <c r="D253" s="3">
        <f t="shared" si="53"/>
        <v>21</v>
      </c>
      <c r="E253" s="10">
        <f t="shared" si="54"/>
        <v>0.42</v>
      </c>
      <c r="F253" s="10">
        <f t="shared" si="42"/>
        <v>0.84</v>
      </c>
      <c r="G253" s="3">
        <f t="shared" si="43"/>
        <v>63</v>
      </c>
      <c r="H253" s="3">
        <f t="shared" si="52"/>
        <v>1</v>
      </c>
      <c r="I253" s="3">
        <f t="shared" si="44"/>
        <v>-0.58391356745211476</v>
      </c>
      <c r="J253" s="3">
        <f t="shared" si="45"/>
        <v>1.3998014475469474</v>
      </c>
      <c r="K253" s="3">
        <f t="shared" si="46"/>
        <v>0.99999568656883264</v>
      </c>
      <c r="L253" s="3">
        <f t="shared" si="51"/>
        <v>-4.3134404702285758E-6</v>
      </c>
      <c r="M253" s="9">
        <f t="shared" si="47"/>
        <v>0.66666666666666663</v>
      </c>
      <c r="N253" s="9">
        <f t="shared" si="48"/>
        <v>0.33333333333333331</v>
      </c>
      <c r="P253">
        <f t="shared" si="49"/>
        <v>311.5</v>
      </c>
      <c r="Q253">
        <f t="shared" si="50"/>
        <v>13.5</v>
      </c>
    </row>
    <row r="254" spans="1:17" x14ac:dyDescent="0.35">
      <c r="A254">
        <v>2024</v>
      </c>
      <c r="B254" s="6">
        <v>162</v>
      </c>
      <c r="C254" s="17">
        <v>29</v>
      </c>
      <c r="D254" s="3">
        <f t="shared" si="53"/>
        <v>20.25</v>
      </c>
      <c r="E254" s="10">
        <f t="shared" si="54"/>
        <v>0.40500000000000003</v>
      </c>
      <c r="F254" s="10">
        <f t="shared" si="42"/>
        <v>0.57999999999999996</v>
      </c>
      <c r="G254" s="3">
        <f t="shared" si="43"/>
        <v>49.25</v>
      </c>
      <c r="H254" s="3">
        <f t="shared" si="52"/>
        <v>0</v>
      </c>
      <c r="I254" s="3">
        <f t="shared" si="44"/>
        <v>-0.808674976121044</v>
      </c>
      <c r="J254" s="3">
        <f t="shared" si="45"/>
        <v>-0.26743092886425757</v>
      </c>
      <c r="K254" s="3">
        <f t="shared" si="46"/>
        <v>0.30020823322158102</v>
      </c>
      <c r="L254" s="3">
        <f t="shared" si="51"/>
        <v>-0.35697246422433349</v>
      </c>
      <c r="M254" s="9">
        <f t="shared" si="47"/>
        <v>0.58883248730964466</v>
      </c>
      <c r="N254" s="9">
        <f t="shared" si="48"/>
        <v>0.41116751269035534</v>
      </c>
      <c r="P254">
        <f t="shared" si="49"/>
        <v>364.5</v>
      </c>
      <c r="Q254">
        <f t="shared" si="50"/>
        <v>272.5</v>
      </c>
    </row>
    <row r="255" spans="1:17" x14ac:dyDescent="0.35">
      <c r="A255">
        <v>2024</v>
      </c>
      <c r="B255" s="6">
        <v>191</v>
      </c>
      <c r="C255" s="17">
        <v>41</v>
      </c>
      <c r="D255" s="3">
        <f t="shared" si="53"/>
        <v>23.875</v>
      </c>
      <c r="E255" s="10">
        <f t="shared" si="54"/>
        <v>0.47749999999999998</v>
      </c>
      <c r="F255" s="10">
        <f t="shared" si="42"/>
        <v>0.82</v>
      </c>
      <c r="G255" s="3">
        <f t="shared" si="43"/>
        <v>64.875</v>
      </c>
      <c r="H255" s="3">
        <f t="shared" si="52"/>
        <v>1</v>
      </c>
      <c r="I255" s="3">
        <f t="shared" si="44"/>
        <v>0.27767183244544774</v>
      </c>
      <c r="J255" s="3">
        <f t="shared" si="45"/>
        <v>1.271552803207624</v>
      </c>
      <c r="K255" s="3">
        <f t="shared" si="46"/>
        <v>0.99999945040685467</v>
      </c>
      <c r="L255" s="3">
        <f t="shared" si="51"/>
        <v>-5.495932963533556E-7</v>
      </c>
      <c r="M255" s="9">
        <f t="shared" si="47"/>
        <v>0.63198458574181116</v>
      </c>
      <c r="N255" s="9">
        <f t="shared" si="48"/>
        <v>0.36801541425818884</v>
      </c>
      <c r="P255">
        <f t="shared" si="49"/>
        <v>137.5</v>
      </c>
      <c r="Q255">
        <f t="shared" si="50"/>
        <v>27</v>
      </c>
    </row>
    <row r="256" spans="1:17" x14ac:dyDescent="0.35">
      <c r="A256">
        <v>2024</v>
      </c>
      <c r="B256" s="6">
        <v>188</v>
      </c>
      <c r="C256" s="17">
        <v>36</v>
      </c>
      <c r="D256" s="3">
        <f t="shared" si="53"/>
        <v>23.5</v>
      </c>
      <c r="E256" s="10">
        <f t="shared" si="54"/>
        <v>0.47</v>
      </c>
      <c r="F256" s="10">
        <f t="shared" si="42"/>
        <v>0.72</v>
      </c>
      <c r="G256" s="3">
        <f t="shared" si="43"/>
        <v>59.5</v>
      </c>
      <c r="H256" s="3">
        <f t="shared" si="52"/>
        <v>1</v>
      </c>
      <c r="I256" s="3">
        <f t="shared" si="44"/>
        <v>0.16529112811098307</v>
      </c>
      <c r="J256" s="3">
        <f t="shared" si="45"/>
        <v>0.63030958151100658</v>
      </c>
      <c r="K256" s="3">
        <f t="shared" si="46"/>
        <v>0.99990354861778774</v>
      </c>
      <c r="L256" s="3">
        <f t="shared" si="51"/>
        <v>-9.6456033945937735E-5</v>
      </c>
      <c r="M256" s="9">
        <f t="shared" si="47"/>
        <v>0.60504201680672265</v>
      </c>
      <c r="N256" s="9">
        <f t="shared" si="48"/>
        <v>0.3949579831932773</v>
      </c>
      <c r="P256">
        <f t="shared" si="49"/>
        <v>155</v>
      </c>
      <c r="Q256">
        <f t="shared" si="50"/>
        <v>152</v>
      </c>
    </row>
    <row r="257" spans="1:17" x14ac:dyDescent="0.35">
      <c r="A257">
        <v>2024</v>
      </c>
      <c r="B257" s="6">
        <v>195</v>
      </c>
      <c r="C257" s="17">
        <v>41</v>
      </c>
      <c r="D257" s="3">
        <f t="shared" si="53"/>
        <v>24.375</v>
      </c>
      <c r="E257" s="10">
        <f t="shared" si="54"/>
        <v>0.48749999999999999</v>
      </c>
      <c r="F257" s="10">
        <f t="shared" si="42"/>
        <v>0.82</v>
      </c>
      <c r="G257" s="3">
        <f t="shared" si="43"/>
        <v>65.375</v>
      </c>
      <c r="H257" s="3">
        <f t="shared" si="52"/>
        <v>1</v>
      </c>
      <c r="I257" s="3">
        <f t="shared" si="44"/>
        <v>0.42751277155806727</v>
      </c>
      <c r="J257" s="3">
        <f t="shared" si="45"/>
        <v>1.271552803207624</v>
      </c>
      <c r="K257" s="3">
        <f t="shared" si="46"/>
        <v>0.99999967468433903</v>
      </c>
      <c r="L257" s="3">
        <f t="shared" si="51"/>
        <v>-3.2531571388020426E-7</v>
      </c>
      <c r="M257" s="9">
        <f t="shared" si="47"/>
        <v>0.62715105162523899</v>
      </c>
      <c r="N257" s="9">
        <f t="shared" si="48"/>
        <v>0.37284894837476101</v>
      </c>
      <c r="P257">
        <f t="shared" si="49"/>
        <v>113.5</v>
      </c>
      <c r="Q257">
        <f t="shared" si="50"/>
        <v>27</v>
      </c>
    </row>
    <row r="258" spans="1:17" x14ac:dyDescent="0.35">
      <c r="A258">
        <v>2024</v>
      </c>
      <c r="B258" s="6">
        <v>168</v>
      </c>
      <c r="C258" s="17">
        <v>30</v>
      </c>
      <c r="D258" s="3">
        <f t="shared" si="53"/>
        <v>21</v>
      </c>
      <c r="E258" s="10">
        <f t="shared" si="54"/>
        <v>0.42</v>
      </c>
      <c r="F258" s="10">
        <f t="shared" ref="F258:F321" si="55">C258 / 50</f>
        <v>0.6</v>
      </c>
      <c r="G258" s="3">
        <f t="shared" ref="G258:G321" si="56">SUM(D258 + C258)</f>
        <v>51</v>
      </c>
      <c r="H258" s="3">
        <f t="shared" si="52"/>
        <v>1</v>
      </c>
      <c r="I258" s="3">
        <f t="shared" ref="I258:I321" si="57" xml:space="preserve"> (D:D - AVERAGE(D:D)) / STDEV(D:D)</f>
        <v>-0.58391356745211476</v>
      </c>
      <c r="J258" s="3">
        <f t="shared" ref="J258:J321" si="58" xml:space="preserve"> (C:C - AVERAGE(C:C)) / STDEV(C:C)</f>
        <v>-0.13918228452493411</v>
      </c>
      <c r="K258" s="3">
        <f t="shared" ref="K258:K321" si="59">1/(1+EXP(-($AD$68 +$AD$69 * I258 +$AD$70 * J258 )))</f>
        <v>0.70995228628364149</v>
      </c>
      <c r="L258" s="3">
        <f t="shared" si="51"/>
        <v>-0.34255751362236592</v>
      </c>
      <c r="M258" s="9">
        <f t="shared" si="47"/>
        <v>0.58823529411764708</v>
      </c>
      <c r="N258" s="9">
        <f t="shared" si="48"/>
        <v>0.41176470588235292</v>
      </c>
      <c r="P258">
        <f t="shared" si="49"/>
        <v>311.5</v>
      </c>
      <c r="Q258">
        <f t="shared" si="50"/>
        <v>259</v>
      </c>
    </row>
    <row r="259" spans="1:17" x14ac:dyDescent="0.35">
      <c r="A259">
        <v>2024</v>
      </c>
      <c r="B259" s="6">
        <v>215</v>
      </c>
      <c r="C259" s="17">
        <v>31</v>
      </c>
      <c r="D259" s="3">
        <f t="shared" si="53"/>
        <v>26.875</v>
      </c>
      <c r="E259" s="10">
        <f t="shared" si="54"/>
        <v>0.53749999999999998</v>
      </c>
      <c r="F259" s="10">
        <f t="shared" si="55"/>
        <v>0.62</v>
      </c>
      <c r="G259" s="3">
        <f t="shared" si="56"/>
        <v>57.875</v>
      </c>
      <c r="H259" s="3">
        <f t="shared" si="52"/>
        <v>1</v>
      </c>
      <c r="I259" s="3">
        <f t="shared" si="57"/>
        <v>1.1767174671211651</v>
      </c>
      <c r="J259" s="3">
        <f t="shared" si="58"/>
        <v>-1.0933640185610671E-2</v>
      </c>
      <c r="K259" s="3">
        <f t="shared" si="59"/>
        <v>0.99966849361504817</v>
      </c>
      <c r="L259" s="3">
        <f t="shared" si="51"/>
        <v>-3.315613453402769E-4</v>
      </c>
      <c r="M259" s="9">
        <f t="shared" ref="M259:M322" si="60">IF(G259=0, 0,  C259  / G259 )</f>
        <v>0.5356371490280778</v>
      </c>
      <c r="N259" s="9">
        <f t="shared" ref="N259:N322" si="61">IF(G259=0, 0,  D259  / G259 )</f>
        <v>0.46436285097192226</v>
      </c>
      <c r="P259">
        <f t="shared" ref="P259:P322" si="62">_xlfn.RANK.AVG(B259,$B$2:$B$435)</f>
        <v>47.5</v>
      </c>
      <c r="Q259">
        <f t="shared" si="50"/>
        <v>239.5</v>
      </c>
    </row>
    <row r="260" spans="1:17" x14ac:dyDescent="0.35">
      <c r="A260">
        <v>2024</v>
      </c>
      <c r="B260" s="6">
        <v>232</v>
      </c>
      <c r="C260" s="17">
        <v>38</v>
      </c>
      <c r="D260" s="3">
        <f t="shared" si="53"/>
        <v>29</v>
      </c>
      <c r="E260" s="10">
        <f t="shared" si="54"/>
        <v>0.57999999999999996</v>
      </c>
      <c r="F260" s="10">
        <f t="shared" si="55"/>
        <v>0.76</v>
      </c>
      <c r="G260" s="3">
        <f t="shared" si="56"/>
        <v>67</v>
      </c>
      <c r="H260" s="3">
        <f t="shared" si="52"/>
        <v>1</v>
      </c>
      <c r="I260" s="3">
        <f t="shared" si="57"/>
        <v>1.8135414583497982</v>
      </c>
      <c r="J260" s="3">
        <f t="shared" si="58"/>
        <v>0.88680687018965354</v>
      </c>
      <c r="K260" s="3">
        <f t="shared" si="59"/>
        <v>0.99999995534737796</v>
      </c>
      <c r="L260" s="3">
        <f t="shared" si="51"/>
        <v>-4.4652623041267199E-8</v>
      </c>
      <c r="M260" s="9">
        <f t="shared" si="60"/>
        <v>0.56716417910447758</v>
      </c>
      <c r="N260" s="9">
        <f t="shared" si="61"/>
        <v>0.43283582089552236</v>
      </c>
      <c r="P260">
        <f t="shared" si="62"/>
        <v>23</v>
      </c>
      <c r="Q260">
        <f t="shared" ref="Q260:Q323" si="63">_xlfn.RANK.AVG(C260,$C$2:$C$435)</f>
        <v>103</v>
      </c>
    </row>
    <row r="261" spans="1:17" x14ac:dyDescent="0.35">
      <c r="A261">
        <v>2024</v>
      </c>
      <c r="B261" s="6">
        <v>349</v>
      </c>
      <c r="C261" s="17">
        <v>41</v>
      </c>
      <c r="D261" s="3">
        <f t="shared" si="53"/>
        <v>43.625</v>
      </c>
      <c r="E261" s="10">
        <f t="shared" si="54"/>
        <v>0.87250000000000005</v>
      </c>
      <c r="F261" s="10">
        <f t="shared" si="55"/>
        <v>0.82</v>
      </c>
      <c r="G261" s="3">
        <f t="shared" si="56"/>
        <v>84.625</v>
      </c>
      <c r="H261" s="3">
        <f t="shared" si="52"/>
        <v>1</v>
      </c>
      <c r="I261" s="3">
        <f t="shared" si="57"/>
        <v>6.1963889273939206</v>
      </c>
      <c r="J261" s="3">
        <f t="shared" si="58"/>
        <v>1.271552803207624</v>
      </c>
      <c r="K261" s="3">
        <f t="shared" si="59"/>
        <v>0.99999999999999933</v>
      </c>
      <c r="L261" s="3">
        <f t="shared" ref="L261:L324" si="64">IF(K261=0, -1000, IF(K261=1, -1000, H261 * LN(K261) + (1 - H261) * LN(1 - K261)))</f>
        <v>-6.6613381477509412E-16</v>
      </c>
      <c r="M261" s="9">
        <f t="shared" si="60"/>
        <v>0.48449039881831613</v>
      </c>
      <c r="N261" s="9">
        <f t="shared" si="61"/>
        <v>0.51550960118168387</v>
      </c>
      <c r="P261">
        <f t="shared" si="62"/>
        <v>1</v>
      </c>
      <c r="Q261">
        <f t="shared" si="63"/>
        <v>27</v>
      </c>
    </row>
    <row r="262" spans="1:17" x14ac:dyDescent="0.35">
      <c r="A262">
        <v>2024</v>
      </c>
      <c r="B262" s="6">
        <v>174</v>
      </c>
      <c r="C262" s="17">
        <v>23</v>
      </c>
      <c r="D262" s="3">
        <f t="shared" si="53"/>
        <v>21.75</v>
      </c>
      <c r="E262" s="10">
        <f t="shared" si="54"/>
        <v>0.435</v>
      </c>
      <c r="F262" s="10">
        <f t="shared" si="55"/>
        <v>0.46</v>
      </c>
      <c r="G262" s="3">
        <f t="shared" si="56"/>
        <v>44.75</v>
      </c>
      <c r="H262" s="3">
        <f t="shared" si="52"/>
        <v>0</v>
      </c>
      <c r="I262" s="3">
        <f t="shared" si="57"/>
        <v>-0.3591521587831854</v>
      </c>
      <c r="J262" s="3">
        <f t="shared" si="58"/>
        <v>-1.0369227949001982</v>
      </c>
      <c r="K262" s="3">
        <f t="shared" si="59"/>
        <v>6.6764566096378262E-3</v>
      </c>
      <c r="L262" s="3">
        <f t="shared" si="64"/>
        <v>-6.6988438466501774E-3</v>
      </c>
      <c r="M262" s="9">
        <f t="shared" si="60"/>
        <v>0.51396648044692739</v>
      </c>
      <c r="N262" s="9">
        <f t="shared" si="61"/>
        <v>0.48603351955307261</v>
      </c>
      <c r="P262">
        <f t="shared" si="62"/>
        <v>261</v>
      </c>
      <c r="Q262">
        <f t="shared" si="63"/>
        <v>352.5</v>
      </c>
    </row>
    <row r="263" spans="1:17" x14ac:dyDescent="0.35">
      <c r="A263">
        <v>2024</v>
      </c>
      <c r="B263" s="6">
        <v>190</v>
      </c>
      <c r="C263" s="17">
        <v>41</v>
      </c>
      <c r="D263" s="3">
        <f t="shared" si="53"/>
        <v>23.75</v>
      </c>
      <c r="E263" s="10">
        <f t="shared" si="54"/>
        <v>0.47499999999999998</v>
      </c>
      <c r="F263" s="10">
        <f t="shared" si="55"/>
        <v>0.82</v>
      </c>
      <c r="G263" s="3">
        <f t="shared" si="56"/>
        <v>64.75</v>
      </c>
      <c r="H263" s="3">
        <f t="shared" si="52"/>
        <v>1</v>
      </c>
      <c r="I263" s="3">
        <f t="shared" si="57"/>
        <v>0.24021159766729286</v>
      </c>
      <c r="J263" s="3">
        <f t="shared" si="58"/>
        <v>1.271552803207624</v>
      </c>
      <c r="K263" s="3">
        <f t="shared" si="59"/>
        <v>0.99999937342165324</v>
      </c>
      <c r="L263" s="3">
        <f t="shared" si="64"/>
        <v>-6.2657854306323477E-7</v>
      </c>
      <c r="M263" s="9">
        <f t="shared" si="60"/>
        <v>0.63320463320463316</v>
      </c>
      <c r="N263" s="9">
        <f t="shared" si="61"/>
        <v>0.36679536679536678</v>
      </c>
      <c r="P263">
        <f t="shared" si="62"/>
        <v>145</v>
      </c>
      <c r="Q263">
        <f t="shared" si="63"/>
        <v>27</v>
      </c>
    </row>
    <row r="264" spans="1:17" x14ac:dyDescent="0.35">
      <c r="A264">
        <v>2024</v>
      </c>
      <c r="B264" s="6">
        <v>167</v>
      </c>
      <c r="C264" s="17">
        <v>37</v>
      </c>
      <c r="D264" s="3">
        <f t="shared" si="53"/>
        <v>20.875</v>
      </c>
      <c r="E264" s="10">
        <f t="shared" si="54"/>
        <v>0.41749999999999998</v>
      </c>
      <c r="F264" s="10">
        <f t="shared" si="55"/>
        <v>0.74</v>
      </c>
      <c r="G264" s="3">
        <f t="shared" si="56"/>
        <v>57.875</v>
      </c>
      <c r="H264" s="3">
        <f t="shared" si="52"/>
        <v>1</v>
      </c>
      <c r="I264" s="3">
        <f t="shared" si="57"/>
        <v>-0.62137380223026961</v>
      </c>
      <c r="J264" s="3">
        <f t="shared" si="58"/>
        <v>0.75855822585033006</v>
      </c>
      <c r="K264" s="3">
        <f t="shared" si="59"/>
        <v>0.99941788010365495</v>
      </c>
      <c r="L264" s="3">
        <f t="shared" si="64"/>
        <v>-5.8228939391370281E-4</v>
      </c>
      <c r="M264" s="9">
        <f t="shared" si="60"/>
        <v>0.63930885529157666</v>
      </c>
      <c r="N264" s="9">
        <f t="shared" si="61"/>
        <v>0.36069114470842334</v>
      </c>
      <c r="P264">
        <f t="shared" si="62"/>
        <v>323</v>
      </c>
      <c r="Q264">
        <f t="shared" si="63"/>
        <v>128</v>
      </c>
    </row>
    <row r="265" spans="1:17" x14ac:dyDescent="0.35">
      <c r="A265">
        <v>2024</v>
      </c>
      <c r="B265" s="6">
        <v>175</v>
      </c>
      <c r="C265" s="17">
        <v>41</v>
      </c>
      <c r="D265" s="3">
        <f t="shared" si="53"/>
        <v>21.875</v>
      </c>
      <c r="E265" s="10">
        <f t="shared" si="54"/>
        <v>0.4375</v>
      </c>
      <c r="F265" s="10">
        <f t="shared" si="55"/>
        <v>0.82</v>
      </c>
      <c r="G265" s="3">
        <f t="shared" si="56"/>
        <v>62.875</v>
      </c>
      <c r="H265" s="3">
        <f t="shared" si="52"/>
        <v>1</v>
      </c>
      <c r="I265" s="3">
        <f t="shared" si="57"/>
        <v>-0.32169192400503049</v>
      </c>
      <c r="J265" s="3">
        <f t="shared" si="58"/>
        <v>1.271552803207624</v>
      </c>
      <c r="K265" s="3">
        <f t="shared" si="59"/>
        <v>0.99999552301811756</v>
      </c>
      <c r="L265" s="3">
        <f t="shared" si="64"/>
        <v>-4.4769919041530224E-6</v>
      </c>
      <c r="M265" s="9">
        <f t="shared" si="60"/>
        <v>0.65208747514910537</v>
      </c>
      <c r="N265" s="9">
        <f t="shared" si="61"/>
        <v>0.34791252485089463</v>
      </c>
      <c r="P265">
        <f t="shared" si="62"/>
        <v>254</v>
      </c>
      <c r="Q265">
        <f t="shared" si="63"/>
        <v>27</v>
      </c>
    </row>
    <row r="266" spans="1:17" x14ac:dyDescent="0.35">
      <c r="A266">
        <v>2024</v>
      </c>
      <c r="B266" s="6">
        <v>143</v>
      </c>
      <c r="C266" s="17">
        <v>30</v>
      </c>
      <c r="D266" s="3">
        <f t="shared" si="53"/>
        <v>17.875</v>
      </c>
      <c r="E266" s="10">
        <f t="shared" si="54"/>
        <v>0.35749999999999998</v>
      </c>
      <c r="F266" s="10">
        <f t="shared" si="55"/>
        <v>0.6</v>
      </c>
      <c r="G266" s="3">
        <f t="shared" si="56"/>
        <v>47.875</v>
      </c>
      <c r="H266" s="3">
        <f t="shared" si="52"/>
        <v>0</v>
      </c>
      <c r="I266" s="3">
        <f t="shared" si="57"/>
        <v>-1.5204194369059869</v>
      </c>
      <c r="J266" s="3">
        <f t="shared" si="58"/>
        <v>-0.13918228452493411</v>
      </c>
      <c r="K266" s="3">
        <f t="shared" si="59"/>
        <v>8.4537172678700964E-2</v>
      </c>
      <c r="L266" s="3">
        <f t="shared" si="64"/>
        <v>-8.8325519382476486E-2</v>
      </c>
      <c r="M266" s="9">
        <f t="shared" si="60"/>
        <v>0.62663185378590081</v>
      </c>
      <c r="N266" s="9">
        <f t="shared" si="61"/>
        <v>0.37336814621409919</v>
      </c>
      <c r="P266">
        <f t="shared" si="62"/>
        <v>424</v>
      </c>
      <c r="Q266">
        <f t="shared" si="63"/>
        <v>259</v>
      </c>
    </row>
    <row r="267" spans="1:17" x14ac:dyDescent="0.35">
      <c r="A267">
        <v>2024</v>
      </c>
      <c r="B267" s="6">
        <v>157</v>
      </c>
      <c r="C267" s="17">
        <v>43</v>
      </c>
      <c r="D267" s="3">
        <f t="shared" si="53"/>
        <v>19.625</v>
      </c>
      <c r="E267" s="10">
        <f t="shared" si="54"/>
        <v>0.39250000000000002</v>
      </c>
      <c r="F267" s="10">
        <f t="shared" si="55"/>
        <v>0.86</v>
      </c>
      <c r="G267" s="3">
        <f t="shared" si="56"/>
        <v>62.625</v>
      </c>
      <c r="H267" s="3">
        <f t="shared" si="52"/>
        <v>1</v>
      </c>
      <c r="I267" s="3">
        <f t="shared" si="57"/>
        <v>-0.9959761500118185</v>
      </c>
      <c r="J267" s="3">
        <f t="shared" si="58"/>
        <v>1.5280500918862707</v>
      </c>
      <c r="K267" s="3">
        <f t="shared" si="59"/>
        <v>0.99999297905462481</v>
      </c>
      <c r="L267" s="3">
        <f t="shared" si="64"/>
        <v>-7.020970022143612E-6</v>
      </c>
      <c r="M267" s="9">
        <f t="shared" si="60"/>
        <v>0.68662674650698607</v>
      </c>
      <c r="N267" s="9">
        <f t="shared" si="61"/>
        <v>0.31337325349301398</v>
      </c>
      <c r="P267">
        <f t="shared" si="62"/>
        <v>384.5</v>
      </c>
      <c r="Q267">
        <f t="shared" si="63"/>
        <v>7</v>
      </c>
    </row>
    <row r="268" spans="1:17" x14ac:dyDescent="0.35">
      <c r="A268">
        <v>2024</v>
      </c>
      <c r="B268" s="6">
        <v>223</v>
      </c>
      <c r="C268" s="17">
        <v>38</v>
      </c>
      <c r="D268" s="3">
        <f t="shared" si="53"/>
        <v>27.875</v>
      </c>
      <c r="E268" s="10">
        <f t="shared" si="54"/>
        <v>0.5575</v>
      </c>
      <c r="F268" s="10">
        <f t="shared" si="55"/>
        <v>0.76</v>
      </c>
      <c r="G268" s="3">
        <f t="shared" si="56"/>
        <v>65.875</v>
      </c>
      <c r="H268" s="3">
        <f t="shared" si="52"/>
        <v>1</v>
      </c>
      <c r="I268" s="3">
        <f t="shared" si="57"/>
        <v>1.4763993453464042</v>
      </c>
      <c r="J268" s="3">
        <f t="shared" si="58"/>
        <v>0.88680687018965354</v>
      </c>
      <c r="K268" s="3">
        <f t="shared" si="59"/>
        <v>0.99999985470391994</v>
      </c>
      <c r="L268" s="3">
        <f t="shared" si="64"/>
        <v>-1.4529609061178835E-7</v>
      </c>
      <c r="M268" s="9">
        <f t="shared" si="60"/>
        <v>0.57685009487666039</v>
      </c>
      <c r="N268" s="9">
        <f t="shared" si="61"/>
        <v>0.42314990512333966</v>
      </c>
      <c r="P268">
        <f t="shared" si="62"/>
        <v>35</v>
      </c>
      <c r="Q268">
        <f t="shared" si="63"/>
        <v>103</v>
      </c>
    </row>
    <row r="269" spans="1:17" x14ac:dyDescent="0.35">
      <c r="A269">
        <v>2024</v>
      </c>
      <c r="B269" s="6">
        <v>185</v>
      </c>
      <c r="C269" s="17">
        <v>32</v>
      </c>
      <c r="D269" s="3">
        <f t="shared" si="53"/>
        <v>23.125</v>
      </c>
      <c r="E269" s="10">
        <f t="shared" si="54"/>
        <v>0.46250000000000002</v>
      </c>
      <c r="F269" s="10">
        <f t="shared" si="55"/>
        <v>0.64</v>
      </c>
      <c r="G269" s="3">
        <f t="shared" si="56"/>
        <v>55.125</v>
      </c>
      <c r="H269" s="3">
        <f t="shared" si="52"/>
        <v>1</v>
      </c>
      <c r="I269" s="3">
        <f t="shared" si="57"/>
        <v>5.2910423776518403E-2</v>
      </c>
      <c r="J269" s="3">
        <f t="shared" si="58"/>
        <v>0.11731500415371279</v>
      </c>
      <c r="K269" s="3">
        <f t="shared" si="59"/>
        <v>0.99352652733588498</v>
      </c>
      <c r="L269" s="3">
        <f t="shared" si="64"/>
        <v>-6.4945164550470709E-3</v>
      </c>
      <c r="M269" s="9">
        <f t="shared" si="60"/>
        <v>0.58049886621315194</v>
      </c>
      <c r="N269" s="9">
        <f t="shared" si="61"/>
        <v>0.41950113378684806</v>
      </c>
      <c r="P269">
        <f t="shared" si="62"/>
        <v>179.5</v>
      </c>
      <c r="Q269">
        <f t="shared" si="63"/>
        <v>222</v>
      </c>
    </row>
    <row r="270" spans="1:17" x14ac:dyDescent="0.35">
      <c r="A270">
        <v>2024</v>
      </c>
      <c r="B270" s="6">
        <v>174</v>
      </c>
      <c r="C270" s="17">
        <v>40</v>
      </c>
      <c r="D270" s="3">
        <f t="shared" si="53"/>
        <v>21.75</v>
      </c>
      <c r="E270" s="10">
        <f t="shared" si="54"/>
        <v>0.435</v>
      </c>
      <c r="F270" s="10">
        <f t="shared" si="55"/>
        <v>0.8</v>
      </c>
      <c r="G270" s="3">
        <f t="shared" si="56"/>
        <v>61.75</v>
      </c>
      <c r="H270" s="3">
        <f t="shared" si="52"/>
        <v>1</v>
      </c>
      <c r="I270" s="3">
        <f t="shared" si="57"/>
        <v>-0.3591521587831854</v>
      </c>
      <c r="J270" s="3">
        <f t="shared" si="58"/>
        <v>1.1433041588683004</v>
      </c>
      <c r="K270" s="3">
        <f t="shared" si="59"/>
        <v>0.99998673775871894</v>
      </c>
      <c r="L270" s="3">
        <f t="shared" si="64"/>
        <v>-1.3262329225364026E-5</v>
      </c>
      <c r="M270" s="9">
        <f t="shared" si="60"/>
        <v>0.64777327935222673</v>
      </c>
      <c r="N270" s="9">
        <f t="shared" si="61"/>
        <v>0.35222672064777327</v>
      </c>
      <c r="P270">
        <f t="shared" si="62"/>
        <v>261</v>
      </c>
      <c r="Q270">
        <f t="shared" si="63"/>
        <v>50.5</v>
      </c>
    </row>
    <row r="271" spans="1:17" x14ac:dyDescent="0.35">
      <c r="A271">
        <v>2024</v>
      </c>
      <c r="B271" s="6">
        <v>223</v>
      </c>
      <c r="C271" s="17">
        <v>31</v>
      </c>
      <c r="D271" s="3">
        <f t="shared" si="53"/>
        <v>27.875</v>
      </c>
      <c r="E271" s="10">
        <f t="shared" si="54"/>
        <v>0.5575</v>
      </c>
      <c r="F271" s="10">
        <f t="shared" si="55"/>
        <v>0.62</v>
      </c>
      <c r="G271" s="3">
        <f t="shared" si="56"/>
        <v>58.875</v>
      </c>
      <c r="H271" s="3">
        <f t="shared" si="52"/>
        <v>1</v>
      </c>
      <c r="I271" s="3">
        <f t="shared" si="57"/>
        <v>1.4763993453464042</v>
      </c>
      <c r="J271" s="3">
        <f t="shared" si="58"/>
        <v>-1.0933640185610671E-2</v>
      </c>
      <c r="K271" s="3">
        <f t="shared" si="59"/>
        <v>0.99988382503022233</v>
      </c>
      <c r="L271" s="3">
        <f t="shared" si="64"/>
        <v>-1.1618171861217507E-4</v>
      </c>
      <c r="M271" s="9">
        <f t="shared" si="60"/>
        <v>0.52653927813163481</v>
      </c>
      <c r="N271" s="9">
        <f t="shared" si="61"/>
        <v>0.47346072186836519</v>
      </c>
      <c r="P271">
        <f t="shared" si="62"/>
        <v>35</v>
      </c>
      <c r="Q271">
        <f t="shared" si="63"/>
        <v>239.5</v>
      </c>
    </row>
    <row r="272" spans="1:17" x14ac:dyDescent="0.35">
      <c r="A272">
        <v>2024</v>
      </c>
      <c r="B272" s="6">
        <v>190</v>
      </c>
      <c r="C272" s="17">
        <v>43</v>
      </c>
      <c r="D272" s="3">
        <f t="shared" si="53"/>
        <v>23.75</v>
      </c>
      <c r="E272" s="10">
        <f t="shared" si="54"/>
        <v>0.47499999999999998</v>
      </c>
      <c r="F272" s="10">
        <f t="shared" si="55"/>
        <v>0.86</v>
      </c>
      <c r="G272" s="3">
        <f t="shared" si="56"/>
        <v>66.75</v>
      </c>
      <c r="H272" s="3">
        <f t="shared" si="52"/>
        <v>1</v>
      </c>
      <c r="I272" s="3">
        <f t="shared" si="57"/>
        <v>0.24021159766729286</v>
      </c>
      <c r="J272" s="3">
        <f t="shared" si="58"/>
        <v>1.5280500918862707</v>
      </c>
      <c r="K272" s="3">
        <f t="shared" si="59"/>
        <v>0.99999990719464749</v>
      </c>
      <c r="L272" s="3">
        <f t="shared" si="64"/>
        <v>-9.2805356820408568E-8</v>
      </c>
      <c r="M272" s="9">
        <f t="shared" si="60"/>
        <v>0.64419475655430714</v>
      </c>
      <c r="N272" s="9">
        <f t="shared" si="61"/>
        <v>0.35580524344569286</v>
      </c>
      <c r="P272">
        <f t="shared" si="62"/>
        <v>145</v>
      </c>
      <c r="Q272">
        <f t="shared" si="63"/>
        <v>7</v>
      </c>
    </row>
    <row r="273" spans="1:17" x14ac:dyDescent="0.35">
      <c r="A273">
        <v>2024</v>
      </c>
      <c r="B273" s="6">
        <v>138</v>
      </c>
      <c r="C273" s="17">
        <v>36</v>
      </c>
      <c r="D273" s="3">
        <f t="shared" si="53"/>
        <v>17.25</v>
      </c>
      <c r="E273" s="10">
        <f t="shared" si="54"/>
        <v>0.34499999999999997</v>
      </c>
      <c r="F273" s="10">
        <f t="shared" si="55"/>
        <v>0.72</v>
      </c>
      <c r="G273" s="3">
        <f t="shared" si="56"/>
        <v>53.25</v>
      </c>
      <c r="H273" s="3">
        <f t="shared" si="52"/>
        <v>1</v>
      </c>
      <c r="I273" s="3">
        <f t="shared" si="57"/>
        <v>-1.7077206107967613</v>
      </c>
      <c r="J273" s="3">
        <f t="shared" si="58"/>
        <v>0.63030958151100658</v>
      </c>
      <c r="K273" s="3">
        <f t="shared" si="59"/>
        <v>0.9365287731539742</v>
      </c>
      <c r="L273" s="3">
        <f t="shared" si="64"/>
        <v>-6.5575033433318886E-2</v>
      </c>
      <c r="M273" s="9">
        <f t="shared" si="60"/>
        <v>0.676056338028169</v>
      </c>
      <c r="N273" s="9">
        <f t="shared" si="61"/>
        <v>0.323943661971831</v>
      </c>
      <c r="P273">
        <f t="shared" si="62"/>
        <v>431.5</v>
      </c>
      <c r="Q273">
        <f t="shared" si="63"/>
        <v>152</v>
      </c>
    </row>
    <row r="274" spans="1:17" x14ac:dyDescent="0.35">
      <c r="A274">
        <v>2024</v>
      </c>
      <c r="B274" s="6">
        <v>200</v>
      </c>
      <c r="C274" s="17">
        <v>40</v>
      </c>
      <c r="D274" s="3">
        <f t="shared" si="53"/>
        <v>25</v>
      </c>
      <c r="E274" s="10">
        <f t="shared" si="54"/>
        <v>0.5</v>
      </c>
      <c r="F274" s="10">
        <f t="shared" si="55"/>
        <v>0.8</v>
      </c>
      <c r="G274" s="3">
        <f t="shared" si="56"/>
        <v>65</v>
      </c>
      <c r="H274" s="3">
        <f t="shared" si="52"/>
        <v>1</v>
      </c>
      <c r="I274" s="3">
        <f t="shared" si="57"/>
        <v>0.61481394544884171</v>
      </c>
      <c r="J274" s="3">
        <f t="shared" si="58"/>
        <v>1.1433041588683004</v>
      </c>
      <c r="K274" s="3">
        <f t="shared" si="59"/>
        <v>0.99999956113022248</v>
      </c>
      <c r="L274" s="3">
        <f t="shared" si="64"/>
        <v>-4.3886987382264859E-7</v>
      </c>
      <c r="M274" s="9">
        <f t="shared" si="60"/>
        <v>0.61538461538461542</v>
      </c>
      <c r="N274" s="9">
        <f t="shared" si="61"/>
        <v>0.38461538461538464</v>
      </c>
      <c r="P274">
        <f t="shared" si="62"/>
        <v>85</v>
      </c>
      <c r="Q274">
        <f t="shared" si="63"/>
        <v>50.5</v>
      </c>
    </row>
    <row r="275" spans="1:17" x14ac:dyDescent="0.35">
      <c r="A275">
        <v>2024</v>
      </c>
      <c r="B275" s="6">
        <v>187</v>
      </c>
      <c r="C275" s="17">
        <v>42</v>
      </c>
      <c r="D275" s="3">
        <f t="shared" si="53"/>
        <v>23.375</v>
      </c>
      <c r="E275" s="10">
        <f t="shared" si="54"/>
        <v>0.46750000000000003</v>
      </c>
      <c r="F275" s="10">
        <f t="shared" si="55"/>
        <v>0.84</v>
      </c>
      <c r="G275" s="3">
        <f t="shared" si="56"/>
        <v>65.375</v>
      </c>
      <c r="H275" s="3">
        <f t="shared" si="52"/>
        <v>1</v>
      </c>
      <c r="I275" s="3">
        <f t="shared" si="57"/>
        <v>0.12783089333282818</v>
      </c>
      <c r="J275" s="3">
        <f t="shared" si="58"/>
        <v>1.3998014475469474</v>
      </c>
      <c r="K275" s="3">
        <f t="shared" si="59"/>
        <v>0.99999964266419905</v>
      </c>
      <c r="L275" s="3">
        <f t="shared" si="64"/>
        <v>-3.5733586479344051E-7</v>
      </c>
      <c r="M275" s="9">
        <f t="shared" si="60"/>
        <v>0.64244741873804967</v>
      </c>
      <c r="N275" s="9">
        <f t="shared" si="61"/>
        <v>0.35755258126195028</v>
      </c>
      <c r="P275">
        <f t="shared" si="62"/>
        <v>163</v>
      </c>
      <c r="Q275">
        <f t="shared" si="63"/>
        <v>13.5</v>
      </c>
    </row>
    <row r="276" spans="1:17" x14ac:dyDescent="0.35">
      <c r="A276">
        <v>2024</v>
      </c>
      <c r="B276" s="6">
        <v>186</v>
      </c>
      <c r="C276" s="17">
        <v>38</v>
      </c>
      <c r="D276" s="3">
        <f t="shared" si="53"/>
        <v>23.25</v>
      </c>
      <c r="E276" s="10">
        <f t="shared" si="54"/>
        <v>0.46500000000000002</v>
      </c>
      <c r="F276" s="10">
        <f t="shared" si="55"/>
        <v>0.76</v>
      </c>
      <c r="G276" s="3">
        <f t="shared" si="56"/>
        <v>61.25</v>
      </c>
      <c r="H276" s="3">
        <f t="shared" si="52"/>
        <v>1</v>
      </c>
      <c r="I276" s="3">
        <f t="shared" si="57"/>
        <v>9.03706585546733E-2</v>
      </c>
      <c r="J276" s="3">
        <f t="shared" si="58"/>
        <v>0.88680687018965354</v>
      </c>
      <c r="K276" s="3">
        <f t="shared" si="59"/>
        <v>0.99998143017084173</v>
      </c>
      <c r="L276" s="3">
        <f t="shared" si="64"/>
        <v>-1.8570001579677927E-5</v>
      </c>
      <c r="M276" s="9">
        <f t="shared" si="60"/>
        <v>0.62040816326530612</v>
      </c>
      <c r="N276" s="9">
        <f t="shared" si="61"/>
        <v>0.37959183673469388</v>
      </c>
      <c r="P276">
        <f t="shared" si="62"/>
        <v>171.5</v>
      </c>
      <c r="Q276">
        <f t="shared" si="63"/>
        <v>103</v>
      </c>
    </row>
    <row r="277" spans="1:17" x14ac:dyDescent="0.35">
      <c r="A277">
        <v>2024</v>
      </c>
      <c r="B277" s="6">
        <v>184</v>
      </c>
      <c r="C277" s="17">
        <v>40</v>
      </c>
      <c r="D277" s="3">
        <f t="shared" si="53"/>
        <v>23</v>
      </c>
      <c r="E277" s="10">
        <f t="shared" si="54"/>
        <v>0.46</v>
      </c>
      <c r="F277" s="10">
        <f t="shared" si="55"/>
        <v>0.8</v>
      </c>
      <c r="G277" s="3">
        <f t="shared" si="56"/>
        <v>63</v>
      </c>
      <c r="H277" s="3">
        <f t="shared" si="52"/>
        <v>1</v>
      </c>
      <c r="I277" s="3">
        <f t="shared" si="57"/>
        <v>1.5450188998363515E-2</v>
      </c>
      <c r="J277" s="3">
        <f t="shared" si="58"/>
        <v>1.1433041588683004</v>
      </c>
      <c r="K277" s="3">
        <f t="shared" si="59"/>
        <v>0.99999642496706143</v>
      </c>
      <c r="L277" s="3">
        <f t="shared" si="64"/>
        <v>-3.5750393290196828E-6</v>
      </c>
      <c r="M277" s="9">
        <f t="shared" si="60"/>
        <v>0.63492063492063489</v>
      </c>
      <c r="N277" s="9">
        <f t="shared" si="61"/>
        <v>0.36507936507936506</v>
      </c>
      <c r="P277">
        <f t="shared" si="62"/>
        <v>188.5</v>
      </c>
      <c r="Q277">
        <f t="shared" si="63"/>
        <v>50.5</v>
      </c>
    </row>
    <row r="278" spans="1:17" x14ac:dyDescent="0.35">
      <c r="A278">
        <v>2024</v>
      </c>
      <c r="B278" s="6">
        <v>178</v>
      </c>
      <c r="C278" s="17">
        <v>29</v>
      </c>
      <c r="D278" s="3">
        <f t="shared" si="53"/>
        <v>22.25</v>
      </c>
      <c r="E278" s="10">
        <f t="shared" si="54"/>
        <v>0.44500000000000001</v>
      </c>
      <c r="F278" s="10">
        <f t="shared" si="55"/>
        <v>0.57999999999999996</v>
      </c>
      <c r="G278" s="3">
        <f t="shared" si="56"/>
        <v>51.25</v>
      </c>
      <c r="H278" s="3">
        <f t="shared" si="52"/>
        <v>1</v>
      </c>
      <c r="I278" s="3">
        <f t="shared" si="57"/>
        <v>-0.20931121967056582</v>
      </c>
      <c r="J278" s="3">
        <f t="shared" si="58"/>
        <v>-0.26743092886425757</v>
      </c>
      <c r="K278" s="3">
        <f t="shared" si="59"/>
        <v>0.77751160030675537</v>
      </c>
      <c r="L278" s="3">
        <f t="shared" si="64"/>
        <v>-0.2516567150313615</v>
      </c>
      <c r="M278" s="9">
        <f t="shared" si="60"/>
        <v>0.56585365853658531</v>
      </c>
      <c r="N278" s="9">
        <f t="shared" si="61"/>
        <v>0.43414634146341463</v>
      </c>
      <c r="P278">
        <f t="shared" si="62"/>
        <v>230.5</v>
      </c>
      <c r="Q278">
        <f t="shared" si="63"/>
        <v>272.5</v>
      </c>
    </row>
    <row r="279" spans="1:17" x14ac:dyDescent="0.35">
      <c r="A279">
        <v>2024</v>
      </c>
      <c r="B279" s="6">
        <v>163</v>
      </c>
      <c r="C279" s="17">
        <v>41</v>
      </c>
      <c r="D279" s="3">
        <f t="shared" si="53"/>
        <v>20.375</v>
      </c>
      <c r="E279" s="10">
        <f t="shared" si="54"/>
        <v>0.40749999999999997</v>
      </c>
      <c r="F279" s="10">
        <f t="shared" si="55"/>
        <v>0.82</v>
      </c>
      <c r="G279" s="3">
        <f t="shared" si="56"/>
        <v>61.375</v>
      </c>
      <c r="H279" s="3">
        <f t="shared" si="52"/>
        <v>1</v>
      </c>
      <c r="I279" s="3">
        <f t="shared" si="57"/>
        <v>-0.77121474134288914</v>
      </c>
      <c r="J279" s="3">
        <f t="shared" si="58"/>
        <v>1.271552803207624</v>
      </c>
      <c r="K279" s="3">
        <f t="shared" si="59"/>
        <v>0.99997841325271031</v>
      </c>
      <c r="L279" s="3">
        <f t="shared" si="64"/>
        <v>-2.1586980286874837E-5</v>
      </c>
      <c r="M279" s="9">
        <f t="shared" si="60"/>
        <v>0.66802443991853355</v>
      </c>
      <c r="N279" s="9">
        <f t="shared" si="61"/>
        <v>0.33197556008146639</v>
      </c>
      <c r="P279">
        <f t="shared" si="62"/>
        <v>356.5</v>
      </c>
      <c r="Q279">
        <f t="shared" si="63"/>
        <v>27</v>
      </c>
    </row>
    <row r="280" spans="1:17" x14ac:dyDescent="0.35">
      <c r="A280">
        <v>2024</v>
      </c>
      <c r="B280" s="6">
        <v>182</v>
      </c>
      <c r="C280" s="17">
        <v>34</v>
      </c>
      <c r="D280" s="3">
        <f t="shared" si="53"/>
        <v>22.75</v>
      </c>
      <c r="E280" s="10">
        <f t="shared" si="54"/>
        <v>0.45500000000000002</v>
      </c>
      <c r="F280" s="10">
        <f t="shared" si="55"/>
        <v>0.68</v>
      </c>
      <c r="G280" s="3">
        <f t="shared" si="56"/>
        <v>56.75</v>
      </c>
      <c r="H280" s="3">
        <f t="shared" si="52"/>
        <v>1</v>
      </c>
      <c r="I280" s="3">
        <f t="shared" si="57"/>
        <v>-5.9470280557946266E-2</v>
      </c>
      <c r="J280" s="3">
        <f t="shared" si="58"/>
        <v>0.37381229283235973</v>
      </c>
      <c r="K280" s="3">
        <f t="shared" si="59"/>
        <v>0.99857197122607322</v>
      </c>
      <c r="L280" s="3">
        <f t="shared" si="64"/>
        <v>-1.4290493787674644E-3</v>
      </c>
      <c r="M280" s="9">
        <f t="shared" si="60"/>
        <v>0.59911894273127753</v>
      </c>
      <c r="N280" s="9">
        <f t="shared" si="61"/>
        <v>0.40088105726872247</v>
      </c>
      <c r="P280">
        <f t="shared" si="62"/>
        <v>204</v>
      </c>
      <c r="Q280">
        <f t="shared" si="63"/>
        <v>189.5</v>
      </c>
    </row>
    <row r="281" spans="1:17" x14ac:dyDescent="0.35">
      <c r="A281">
        <v>2024</v>
      </c>
      <c r="B281" s="6">
        <v>186</v>
      </c>
      <c r="C281" s="17">
        <v>26</v>
      </c>
      <c r="D281" s="3">
        <f t="shared" si="53"/>
        <v>23.25</v>
      </c>
      <c r="E281" s="10">
        <f t="shared" si="54"/>
        <v>0.46500000000000002</v>
      </c>
      <c r="F281" s="10">
        <f t="shared" si="55"/>
        <v>0.52</v>
      </c>
      <c r="G281" s="3">
        <f t="shared" si="56"/>
        <v>49.25</v>
      </c>
      <c r="H281" s="3">
        <f t="shared" si="52"/>
        <v>0</v>
      </c>
      <c r="I281" s="3">
        <f t="shared" si="57"/>
        <v>9.03706585546733E-2</v>
      </c>
      <c r="J281" s="3">
        <f t="shared" si="58"/>
        <v>-0.65217686188222801</v>
      </c>
      <c r="K281" s="3">
        <f t="shared" si="59"/>
        <v>0.36246842821625241</v>
      </c>
      <c r="L281" s="3">
        <f t="shared" si="64"/>
        <v>-0.45015147880918399</v>
      </c>
      <c r="M281" s="9">
        <f t="shared" si="60"/>
        <v>0.52791878172588835</v>
      </c>
      <c r="N281" s="9">
        <f t="shared" si="61"/>
        <v>0.4720812182741117</v>
      </c>
      <c r="P281">
        <f t="shared" si="62"/>
        <v>171.5</v>
      </c>
      <c r="Q281">
        <f t="shared" si="63"/>
        <v>312.5</v>
      </c>
    </row>
    <row r="282" spans="1:17" x14ac:dyDescent="0.35">
      <c r="A282">
        <v>2024</v>
      </c>
      <c r="B282" s="6">
        <v>149</v>
      </c>
      <c r="C282" s="17">
        <v>36</v>
      </c>
      <c r="D282" s="3">
        <f t="shared" si="53"/>
        <v>18.625</v>
      </c>
      <c r="E282" s="10">
        <f t="shared" si="54"/>
        <v>0.3725</v>
      </c>
      <c r="F282" s="10">
        <f t="shared" si="55"/>
        <v>0.72</v>
      </c>
      <c r="G282" s="3">
        <f t="shared" si="56"/>
        <v>54.625</v>
      </c>
      <c r="H282" s="3">
        <f t="shared" si="52"/>
        <v>1</v>
      </c>
      <c r="I282" s="3">
        <f t="shared" si="57"/>
        <v>-1.2956580282370576</v>
      </c>
      <c r="J282" s="3">
        <f t="shared" si="58"/>
        <v>0.63030958151100658</v>
      </c>
      <c r="K282" s="3">
        <f t="shared" si="59"/>
        <v>0.98422837448655665</v>
      </c>
      <c r="L282" s="3">
        <f t="shared" si="64"/>
        <v>-1.5897320965270113E-2</v>
      </c>
      <c r="M282" s="9">
        <f t="shared" si="60"/>
        <v>0.65903890160183065</v>
      </c>
      <c r="N282" s="9">
        <f t="shared" si="61"/>
        <v>0.34096109839816935</v>
      </c>
      <c r="P282">
        <f t="shared" si="62"/>
        <v>409</v>
      </c>
      <c r="Q282">
        <f t="shared" si="63"/>
        <v>152</v>
      </c>
    </row>
    <row r="283" spans="1:17" x14ac:dyDescent="0.35">
      <c r="A283">
        <v>2024</v>
      </c>
      <c r="B283" s="6">
        <v>300</v>
      </c>
      <c r="C283" s="17">
        <v>36</v>
      </c>
      <c r="D283" s="3">
        <f t="shared" si="53"/>
        <v>37.5</v>
      </c>
      <c r="E283" s="10">
        <f t="shared" si="54"/>
        <v>0.75</v>
      </c>
      <c r="F283" s="10">
        <f t="shared" si="55"/>
        <v>0.72</v>
      </c>
      <c r="G283" s="3">
        <f t="shared" si="56"/>
        <v>73.5</v>
      </c>
      <c r="H283" s="3">
        <f t="shared" si="52"/>
        <v>1</v>
      </c>
      <c r="I283" s="3">
        <f t="shared" si="57"/>
        <v>4.3608374232643303</v>
      </c>
      <c r="J283" s="3">
        <f t="shared" si="58"/>
        <v>0.63030958151100658</v>
      </c>
      <c r="K283" s="3">
        <f t="shared" si="59"/>
        <v>0.99999999995947442</v>
      </c>
      <c r="L283" s="3">
        <f t="shared" si="64"/>
        <v>-4.0525582890293553E-11</v>
      </c>
      <c r="M283" s="9">
        <f t="shared" si="60"/>
        <v>0.48979591836734693</v>
      </c>
      <c r="N283" s="9">
        <f t="shared" si="61"/>
        <v>0.51020408163265307</v>
      </c>
      <c r="P283">
        <f t="shared" si="62"/>
        <v>3</v>
      </c>
      <c r="Q283">
        <f t="shared" si="63"/>
        <v>152</v>
      </c>
    </row>
    <row r="284" spans="1:17" x14ac:dyDescent="0.35">
      <c r="A284">
        <v>2024</v>
      </c>
      <c r="B284" s="6">
        <v>200</v>
      </c>
      <c r="C284" s="17">
        <v>34</v>
      </c>
      <c r="D284" s="3">
        <f t="shared" si="53"/>
        <v>25</v>
      </c>
      <c r="E284" s="10">
        <f t="shared" si="54"/>
        <v>0.5</v>
      </c>
      <c r="F284" s="10">
        <f t="shared" si="55"/>
        <v>0.68</v>
      </c>
      <c r="G284" s="3">
        <f t="shared" si="56"/>
        <v>59</v>
      </c>
      <c r="H284" s="3">
        <f t="shared" si="52"/>
        <v>1</v>
      </c>
      <c r="I284" s="3">
        <f t="shared" si="57"/>
        <v>0.61481394544884171</v>
      </c>
      <c r="J284" s="3">
        <f t="shared" si="58"/>
        <v>0.37381229283235973</v>
      </c>
      <c r="K284" s="3">
        <f t="shared" si="59"/>
        <v>0.99986495298771916</v>
      </c>
      <c r="L284" s="3">
        <f t="shared" si="64"/>
        <v>-1.350561319496705E-4</v>
      </c>
      <c r="M284" s="9">
        <f t="shared" si="60"/>
        <v>0.57627118644067798</v>
      </c>
      <c r="N284" s="9">
        <f t="shared" si="61"/>
        <v>0.42372881355932202</v>
      </c>
      <c r="P284">
        <f t="shared" si="62"/>
        <v>85</v>
      </c>
      <c r="Q284">
        <f t="shared" si="63"/>
        <v>189.5</v>
      </c>
    </row>
    <row r="285" spans="1:17" x14ac:dyDescent="0.35">
      <c r="A285">
        <v>2024</v>
      </c>
      <c r="B285" s="6">
        <v>170</v>
      </c>
      <c r="C285" s="17">
        <v>36</v>
      </c>
      <c r="D285" s="3">
        <f t="shared" si="53"/>
        <v>21.25</v>
      </c>
      <c r="E285" s="10">
        <f t="shared" si="54"/>
        <v>0.42499999999999999</v>
      </c>
      <c r="F285" s="10">
        <f t="shared" si="55"/>
        <v>0.72</v>
      </c>
      <c r="G285" s="3">
        <f t="shared" si="56"/>
        <v>57.25</v>
      </c>
      <c r="H285" s="3">
        <f t="shared" si="52"/>
        <v>1</v>
      </c>
      <c r="I285" s="3">
        <f t="shared" si="57"/>
        <v>-0.50899309789580494</v>
      </c>
      <c r="J285" s="3">
        <f t="shared" si="58"/>
        <v>0.63030958151100658</v>
      </c>
      <c r="K285" s="3">
        <f t="shared" si="59"/>
        <v>0.99897971625355864</v>
      </c>
      <c r="L285" s="3">
        <f t="shared" si="64"/>
        <v>-1.0208045902054127E-3</v>
      </c>
      <c r="M285" s="9">
        <f t="shared" si="60"/>
        <v>0.62882096069868998</v>
      </c>
      <c r="N285" s="9">
        <f t="shared" si="61"/>
        <v>0.37117903930131002</v>
      </c>
      <c r="P285">
        <f t="shared" si="62"/>
        <v>287.5</v>
      </c>
      <c r="Q285">
        <f t="shared" si="63"/>
        <v>152</v>
      </c>
    </row>
    <row r="286" spans="1:17" x14ac:dyDescent="0.35">
      <c r="A286">
        <v>2024</v>
      </c>
      <c r="B286" s="6">
        <v>171</v>
      </c>
      <c r="C286" s="17">
        <v>37</v>
      </c>
      <c r="D286" s="3">
        <f t="shared" si="53"/>
        <v>21.375</v>
      </c>
      <c r="E286" s="10">
        <f t="shared" si="54"/>
        <v>0.42749999999999999</v>
      </c>
      <c r="F286" s="10">
        <f t="shared" si="55"/>
        <v>0.74</v>
      </c>
      <c r="G286" s="3">
        <f t="shared" si="56"/>
        <v>58.375</v>
      </c>
      <c r="H286" s="3">
        <f t="shared" ref="H286:H349" si="65">IF(G286&gt;=50,1,0)</f>
        <v>1</v>
      </c>
      <c r="I286" s="3">
        <f t="shared" si="57"/>
        <v>-0.47153286311765003</v>
      </c>
      <c r="J286" s="3">
        <f t="shared" si="58"/>
        <v>0.75855822585033006</v>
      </c>
      <c r="K286" s="3">
        <f t="shared" si="59"/>
        <v>0.99965534928092037</v>
      </c>
      <c r="L286" s="3">
        <f t="shared" si="64"/>
        <v>-3.4471012478858444E-4</v>
      </c>
      <c r="M286" s="9">
        <f t="shared" si="60"/>
        <v>0.63383297644539616</v>
      </c>
      <c r="N286" s="9">
        <f t="shared" si="61"/>
        <v>0.36616702355460384</v>
      </c>
      <c r="P286">
        <f t="shared" si="62"/>
        <v>278</v>
      </c>
      <c r="Q286">
        <f t="shared" si="63"/>
        <v>128</v>
      </c>
    </row>
    <row r="287" spans="1:17" x14ac:dyDescent="0.35">
      <c r="A287">
        <v>2024</v>
      </c>
      <c r="B287" s="6">
        <v>157</v>
      </c>
      <c r="C287" s="17">
        <v>39</v>
      </c>
      <c r="D287" s="3">
        <f t="shared" si="53"/>
        <v>19.625</v>
      </c>
      <c r="E287" s="10">
        <f t="shared" si="54"/>
        <v>0.39250000000000002</v>
      </c>
      <c r="F287" s="10">
        <f t="shared" si="55"/>
        <v>0.78</v>
      </c>
      <c r="G287" s="3">
        <f t="shared" si="56"/>
        <v>58.625</v>
      </c>
      <c r="H287" s="3">
        <f t="shared" si="65"/>
        <v>1</v>
      </c>
      <c r="I287" s="3">
        <f t="shared" si="57"/>
        <v>-0.9959761500118185</v>
      </c>
      <c r="J287" s="3">
        <f t="shared" si="58"/>
        <v>1.015055514528977</v>
      </c>
      <c r="K287" s="3">
        <f t="shared" si="59"/>
        <v>0.99968006271595489</v>
      </c>
      <c r="L287" s="3">
        <f t="shared" si="64"/>
        <v>-3.1998847489684006E-4</v>
      </c>
      <c r="M287" s="9">
        <f t="shared" si="60"/>
        <v>0.6652452025586354</v>
      </c>
      <c r="N287" s="9">
        <f t="shared" si="61"/>
        <v>0.3347547974413646</v>
      </c>
      <c r="P287">
        <f t="shared" si="62"/>
        <v>384.5</v>
      </c>
      <c r="Q287">
        <f t="shared" si="63"/>
        <v>76.5</v>
      </c>
    </row>
    <row r="288" spans="1:17" x14ac:dyDescent="0.35">
      <c r="A288">
        <v>2024</v>
      </c>
      <c r="B288" s="6">
        <v>241</v>
      </c>
      <c r="C288" s="17">
        <v>31</v>
      </c>
      <c r="D288" s="3">
        <f t="shared" si="53"/>
        <v>30.125</v>
      </c>
      <c r="E288" s="10">
        <f t="shared" si="54"/>
        <v>0.60250000000000004</v>
      </c>
      <c r="F288" s="10">
        <f t="shared" si="55"/>
        <v>0.62</v>
      </c>
      <c r="G288" s="3">
        <f t="shared" si="56"/>
        <v>61.125</v>
      </c>
      <c r="H288" s="3">
        <f t="shared" si="65"/>
        <v>1</v>
      </c>
      <c r="I288" s="3">
        <f t="shared" si="57"/>
        <v>2.1506835713531922</v>
      </c>
      <c r="J288" s="3">
        <f t="shared" si="58"/>
        <v>-1.0933640185610671E-2</v>
      </c>
      <c r="K288" s="3">
        <f t="shared" si="59"/>
        <v>0.99998902652174038</v>
      </c>
      <c r="L288" s="3">
        <f t="shared" si="64"/>
        <v>-1.097353846867683E-5</v>
      </c>
      <c r="M288" s="9">
        <f t="shared" si="60"/>
        <v>0.50715746421267893</v>
      </c>
      <c r="N288" s="9">
        <f t="shared" si="61"/>
        <v>0.49284253578732107</v>
      </c>
      <c r="P288">
        <f t="shared" si="62"/>
        <v>14</v>
      </c>
      <c r="Q288">
        <f t="shared" si="63"/>
        <v>239.5</v>
      </c>
    </row>
    <row r="289" spans="1:17" x14ac:dyDescent="0.35">
      <c r="A289">
        <v>2024</v>
      </c>
      <c r="B289" s="6">
        <v>312</v>
      </c>
      <c r="C289" s="17">
        <v>43</v>
      </c>
      <c r="D289" s="3">
        <f t="shared" si="53"/>
        <v>39</v>
      </c>
      <c r="E289" s="10">
        <f t="shared" si="54"/>
        <v>0.78</v>
      </c>
      <c r="F289" s="10">
        <f t="shared" si="55"/>
        <v>0.86</v>
      </c>
      <c r="G289" s="3">
        <f t="shared" si="56"/>
        <v>82</v>
      </c>
      <c r="H289" s="3">
        <f t="shared" si="65"/>
        <v>1</v>
      </c>
      <c r="I289" s="3">
        <f t="shared" si="57"/>
        <v>4.810360240602189</v>
      </c>
      <c r="J289" s="3">
        <f t="shared" si="58"/>
        <v>1.5280500918862707</v>
      </c>
      <c r="K289" s="3">
        <f t="shared" si="59"/>
        <v>0.99999999999998956</v>
      </c>
      <c r="L289" s="3">
        <f t="shared" si="64"/>
        <v>-1.0436096431476527E-14</v>
      </c>
      <c r="M289" s="9">
        <f t="shared" si="60"/>
        <v>0.52439024390243905</v>
      </c>
      <c r="N289" s="9">
        <f t="shared" si="61"/>
        <v>0.47560975609756095</v>
      </c>
      <c r="P289">
        <f t="shared" si="62"/>
        <v>2</v>
      </c>
      <c r="Q289">
        <f t="shared" si="63"/>
        <v>7</v>
      </c>
    </row>
    <row r="290" spans="1:17" x14ac:dyDescent="0.35">
      <c r="A290">
        <v>2024</v>
      </c>
      <c r="B290" s="6">
        <v>207</v>
      </c>
      <c r="C290" s="17">
        <v>36</v>
      </c>
      <c r="D290" s="3">
        <f t="shared" si="53"/>
        <v>25.875</v>
      </c>
      <c r="E290" s="10">
        <f t="shared" si="54"/>
        <v>0.51749999999999996</v>
      </c>
      <c r="F290" s="10">
        <f t="shared" si="55"/>
        <v>0.72</v>
      </c>
      <c r="G290" s="3">
        <f t="shared" si="56"/>
        <v>61.875</v>
      </c>
      <c r="H290" s="3">
        <f t="shared" si="65"/>
        <v>1</v>
      </c>
      <c r="I290" s="3">
        <f t="shared" si="57"/>
        <v>0.87703558889592592</v>
      </c>
      <c r="J290" s="3">
        <f t="shared" si="58"/>
        <v>0.63030958151100658</v>
      </c>
      <c r="K290" s="3">
        <f t="shared" si="59"/>
        <v>0.99999200904260344</v>
      </c>
      <c r="L290" s="3">
        <f t="shared" si="64"/>
        <v>-7.9909893244343374E-6</v>
      </c>
      <c r="M290" s="9">
        <f t="shared" si="60"/>
        <v>0.58181818181818179</v>
      </c>
      <c r="N290" s="9">
        <f t="shared" si="61"/>
        <v>0.41818181818181815</v>
      </c>
      <c r="P290">
        <f t="shared" si="62"/>
        <v>58.5</v>
      </c>
      <c r="Q290">
        <f t="shared" si="63"/>
        <v>152</v>
      </c>
    </row>
    <row r="291" spans="1:17" x14ac:dyDescent="0.35">
      <c r="A291">
        <v>2024</v>
      </c>
      <c r="B291" s="6">
        <v>181</v>
      </c>
      <c r="C291" s="17">
        <v>16</v>
      </c>
      <c r="D291" s="3">
        <f t="shared" si="53"/>
        <v>22.625</v>
      </c>
      <c r="E291" s="10">
        <f t="shared" si="54"/>
        <v>0.45250000000000001</v>
      </c>
      <c r="F291" s="10">
        <f t="shared" si="55"/>
        <v>0.32</v>
      </c>
      <c r="G291" s="3">
        <f t="shared" si="56"/>
        <v>38.625</v>
      </c>
      <c r="H291" s="3">
        <f t="shared" si="65"/>
        <v>0</v>
      </c>
      <c r="I291" s="3">
        <f t="shared" si="57"/>
        <v>-9.6930515336101156E-2</v>
      </c>
      <c r="J291" s="3">
        <f t="shared" si="58"/>
        <v>-1.9346633052754625</v>
      </c>
      <c r="K291" s="3">
        <f t="shared" si="59"/>
        <v>2.1041459384383822E-5</v>
      </c>
      <c r="L291" s="3">
        <f t="shared" si="64"/>
        <v>-2.1041680759030697E-5</v>
      </c>
      <c r="M291" s="9">
        <f t="shared" si="60"/>
        <v>0.41423948220064727</v>
      </c>
      <c r="N291" s="9">
        <f t="shared" si="61"/>
        <v>0.58576051779935279</v>
      </c>
      <c r="P291">
        <f t="shared" si="62"/>
        <v>209.5</v>
      </c>
      <c r="Q291">
        <f t="shared" si="63"/>
        <v>420.5</v>
      </c>
    </row>
    <row r="292" spans="1:17" x14ac:dyDescent="0.35">
      <c r="A292">
        <v>2024</v>
      </c>
      <c r="B292" s="6">
        <v>157</v>
      </c>
      <c r="C292" s="17">
        <v>42</v>
      </c>
      <c r="D292" s="3">
        <f t="shared" si="53"/>
        <v>19.625</v>
      </c>
      <c r="E292" s="10">
        <f t="shared" si="54"/>
        <v>0.39250000000000002</v>
      </c>
      <c r="F292" s="10">
        <f t="shared" si="55"/>
        <v>0.84</v>
      </c>
      <c r="G292" s="3">
        <f t="shared" si="56"/>
        <v>61.625</v>
      </c>
      <c r="H292" s="3">
        <f t="shared" si="65"/>
        <v>1</v>
      </c>
      <c r="I292" s="3">
        <f t="shared" si="57"/>
        <v>-0.9959761500118185</v>
      </c>
      <c r="J292" s="3">
        <f t="shared" si="58"/>
        <v>1.3998014475469474</v>
      </c>
      <c r="K292" s="3">
        <f t="shared" si="59"/>
        <v>0.99998175717822013</v>
      </c>
      <c r="L292" s="3">
        <f t="shared" si="64"/>
        <v>-1.8242988182165039E-5</v>
      </c>
      <c r="M292" s="9">
        <f t="shared" si="60"/>
        <v>0.68154158215010141</v>
      </c>
      <c r="N292" s="9">
        <f t="shared" si="61"/>
        <v>0.31845841784989859</v>
      </c>
      <c r="P292">
        <f t="shared" si="62"/>
        <v>384.5</v>
      </c>
      <c r="Q292">
        <f t="shared" si="63"/>
        <v>13.5</v>
      </c>
    </row>
    <row r="293" spans="1:17" x14ac:dyDescent="0.35">
      <c r="A293">
        <v>2024</v>
      </c>
      <c r="B293" s="6">
        <v>168</v>
      </c>
      <c r="C293" s="17">
        <v>19</v>
      </c>
      <c r="D293" s="3">
        <f t="shared" si="53"/>
        <v>21</v>
      </c>
      <c r="E293" s="10">
        <f t="shared" si="54"/>
        <v>0.42</v>
      </c>
      <c r="F293" s="10">
        <f t="shared" si="55"/>
        <v>0.38</v>
      </c>
      <c r="G293" s="3">
        <f t="shared" si="56"/>
        <v>40</v>
      </c>
      <c r="H293" s="3">
        <f t="shared" si="65"/>
        <v>0</v>
      </c>
      <c r="I293" s="3">
        <f t="shared" si="57"/>
        <v>-0.58391356745211476</v>
      </c>
      <c r="J293" s="3">
        <f t="shared" si="58"/>
        <v>-1.5499173722574922</v>
      </c>
      <c r="K293" s="3">
        <f t="shared" si="59"/>
        <v>6.7145406839039449E-5</v>
      </c>
      <c r="L293" s="3">
        <f t="shared" si="64"/>
        <v>-6.7147661192796477E-5</v>
      </c>
      <c r="M293" s="9">
        <f t="shared" si="60"/>
        <v>0.47499999999999998</v>
      </c>
      <c r="N293" s="9">
        <f t="shared" si="61"/>
        <v>0.52500000000000002</v>
      </c>
      <c r="P293">
        <f t="shared" si="62"/>
        <v>311.5</v>
      </c>
      <c r="Q293">
        <f t="shared" si="63"/>
        <v>397.5</v>
      </c>
    </row>
    <row r="294" spans="1:17" x14ac:dyDescent="0.35">
      <c r="A294">
        <v>2024</v>
      </c>
      <c r="B294" s="6">
        <v>173</v>
      </c>
      <c r="C294" s="17">
        <v>36</v>
      </c>
      <c r="D294" s="3">
        <f t="shared" si="53"/>
        <v>21.625</v>
      </c>
      <c r="E294" s="10">
        <f t="shared" si="54"/>
        <v>0.4325</v>
      </c>
      <c r="F294" s="10">
        <f t="shared" si="55"/>
        <v>0.72</v>
      </c>
      <c r="G294" s="3">
        <f t="shared" si="56"/>
        <v>57.625</v>
      </c>
      <c r="H294" s="3">
        <f t="shared" si="65"/>
        <v>1</v>
      </c>
      <c r="I294" s="3">
        <f t="shared" si="57"/>
        <v>-0.39661239356134026</v>
      </c>
      <c r="J294" s="3">
        <f t="shared" si="58"/>
        <v>0.63030958151100658</v>
      </c>
      <c r="K294" s="3">
        <f t="shared" si="59"/>
        <v>0.99931124819735717</v>
      </c>
      <c r="L294" s="3">
        <f t="shared" si="64"/>
        <v>-6.8898910113174793E-4</v>
      </c>
      <c r="M294" s="9">
        <f t="shared" si="60"/>
        <v>0.62472885032537961</v>
      </c>
      <c r="N294" s="9">
        <f t="shared" si="61"/>
        <v>0.37527114967462039</v>
      </c>
      <c r="P294">
        <f t="shared" si="62"/>
        <v>267</v>
      </c>
      <c r="Q294">
        <f t="shared" si="63"/>
        <v>152</v>
      </c>
    </row>
    <row r="295" spans="1:17" x14ac:dyDescent="0.35">
      <c r="A295">
        <v>2024</v>
      </c>
      <c r="B295" s="6">
        <v>204</v>
      </c>
      <c r="C295" s="17">
        <v>23</v>
      </c>
      <c r="D295" s="3">
        <f t="shared" si="53"/>
        <v>25.5</v>
      </c>
      <c r="E295" s="10">
        <f t="shared" si="54"/>
        <v>0.51</v>
      </c>
      <c r="F295" s="10">
        <f t="shared" si="55"/>
        <v>0.46</v>
      </c>
      <c r="G295" s="3">
        <f t="shared" si="56"/>
        <v>48.5</v>
      </c>
      <c r="H295" s="3">
        <f t="shared" si="65"/>
        <v>0</v>
      </c>
      <c r="I295" s="3">
        <f t="shared" si="57"/>
        <v>0.76465488456146125</v>
      </c>
      <c r="J295" s="3">
        <f t="shared" si="58"/>
        <v>-1.0369227949001982</v>
      </c>
      <c r="K295" s="3">
        <f t="shared" si="59"/>
        <v>0.25547913114399839</v>
      </c>
      <c r="L295" s="3">
        <f t="shared" si="64"/>
        <v>-0.29501439655112532</v>
      </c>
      <c r="M295" s="9">
        <f t="shared" si="60"/>
        <v>0.47422680412371132</v>
      </c>
      <c r="N295" s="9">
        <f t="shared" si="61"/>
        <v>0.52577319587628868</v>
      </c>
      <c r="P295">
        <f t="shared" si="62"/>
        <v>68.5</v>
      </c>
      <c r="Q295">
        <f t="shared" si="63"/>
        <v>352.5</v>
      </c>
    </row>
    <row r="296" spans="1:17" x14ac:dyDescent="0.35">
      <c r="A296">
        <v>2024</v>
      </c>
      <c r="B296" s="6">
        <v>171</v>
      </c>
      <c r="C296" s="17">
        <v>36</v>
      </c>
      <c r="D296" s="3">
        <f t="shared" si="53"/>
        <v>21.375</v>
      </c>
      <c r="E296" s="10">
        <f t="shared" si="54"/>
        <v>0.42749999999999999</v>
      </c>
      <c r="F296" s="10">
        <f t="shared" si="55"/>
        <v>0.72</v>
      </c>
      <c r="G296" s="3">
        <f t="shared" si="56"/>
        <v>57.375</v>
      </c>
      <c r="H296" s="3">
        <f t="shared" si="65"/>
        <v>1</v>
      </c>
      <c r="I296" s="3">
        <f t="shared" si="57"/>
        <v>-0.47153286311765003</v>
      </c>
      <c r="J296" s="3">
        <f t="shared" si="58"/>
        <v>0.63030958151100658</v>
      </c>
      <c r="K296" s="3">
        <f t="shared" si="59"/>
        <v>0.99910496234756296</v>
      </c>
      <c r="L296" s="3">
        <f t="shared" si="64"/>
        <v>-8.9543843779984859E-4</v>
      </c>
      <c r="M296" s="9">
        <f t="shared" si="60"/>
        <v>0.62745098039215685</v>
      </c>
      <c r="N296" s="9">
        <f t="shared" si="61"/>
        <v>0.37254901960784315</v>
      </c>
      <c r="P296">
        <f t="shared" si="62"/>
        <v>278</v>
      </c>
      <c r="Q296">
        <f t="shared" si="63"/>
        <v>152</v>
      </c>
    </row>
    <row r="297" spans="1:17" x14ac:dyDescent="0.35">
      <c r="A297">
        <v>2024</v>
      </c>
      <c r="B297" s="6">
        <v>183</v>
      </c>
      <c r="C297" s="17">
        <v>41</v>
      </c>
      <c r="D297" s="3">
        <f t="shared" si="53"/>
        <v>22.875</v>
      </c>
      <c r="E297" s="10">
        <f t="shared" si="54"/>
        <v>0.45750000000000002</v>
      </c>
      <c r="F297" s="10">
        <f t="shared" si="55"/>
        <v>0.82</v>
      </c>
      <c r="G297" s="3">
        <f t="shared" si="56"/>
        <v>63.875</v>
      </c>
      <c r="H297" s="3">
        <f t="shared" si="65"/>
        <v>1</v>
      </c>
      <c r="I297" s="3">
        <f t="shared" si="57"/>
        <v>-2.2010045779791373E-2</v>
      </c>
      <c r="J297" s="3">
        <f t="shared" si="58"/>
        <v>1.271552803207624</v>
      </c>
      <c r="K297" s="3">
        <f t="shared" si="59"/>
        <v>0.99999843139450362</v>
      </c>
      <c r="L297" s="3">
        <f t="shared" si="64"/>
        <v>-1.5686067266454905E-6</v>
      </c>
      <c r="M297" s="9">
        <f t="shared" si="60"/>
        <v>0.64187866927592951</v>
      </c>
      <c r="N297" s="9">
        <f t="shared" si="61"/>
        <v>0.35812133072407043</v>
      </c>
      <c r="P297">
        <f t="shared" si="62"/>
        <v>197</v>
      </c>
      <c r="Q297">
        <f t="shared" si="63"/>
        <v>27</v>
      </c>
    </row>
    <row r="298" spans="1:17" x14ac:dyDescent="0.35">
      <c r="A298">
        <v>2024</v>
      </c>
      <c r="B298" s="6">
        <v>288</v>
      </c>
      <c r="C298" s="17">
        <v>39</v>
      </c>
      <c r="D298" s="3">
        <f t="shared" si="53"/>
        <v>36</v>
      </c>
      <c r="E298" s="10">
        <f t="shared" si="54"/>
        <v>0.72</v>
      </c>
      <c r="F298" s="10">
        <f t="shared" si="55"/>
        <v>0.78</v>
      </c>
      <c r="G298" s="3">
        <f t="shared" si="56"/>
        <v>75</v>
      </c>
      <c r="H298" s="3">
        <f t="shared" si="65"/>
        <v>1</v>
      </c>
      <c r="I298" s="3">
        <f t="shared" si="57"/>
        <v>3.9113146059264721</v>
      </c>
      <c r="J298" s="3">
        <f t="shared" si="58"/>
        <v>1.015055514528977</v>
      </c>
      <c r="K298" s="3">
        <f t="shared" si="59"/>
        <v>0.99999999998886135</v>
      </c>
      <c r="L298" s="3">
        <f t="shared" si="64"/>
        <v>-1.1138645561521306E-11</v>
      </c>
      <c r="M298" s="9">
        <f t="shared" si="60"/>
        <v>0.52</v>
      </c>
      <c r="N298" s="9">
        <f t="shared" si="61"/>
        <v>0.48</v>
      </c>
      <c r="P298">
        <f t="shared" si="62"/>
        <v>4</v>
      </c>
      <c r="Q298">
        <f t="shared" si="63"/>
        <v>76.5</v>
      </c>
    </row>
    <row r="299" spans="1:17" x14ac:dyDescent="0.35">
      <c r="A299">
        <v>2024</v>
      </c>
      <c r="B299" s="6">
        <v>191</v>
      </c>
      <c r="C299" s="17">
        <v>43</v>
      </c>
      <c r="D299" s="3">
        <f t="shared" si="53"/>
        <v>23.875</v>
      </c>
      <c r="E299" s="10">
        <f t="shared" si="54"/>
        <v>0.47749999999999998</v>
      </c>
      <c r="F299" s="10">
        <f t="shared" si="55"/>
        <v>0.86</v>
      </c>
      <c r="G299" s="3">
        <f t="shared" si="56"/>
        <v>66.875</v>
      </c>
      <c r="H299" s="3">
        <f t="shared" si="65"/>
        <v>1</v>
      </c>
      <c r="I299" s="3">
        <f t="shared" si="57"/>
        <v>0.27767183244544774</v>
      </c>
      <c r="J299" s="3">
        <f t="shared" si="58"/>
        <v>1.5280500918862707</v>
      </c>
      <c r="K299" s="3">
        <f t="shared" si="59"/>
        <v>0.99999991859727921</v>
      </c>
      <c r="L299" s="3">
        <f t="shared" si="64"/>
        <v>-8.1402724099473851E-8</v>
      </c>
      <c r="M299" s="9">
        <f t="shared" si="60"/>
        <v>0.64299065420560753</v>
      </c>
      <c r="N299" s="9">
        <f t="shared" si="61"/>
        <v>0.35700934579439253</v>
      </c>
      <c r="P299">
        <f t="shared" si="62"/>
        <v>137.5</v>
      </c>
      <c r="Q299">
        <f t="shared" si="63"/>
        <v>7</v>
      </c>
    </row>
    <row r="300" spans="1:17" x14ac:dyDescent="0.35">
      <c r="A300">
        <v>2024</v>
      </c>
      <c r="B300" s="6">
        <v>189</v>
      </c>
      <c r="C300" s="17">
        <v>34</v>
      </c>
      <c r="D300" s="3">
        <f t="shared" si="53"/>
        <v>23.625</v>
      </c>
      <c r="E300" s="10">
        <f t="shared" si="54"/>
        <v>0.47249999999999998</v>
      </c>
      <c r="F300" s="10">
        <f t="shared" si="55"/>
        <v>0.68</v>
      </c>
      <c r="G300" s="3">
        <f t="shared" si="56"/>
        <v>57.625</v>
      </c>
      <c r="H300" s="3">
        <f t="shared" si="65"/>
        <v>1</v>
      </c>
      <c r="I300" s="3">
        <f t="shared" si="57"/>
        <v>0.20275136288913795</v>
      </c>
      <c r="J300" s="3">
        <f t="shared" si="58"/>
        <v>0.37381229283235973</v>
      </c>
      <c r="K300" s="3">
        <f t="shared" si="59"/>
        <v>0.99942908584374657</v>
      </c>
      <c r="L300" s="3">
        <f t="shared" si="64"/>
        <v>-5.7107718979539568E-4</v>
      </c>
      <c r="M300" s="9">
        <f t="shared" si="60"/>
        <v>0.59002169197396959</v>
      </c>
      <c r="N300" s="9">
        <f t="shared" si="61"/>
        <v>0.40997830802603036</v>
      </c>
      <c r="P300">
        <f t="shared" si="62"/>
        <v>150</v>
      </c>
      <c r="Q300">
        <f t="shared" si="63"/>
        <v>189.5</v>
      </c>
    </row>
    <row r="301" spans="1:17" x14ac:dyDescent="0.35">
      <c r="A301">
        <v>2024</v>
      </c>
      <c r="B301" s="6">
        <v>167</v>
      </c>
      <c r="C301" s="17">
        <v>34</v>
      </c>
      <c r="D301" s="3">
        <f t="shared" si="53"/>
        <v>20.875</v>
      </c>
      <c r="E301" s="10">
        <f t="shared" si="54"/>
        <v>0.41749999999999998</v>
      </c>
      <c r="F301" s="10">
        <f t="shared" si="55"/>
        <v>0.68</v>
      </c>
      <c r="G301" s="3">
        <f t="shared" si="56"/>
        <v>54.875</v>
      </c>
      <c r="H301" s="3">
        <f t="shared" si="65"/>
        <v>1</v>
      </c>
      <c r="I301" s="3">
        <f t="shared" si="57"/>
        <v>-0.62137380223026961</v>
      </c>
      <c r="J301" s="3">
        <f t="shared" si="58"/>
        <v>0.37381229283235973</v>
      </c>
      <c r="K301" s="3">
        <f t="shared" si="59"/>
        <v>0.98988527505735358</v>
      </c>
      <c r="L301" s="3">
        <f t="shared" si="64"/>
        <v>-1.0166226348996443E-2</v>
      </c>
      <c r="M301" s="9">
        <f t="shared" si="60"/>
        <v>0.61958997722095677</v>
      </c>
      <c r="N301" s="9">
        <f t="shared" si="61"/>
        <v>0.38041002277904329</v>
      </c>
      <c r="P301">
        <f t="shared" si="62"/>
        <v>323</v>
      </c>
      <c r="Q301">
        <f t="shared" si="63"/>
        <v>189.5</v>
      </c>
    </row>
    <row r="302" spans="1:17" x14ac:dyDescent="0.35">
      <c r="A302">
        <v>2024</v>
      </c>
      <c r="B302" s="6">
        <v>204</v>
      </c>
      <c r="C302" s="17">
        <v>39</v>
      </c>
      <c r="D302" s="3">
        <f t="shared" si="53"/>
        <v>25.5</v>
      </c>
      <c r="E302" s="10">
        <f t="shared" si="54"/>
        <v>0.51</v>
      </c>
      <c r="F302" s="10">
        <f t="shared" si="55"/>
        <v>0.78</v>
      </c>
      <c r="G302" s="3">
        <f t="shared" si="56"/>
        <v>64.5</v>
      </c>
      <c r="H302" s="3">
        <f t="shared" si="65"/>
        <v>1</v>
      </c>
      <c r="I302" s="3">
        <f t="shared" si="57"/>
        <v>0.76465488456146125</v>
      </c>
      <c r="J302" s="3">
        <f t="shared" si="58"/>
        <v>1.015055514528977</v>
      </c>
      <c r="K302" s="3">
        <f t="shared" si="59"/>
        <v>0.99999932500519084</v>
      </c>
      <c r="L302" s="3">
        <f t="shared" si="64"/>
        <v>-6.7499503696687931E-7</v>
      </c>
      <c r="M302" s="9">
        <f t="shared" si="60"/>
        <v>0.60465116279069764</v>
      </c>
      <c r="N302" s="9">
        <f t="shared" si="61"/>
        <v>0.39534883720930231</v>
      </c>
      <c r="P302">
        <f t="shared" si="62"/>
        <v>68.5</v>
      </c>
      <c r="Q302">
        <f t="shared" si="63"/>
        <v>76.5</v>
      </c>
    </row>
    <row r="303" spans="1:17" x14ac:dyDescent="0.35">
      <c r="A303">
        <v>2024</v>
      </c>
      <c r="B303" s="6">
        <v>198</v>
      </c>
      <c r="C303" s="17">
        <v>21</v>
      </c>
      <c r="D303" s="3">
        <f t="shared" si="53"/>
        <v>24.75</v>
      </c>
      <c r="E303" s="10">
        <f t="shared" si="54"/>
        <v>0.495</v>
      </c>
      <c r="F303" s="10">
        <f t="shared" si="55"/>
        <v>0.42</v>
      </c>
      <c r="G303" s="3">
        <f t="shared" si="56"/>
        <v>45.75</v>
      </c>
      <c r="H303" s="3">
        <f t="shared" si="65"/>
        <v>0</v>
      </c>
      <c r="I303" s="3">
        <f t="shared" si="57"/>
        <v>0.539893475892532</v>
      </c>
      <c r="J303" s="3">
        <f t="shared" si="58"/>
        <v>-1.2934200835788452</v>
      </c>
      <c r="K303" s="3">
        <f t="shared" si="59"/>
        <v>2.2622146401762407E-2</v>
      </c>
      <c r="L303" s="3">
        <f t="shared" si="64"/>
        <v>-2.2881952886279189E-2</v>
      </c>
      <c r="M303" s="9">
        <f t="shared" si="60"/>
        <v>0.45901639344262296</v>
      </c>
      <c r="N303" s="9">
        <f t="shared" si="61"/>
        <v>0.54098360655737709</v>
      </c>
      <c r="P303">
        <f t="shared" si="62"/>
        <v>97.5</v>
      </c>
      <c r="Q303">
        <f t="shared" si="63"/>
        <v>378.5</v>
      </c>
    </row>
    <row r="304" spans="1:17" x14ac:dyDescent="0.35">
      <c r="A304">
        <v>2024</v>
      </c>
      <c r="B304" s="6">
        <v>185</v>
      </c>
      <c r="C304" s="17">
        <v>18</v>
      </c>
      <c r="D304" s="3">
        <f t="shared" ref="D304:D367" si="66">B304 / 8</f>
        <v>23.125</v>
      </c>
      <c r="E304" s="10">
        <f t="shared" si="54"/>
        <v>0.46250000000000002</v>
      </c>
      <c r="F304" s="10">
        <f t="shared" si="55"/>
        <v>0.36</v>
      </c>
      <c r="G304" s="3">
        <f t="shared" si="56"/>
        <v>41.125</v>
      </c>
      <c r="H304" s="3">
        <f t="shared" si="65"/>
        <v>0</v>
      </c>
      <c r="I304" s="3">
        <f t="shared" si="57"/>
        <v>5.2910423776518403E-2</v>
      </c>
      <c r="J304" s="3">
        <f t="shared" si="58"/>
        <v>-1.6781660165968155</v>
      </c>
      <c r="K304" s="3">
        <f t="shared" si="59"/>
        <v>2.3994947209313205E-4</v>
      </c>
      <c r="L304" s="3">
        <f t="shared" si="64"/>
        <v>-2.3997826457365743E-4</v>
      </c>
      <c r="M304" s="9">
        <f t="shared" si="60"/>
        <v>0.43768996960486323</v>
      </c>
      <c r="N304" s="9">
        <f t="shared" si="61"/>
        <v>0.56231003039513683</v>
      </c>
      <c r="P304">
        <f t="shared" si="62"/>
        <v>179.5</v>
      </c>
      <c r="Q304">
        <f t="shared" si="63"/>
        <v>409</v>
      </c>
    </row>
    <row r="305" spans="1:17" x14ac:dyDescent="0.35">
      <c r="A305">
        <v>2024</v>
      </c>
      <c r="B305" s="6">
        <v>181</v>
      </c>
      <c r="C305" s="17">
        <v>41</v>
      </c>
      <c r="D305" s="3">
        <f t="shared" si="66"/>
        <v>22.625</v>
      </c>
      <c r="E305" s="10">
        <f t="shared" si="54"/>
        <v>0.45250000000000001</v>
      </c>
      <c r="F305" s="10">
        <f t="shared" si="55"/>
        <v>0.82</v>
      </c>
      <c r="G305" s="3">
        <f t="shared" si="56"/>
        <v>63.625</v>
      </c>
      <c r="H305" s="3">
        <f t="shared" si="65"/>
        <v>1</v>
      </c>
      <c r="I305" s="3">
        <f t="shared" si="57"/>
        <v>-9.6930515336101156E-2</v>
      </c>
      <c r="J305" s="3">
        <f t="shared" si="58"/>
        <v>1.271552803207624</v>
      </c>
      <c r="K305" s="3">
        <f t="shared" si="59"/>
        <v>0.99999796116657391</v>
      </c>
      <c r="L305" s="3">
        <f t="shared" si="64"/>
        <v>-2.0388355045115998E-6</v>
      </c>
      <c r="M305" s="9">
        <f t="shared" si="60"/>
        <v>0.64440078585461691</v>
      </c>
      <c r="N305" s="9">
        <f t="shared" si="61"/>
        <v>0.35559921414538309</v>
      </c>
      <c r="P305">
        <f t="shared" si="62"/>
        <v>209.5</v>
      </c>
      <c r="Q305">
        <f t="shared" si="63"/>
        <v>27</v>
      </c>
    </row>
    <row r="306" spans="1:17" x14ac:dyDescent="0.35">
      <c r="A306">
        <v>2024</v>
      </c>
      <c r="B306" s="6">
        <v>157</v>
      </c>
      <c r="C306" s="17">
        <v>26</v>
      </c>
      <c r="D306" s="3">
        <f t="shared" si="66"/>
        <v>19.625</v>
      </c>
      <c r="E306" s="10">
        <f t="shared" si="54"/>
        <v>0.39250000000000002</v>
      </c>
      <c r="F306" s="10">
        <f t="shared" si="55"/>
        <v>0.52</v>
      </c>
      <c r="G306" s="3">
        <f t="shared" si="56"/>
        <v>45.625</v>
      </c>
      <c r="H306" s="3">
        <f t="shared" si="65"/>
        <v>0</v>
      </c>
      <c r="I306" s="3">
        <f t="shared" si="57"/>
        <v>-0.9959761500118185</v>
      </c>
      <c r="J306" s="3">
        <f t="shared" si="58"/>
        <v>-0.65217686188222801</v>
      </c>
      <c r="K306" s="3">
        <f t="shared" si="59"/>
        <v>1.2537186681113413E-2</v>
      </c>
      <c r="L306" s="3">
        <f t="shared" si="64"/>
        <v>-1.2616440314513568E-2</v>
      </c>
      <c r="M306" s="9">
        <f t="shared" si="60"/>
        <v>0.56986301369863013</v>
      </c>
      <c r="N306" s="9">
        <f t="shared" si="61"/>
        <v>0.43013698630136987</v>
      </c>
      <c r="P306">
        <f t="shared" si="62"/>
        <v>384.5</v>
      </c>
      <c r="Q306">
        <f t="shared" si="63"/>
        <v>312.5</v>
      </c>
    </row>
    <row r="307" spans="1:17" x14ac:dyDescent="0.35">
      <c r="A307">
        <v>2024</v>
      </c>
      <c r="B307" s="6">
        <v>246</v>
      </c>
      <c r="C307" s="17">
        <v>33</v>
      </c>
      <c r="D307" s="3">
        <f t="shared" si="66"/>
        <v>30.75</v>
      </c>
      <c r="E307" s="10">
        <f t="shared" si="54"/>
        <v>0.61499999999999999</v>
      </c>
      <c r="F307" s="10">
        <f t="shared" si="55"/>
        <v>0.66</v>
      </c>
      <c r="G307" s="3">
        <f t="shared" si="56"/>
        <v>63.75</v>
      </c>
      <c r="H307" s="3">
        <f t="shared" si="65"/>
        <v>1</v>
      </c>
      <c r="I307" s="3">
        <f t="shared" si="57"/>
        <v>2.3379847452439666</v>
      </c>
      <c r="J307" s="3">
        <f t="shared" si="58"/>
        <v>0.24556364849303625</v>
      </c>
      <c r="K307" s="3">
        <f t="shared" si="59"/>
        <v>0.9999991561299475</v>
      </c>
      <c r="L307" s="3">
        <f t="shared" si="64"/>
        <v>-8.4387040856117076E-7</v>
      </c>
      <c r="M307" s="9">
        <f t="shared" si="60"/>
        <v>0.51764705882352946</v>
      </c>
      <c r="N307" s="9">
        <f t="shared" si="61"/>
        <v>0.4823529411764706</v>
      </c>
      <c r="P307">
        <f t="shared" si="62"/>
        <v>9.5</v>
      </c>
      <c r="Q307">
        <f t="shared" si="63"/>
        <v>208.5</v>
      </c>
    </row>
    <row r="308" spans="1:17" x14ac:dyDescent="0.35">
      <c r="A308">
        <v>2024</v>
      </c>
      <c r="B308" s="6">
        <v>191</v>
      </c>
      <c r="C308" s="17">
        <v>40</v>
      </c>
      <c r="D308" s="3">
        <f t="shared" si="66"/>
        <v>23.875</v>
      </c>
      <c r="E308" s="10">
        <f t="shared" si="54"/>
        <v>0.47749999999999998</v>
      </c>
      <c r="F308" s="10">
        <f t="shared" si="55"/>
        <v>0.8</v>
      </c>
      <c r="G308" s="3">
        <f t="shared" si="56"/>
        <v>63.875</v>
      </c>
      <c r="H308" s="3">
        <f t="shared" si="65"/>
        <v>1</v>
      </c>
      <c r="I308" s="3">
        <f t="shared" si="57"/>
        <v>0.27767183244544774</v>
      </c>
      <c r="J308" s="3">
        <f t="shared" si="58"/>
        <v>1.1433041588683004</v>
      </c>
      <c r="K308" s="3">
        <f t="shared" si="59"/>
        <v>0.99999857195392183</v>
      </c>
      <c r="L308" s="3">
        <f t="shared" si="64"/>
        <v>-1.4280470978255939E-6</v>
      </c>
      <c r="M308" s="9">
        <f t="shared" si="60"/>
        <v>0.6262230919765166</v>
      </c>
      <c r="N308" s="9">
        <f t="shared" si="61"/>
        <v>0.37377690802348335</v>
      </c>
      <c r="P308">
        <f t="shared" si="62"/>
        <v>137.5</v>
      </c>
      <c r="Q308">
        <f t="shared" si="63"/>
        <v>50.5</v>
      </c>
    </row>
    <row r="309" spans="1:17" x14ac:dyDescent="0.35">
      <c r="A309">
        <v>2024</v>
      </c>
      <c r="B309" s="6">
        <v>174</v>
      </c>
      <c r="C309" s="17">
        <v>36</v>
      </c>
      <c r="D309" s="3">
        <f t="shared" si="66"/>
        <v>21.75</v>
      </c>
      <c r="E309" s="10">
        <f t="shared" si="54"/>
        <v>0.435</v>
      </c>
      <c r="F309" s="10">
        <f t="shared" si="55"/>
        <v>0.72</v>
      </c>
      <c r="G309" s="3">
        <f t="shared" si="56"/>
        <v>57.75</v>
      </c>
      <c r="H309" s="3">
        <f t="shared" si="65"/>
        <v>1</v>
      </c>
      <c r="I309" s="3">
        <f t="shared" si="57"/>
        <v>-0.3591521587831854</v>
      </c>
      <c r="J309" s="3">
        <f t="shared" si="58"/>
        <v>0.63030958151100658</v>
      </c>
      <c r="K309" s="3">
        <f t="shared" si="59"/>
        <v>0.99939582132351235</v>
      </c>
      <c r="L309" s="3">
        <f t="shared" si="64"/>
        <v>-6.0436126597236846E-4</v>
      </c>
      <c r="M309" s="9">
        <f t="shared" si="60"/>
        <v>0.62337662337662336</v>
      </c>
      <c r="N309" s="9">
        <f t="shared" si="61"/>
        <v>0.37662337662337664</v>
      </c>
      <c r="P309">
        <f t="shared" si="62"/>
        <v>261</v>
      </c>
      <c r="Q309">
        <f t="shared" si="63"/>
        <v>152</v>
      </c>
    </row>
    <row r="310" spans="1:17" x14ac:dyDescent="0.35">
      <c r="A310">
        <v>2024</v>
      </c>
      <c r="B310" s="6">
        <v>156</v>
      </c>
      <c r="C310" s="17">
        <v>39</v>
      </c>
      <c r="D310" s="3">
        <f t="shared" si="66"/>
        <v>19.5</v>
      </c>
      <c r="E310" s="10">
        <f t="shared" ref="E310:E373" si="67">B310 / 400</f>
        <v>0.39</v>
      </c>
      <c r="F310" s="10">
        <f t="shared" si="55"/>
        <v>0.78</v>
      </c>
      <c r="G310" s="3">
        <f t="shared" si="56"/>
        <v>58.5</v>
      </c>
      <c r="H310" s="3">
        <f t="shared" si="65"/>
        <v>1</v>
      </c>
      <c r="I310" s="3">
        <f t="shared" si="57"/>
        <v>-1.0334363847899735</v>
      </c>
      <c r="J310" s="3">
        <f t="shared" si="58"/>
        <v>1.015055514528977</v>
      </c>
      <c r="K310" s="3">
        <f t="shared" si="59"/>
        <v>0.99963526327067109</v>
      </c>
      <c r="L310" s="3">
        <f t="shared" si="64"/>
        <v>-3.6480326194818642E-4</v>
      </c>
      <c r="M310" s="9">
        <f t="shared" si="60"/>
        <v>0.66666666666666663</v>
      </c>
      <c r="N310" s="9">
        <f t="shared" si="61"/>
        <v>0.33333333333333331</v>
      </c>
      <c r="P310">
        <f t="shared" si="62"/>
        <v>390</v>
      </c>
      <c r="Q310">
        <f t="shared" si="63"/>
        <v>76.5</v>
      </c>
    </row>
    <row r="311" spans="1:17" x14ac:dyDescent="0.35">
      <c r="A311">
        <v>2024</v>
      </c>
      <c r="B311" s="6">
        <v>187</v>
      </c>
      <c r="C311" s="17">
        <v>43</v>
      </c>
      <c r="D311" s="3">
        <f t="shared" si="66"/>
        <v>23.375</v>
      </c>
      <c r="E311" s="10">
        <f t="shared" si="67"/>
        <v>0.46750000000000003</v>
      </c>
      <c r="F311" s="10">
        <f t="shared" si="55"/>
        <v>0.86</v>
      </c>
      <c r="G311" s="3">
        <f t="shared" si="56"/>
        <v>66.375</v>
      </c>
      <c r="H311" s="3">
        <f t="shared" si="65"/>
        <v>1</v>
      </c>
      <c r="I311" s="3">
        <f t="shared" si="57"/>
        <v>0.12783089333282818</v>
      </c>
      <c r="J311" s="3">
        <f t="shared" si="58"/>
        <v>1.5280500918862707</v>
      </c>
      <c r="K311" s="3">
        <f t="shared" si="59"/>
        <v>0.99999986247700234</v>
      </c>
      <c r="L311" s="3">
        <f t="shared" si="64"/>
        <v>-1.3752300711263577E-7</v>
      </c>
      <c r="M311" s="9">
        <f t="shared" si="60"/>
        <v>0.64783427495291901</v>
      </c>
      <c r="N311" s="9">
        <f t="shared" si="61"/>
        <v>0.35216572504708099</v>
      </c>
      <c r="P311">
        <f t="shared" si="62"/>
        <v>163</v>
      </c>
      <c r="Q311">
        <f t="shared" si="63"/>
        <v>7</v>
      </c>
    </row>
    <row r="312" spans="1:17" x14ac:dyDescent="0.35">
      <c r="A312">
        <v>2024</v>
      </c>
      <c r="B312" s="6">
        <v>167</v>
      </c>
      <c r="C312" s="17">
        <v>32</v>
      </c>
      <c r="D312" s="3">
        <f t="shared" si="66"/>
        <v>20.875</v>
      </c>
      <c r="E312" s="10">
        <f t="shared" si="67"/>
        <v>0.41749999999999998</v>
      </c>
      <c r="F312" s="10">
        <f t="shared" si="55"/>
        <v>0.64</v>
      </c>
      <c r="G312" s="3">
        <f t="shared" si="56"/>
        <v>52.875</v>
      </c>
      <c r="H312" s="3">
        <f t="shared" si="65"/>
        <v>1</v>
      </c>
      <c r="I312" s="3">
        <f t="shared" si="57"/>
        <v>-0.62137380223026961</v>
      </c>
      <c r="J312" s="3">
        <f t="shared" si="58"/>
        <v>0.11731500415371279</v>
      </c>
      <c r="K312" s="3">
        <f t="shared" si="59"/>
        <v>0.93546443954216907</v>
      </c>
      <c r="L312" s="3">
        <f t="shared" si="64"/>
        <v>-6.6712146238291539E-2</v>
      </c>
      <c r="M312" s="9">
        <f t="shared" si="60"/>
        <v>0.60520094562647753</v>
      </c>
      <c r="N312" s="9">
        <f t="shared" si="61"/>
        <v>0.39479905437352247</v>
      </c>
      <c r="P312">
        <f t="shared" si="62"/>
        <v>323</v>
      </c>
      <c r="Q312">
        <f t="shared" si="63"/>
        <v>222</v>
      </c>
    </row>
    <row r="313" spans="1:17" x14ac:dyDescent="0.35">
      <c r="A313">
        <v>2024</v>
      </c>
      <c r="B313" s="6">
        <v>200</v>
      </c>
      <c r="C313" s="17">
        <v>23</v>
      </c>
      <c r="D313" s="3">
        <f t="shared" si="66"/>
        <v>25</v>
      </c>
      <c r="E313" s="10">
        <f t="shared" si="67"/>
        <v>0.5</v>
      </c>
      <c r="F313" s="10">
        <f t="shared" si="55"/>
        <v>0.46</v>
      </c>
      <c r="G313" s="3">
        <f t="shared" si="56"/>
        <v>48</v>
      </c>
      <c r="H313" s="3">
        <f t="shared" si="65"/>
        <v>0</v>
      </c>
      <c r="I313" s="3">
        <f t="shared" si="57"/>
        <v>0.61481394544884171</v>
      </c>
      <c r="J313" s="3">
        <f t="shared" si="58"/>
        <v>-1.0369227949001982</v>
      </c>
      <c r="K313" s="3">
        <f t="shared" si="59"/>
        <v>0.16882430045384136</v>
      </c>
      <c r="L313" s="3">
        <f t="shared" si="64"/>
        <v>-0.18491407501168253</v>
      </c>
      <c r="M313" s="9">
        <f t="shared" si="60"/>
        <v>0.47916666666666669</v>
      </c>
      <c r="N313" s="9">
        <f t="shared" si="61"/>
        <v>0.52083333333333337</v>
      </c>
      <c r="P313">
        <f t="shared" si="62"/>
        <v>85</v>
      </c>
      <c r="Q313">
        <f t="shared" si="63"/>
        <v>352.5</v>
      </c>
    </row>
    <row r="314" spans="1:17" x14ac:dyDescent="0.35">
      <c r="A314">
        <v>2024</v>
      </c>
      <c r="B314" s="6">
        <v>202</v>
      </c>
      <c r="C314" s="17">
        <v>41</v>
      </c>
      <c r="D314" s="3">
        <f t="shared" si="66"/>
        <v>25.25</v>
      </c>
      <c r="E314" s="10">
        <f t="shared" si="67"/>
        <v>0.505</v>
      </c>
      <c r="F314" s="10">
        <f t="shared" si="55"/>
        <v>0.82</v>
      </c>
      <c r="G314" s="3">
        <f t="shared" si="56"/>
        <v>66.25</v>
      </c>
      <c r="H314" s="3">
        <f t="shared" si="65"/>
        <v>1</v>
      </c>
      <c r="I314" s="3">
        <f t="shared" si="57"/>
        <v>0.68973441500515154</v>
      </c>
      <c r="J314" s="3">
        <f t="shared" si="58"/>
        <v>1.271552803207624</v>
      </c>
      <c r="K314" s="3">
        <f t="shared" si="59"/>
        <v>0.99999987005298818</v>
      </c>
      <c r="L314" s="3">
        <f t="shared" si="64"/>
        <v>-1.2994702026079076E-7</v>
      </c>
      <c r="M314" s="9">
        <f t="shared" si="60"/>
        <v>0.61886792452830186</v>
      </c>
      <c r="N314" s="9">
        <f t="shared" si="61"/>
        <v>0.38113207547169814</v>
      </c>
      <c r="P314">
        <f t="shared" si="62"/>
        <v>74.5</v>
      </c>
      <c r="Q314">
        <f t="shared" si="63"/>
        <v>27</v>
      </c>
    </row>
    <row r="315" spans="1:17" x14ac:dyDescent="0.35">
      <c r="A315">
        <v>2024</v>
      </c>
      <c r="B315" s="6">
        <v>148</v>
      </c>
      <c r="C315" s="17">
        <v>33</v>
      </c>
      <c r="D315" s="3">
        <f t="shared" si="66"/>
        <v>18.5</v>
      </c>
      <c r="E315" s="10">
        <f t="shared" si="67"/>
        <v>0.37</v>
      </c>
      <c r="F315" s="10">
        <f t="shared" si="55"/>
        <v>0.66</v>
      </c>
      <c r="G315" s="3">
        <f t="shared" si="56"/>
        <v>51.5</v>
      </c>
      <c r="H315" s="3">
        <f t="shared" si="65"/>
        <v>1</v>
      </c>
      <c r="I315" s="3">
        <f t="shared" si="57"/>
        <v>-1.3331182630152125</v>
      </c>
      <c r="J315" s="3">
        <f t="shared" si="58"/>
        <v>0.24556364849303625</v>
      </c>
      <c r="K315" s="3">
        <f t="shared" si="59"/>
        <v>0.75729291164133916</v>
      </c>
      <c r="L315" s="3">
        <f t="shared" si="64"/>
        <v>-0.27800516294665256</v>
      </c>
      <c r="M315" s="9">
        <f t="shared" si="60"/>
        <v>0.64077669902912626</v>
      </c>
      <c r="N315" s="9">
        <f t="shared" si="61"/>
        <v>0.35922330097087379</v>
      </c>
      <c r="P315">
        <f t="shared" si="62"/>
        <v>412</v>
      </c>
      <c r="Q315">
        <f t="shared" si="63"/>
        <v>208.5</v>
      </c>
    </row>
    <row r="316" spans="1:17" x14ac:dyDescent="0.35">
      <c r="A316">
        <v>2024</v>
      </c>
      <c r="B316" s="6">
        <v>258</v>
      </c>
      <c r="C316" s="17">
        <v>33</v>
      </c>
      <c r="D316" s="3">
        <f t="shared" si="66"/>
        <v>32.25</v>
      </c>
      <c r="E316" s="10">
        <f t="shared" si="67"/>
        <v>0.64500000000000002</v>
      </c>
      <c r="F316" s="10">
        <f t="shared" si="55"/>
        <v>0.66</v>
      </c>
      <c r="G316" s="3">
        <f t="shared" si="56"/>
        <v>65.25</v>
      </c>
      <c r="H316" s="3">
        <f t="shared" si="65"/>
        <v>1</v>
      </c>
      <c r="I316" s="3">
        <f t="shared" si="57"/>
        <v>2.7875075625818253</v>
      </c>
      <c r="J316" s="3">
        <f t="shared" si="58"/>
        <v>0.24556364849303625</v>
      </c>
      <c r="K316" s="3">
        <f t="shared" si="59"/>
        <v>0.99999982498850937</v>
      </c>
      <c r="L316" s="3">
        <f t="shared" si="64"/>
        <v>-1.7501150594743858E-7</v>
      </c>
      <c r="M316" s="9">
        <f t="shared" si="60"/>
        <v>0.50574712643678166</v>
      </c>
      <c r="N316" s="9">
        <f t="shared" si="61"/>
        <v>0.4942528735632184</v>
      </c>
      <c r="P316">
        <f t="shared" si="62"/>
        <v>7</v>
      </c>
      <c r="Q316">
        <f t="shared" si="63"/>
        <v>208.5</v>
      </c>
    </row>
    <row r="317" spans="1:17" x14ac:dyDescent="0.35">
      <c r="A317">
        <v>2024</v>
      </c>
      <c r="B317" s="6">
        <v>165</v>
      </c>
      <c r="C317" s="17">
        <v>34</v>
      </c>
      <c r="D317" s="3">
        <f t="shared" si="66"/>
        <v>20.625</v>
      </c>
      <c r="E317" s="10">
        <f t="shared" si="67"/>
        <v>0.41249999999999998</v>
      </c>
      <c r="F317" s="10">
        <f t="shared" si="55"/>
        <v>0.68</v>
      </c>
      <c r="G317" s="3">
        <f t="shared" si="56"/>
        <v>54.625</v>
      </c>
      <c r="H317" s="3">
        <f t="shared" si="65"/>
        <v>1</v>
      </c>
      <c r="I317" s="3">
        <f t="shared" si="57"/>
        <v>-0.69629427178657943</v>
      </c>
      <c r="J317" s="3">
        <f t="shared" si="58"/>
        <v>0.37381229283235973</v>
      </c>
      <c r="K317" s="3">
        <f t="shared" si="59"/>
        <v>0.9868928749294571</v>
      </c>
      <c r="L317" s="3">
        <f t="shared" si="64"/>
        <v>-1.3193781478168137E-2</v>
      </c>
      <c r="M317" s="9">
        <f t="shared" si="60"/>
        <v>0.62242562929061784</v>
      </c>
      <c r="N317" s="9">
        <f t="shared" si="61"/>
        <v>0.37757437070938216</v>
      </c>
      <c r="P317">
        <f t="shared" si="62"/>
        <v>342.5</v>
      </c>
      <c r="Q317">
        <f t="shared" si="63"/>
        <v>189.5</v>
      </c>
    </row>
    <row r="318" spans="1:17" x14ac:dyDescent="0.35">
      <c r="A318">
        <v>2024</v>
      </c>
      <c r="B318" s="6">
        <v>183</v>
      </c>
      <c r="C318" s="17">
        <v>39</v>
      </c>
      <c r="D318" s="3">
        <f t="shared" si="66"/>
        <v>22.875</v>
      </c>
      <c r="E318" s="10">
        <f t="shared" si="67"/>
        <v>0.45750000000000002</v>
      </c>
      <c r="F318" s="10">
        <f t="shared" si="55"/>
        <v>0.78</v>
      </c>
      <c r="G318" s="3">
        <f t="shared" si="56"/>
        <v>61.875</v>
      </c>
      <c r="H318" s="3">
        <f t="shared" si="65"/>
        <v>1</v>
      </c>
      <c r="I318" s="3">
        <f t="shared" si="57"/>
        <v>-2.2010045779791373E-2</v>
      </c>
      <c r="J318" s="3">
        <f t="shared" si="58"/>
        <v>1.015055514528977</v>
      </c>
      <c r="K318" s="3">
        <f t="shared" si="59"/>
        <v>0.99998940959901483</v>
      </c>
      <c r="L318" s="3">
        <f t="shared" si="64"/>
        <v>-1.0590457063858948E-5</v>
      </c>
      <c r="M318" s="9">
        <f t="shared" si="60"/>
        <v>0.63030303030303025</v>
      </c>
      <c r="N318" s="9">
        <f t="shared" si="61"/>
        <v>0.36969696969696969</v>
      </c>
      <c r="P318">
        <f t="shared" si="62"/>
        <v>197</v>
      </c>
      <c r="Q318">
        <f t="shared" si="63"/>
        <v>76.5</v>
      </c>
    </row>
    <row r="319" spans="1:17" x14ac:dyDescent="0.35">
      <c r="A319">
        <v>2024</v>
      </c>
      <c r="B319" s="6">
        <v>197</v>
      </c>
      <c r="C319" s="17">
        <v>27</v>
      </c>
      <c r="D319" s="3">
        <f t="shared" si="66"/>
        <v>24.625</v>
      </c>
      <c r="E319" s="10">
        <f t="shared" si="67"/>
        <v>0.49249999999999999</v>
      </c>
      <c r="F319" s="10">
        <f t="shared" si="55"/>
        <v>0.54</v>
      </c>
      <c r="G319" s="3">
        <f t="shared" si="56"/>
        <v>51.625</v>
      </c>
      <c r="H319" s="3">
        <f t="shared" si="65"/>
        <v>1</v>
      </c>
      <c r="I319" s="3">
        <f t="shared" si="57"/>
        <v>0.50243324111437704</v>
      </c>
      <c r="J319" s="3">
        <f t="shared" si="58"/>
        <v>-0.52392821754290453</v>
      </c>
      <c r="K319" s="3">
        <f t="shared" si="59"/>
        <v>0.86203198809662274</v>
      </c>
      <c r="L319" s="3">
        <f t="shared" si="64"/>
        <v>-0.1484628998461566</v>
      </c>
      <c r="M319" s="9">
        <f t="shared" si="60"/>
        <v>0.52300242130750607</v>
      </c>
      <c r="N319" s="9">
        <f t="shared" si="61"/>
        <v>0.47699757869249393</v>
      </c>
      <c r="P319">
        <f t="shared" si="62"/>
        <v>102.5</v>
      </c>
      <c r="Q319">
        <f t="shared" si="63"/>
        <v>294.5</v>
      </c>
    </row>
    <row r="320" spans="1:17" x14ac:dyDescent="0.35">
      <c r="A320">
        <v>2024</v>
      </c>
      <c r="B320" s="6">
        <v>151</v>
      </c>
      <c r="C320" s="17">
        <v>29</v>
      </c>
      <c r="D320" s="3">
        <f t="shared" si="66"/>
        <v>18.875</v>
      </c>
      <c r="E320" s="10">
        <f t="shared" si="67"/>
        <v>0.3775</v>
      </c>
      <c r="F320" s="10">
        <f t="shared" si="55"/>
        <v>0.57999999999999996</v>
      </c>
      <c r="G320" s="3">
        <f t="shared" si="56"/>
        <v>47.875</v>
      </c>
      <c r="H320" s="3">
        <f t="shared" si="65"/>
        <v>0</v>
      </c>
      <c r="I320" s="3">
        <f t="shared" si="57"/>
        <v>-1.2207375586807478</v>
      </c>
      <c r="J320" s="3">
        <f t="shared" si="58"/>
        <v>-0.26743092886425757</v>
      </c>
      <c r="K320" s="3">
        <f t="shared" si="59"/>
        <v>9.2091714149812279E-2</v>
      </c>
      <c r="L320" s="3">
        <f t="shared" si="64"/>
        <v>-9.6611912255292434E-2</v>
      </c>
      <c r="M320" s="9">
        <f t="shared" si="60"/>
        <v>0.60574412532637079</v>
      </c>
      <c r="N320" s="9">
        <f t="shared" si="61"/>
        <v>0.39425587467362927</v>
      </c>
      <c r="P320">
        <f t="shared" si="62"/>
        <v>402.5</v>
      </c>
      <c r="Q320">
        <f t="shared" si="63"/>
        <v>272.5</v>
      </c>
    </row>
    <row r="321" spans="1:17" x14ac:dyDescent="0.35">
      <c r="A321">
        <v>2024</v>
      </c>
      <c r="B321" s="6">
        <v>163</v>
      </c>
      <c r="C321" s="17">
        <v>35</v>
      </c>
      <c r="D321" s="3">
        <f t="shared" si="66"/>
        <v>20.375</v>
      </c>
      <c r="E321" s="10">
        <f t="shared" si="67"/>
        <v>0.40749999999999997</v>
      </c>
      <c r="F321" s="10">
        <f t="shared" si="55"/>
        <v>0.7</v>
      </c>
      <c r="G321" s="3">
        <f t="shared" si="56"/>
        <v>55.375</v>
      </c>
      <c r="H321" s="3">
        <f t="shared" si="65"/>
        <v>1</v>
      </c>
      <c r="I321" s="3">
        <f t="shared" si="57"/>
        <v>-0.77121474134288914</v>
      </c>
      <c r="J321" s="3">
        <f t="shared" si="58"/>
        <v>0.50206093717168321</v>
      </c>
      <c r="K321" s="3">
        <f t="shared" si="59"/>
        <v>0.99340023290671675</v>
      </c>
      <c r="L321" s="3">
        <f t="shared" si="64"/>
        <v>-6.6216418548005005E-3</v>
      </c>
      <c r="M321" s="9">
        <f t="shared" si="60"/>
        <v>0.6320541760722348</v>
      </c>
      <c r="N321" s="9">
        <f t="shared" si="61"/>
        <v>0.36794582392776526</v>
      </c>
      <c r="P321">
        <f t="shared" si="62"/>
        <v>356.5</v>
      </c>
      <c r="Q321">
        <f t="shared" si="63"/>
        <v>171.5</v>
      </c>
    </row>
    <row r="322" spans="1:17" x14ac:dyDescent="0.35">
      <c r="A322">
        <v>2024</v>
      </c>
      <c r="B322" s="6">
        <v>184</v>
      </c>
      <c r="C322" s="17">
        <v>40</v>
      </c>
      <c r="D322" s="3">
        <f t="shared" si="66"/>
        <v>23</v>
      </c>
      <c r="E322" s="10">
        <f t="shared" si="67"/>
        <v>0.46</v>
      </c>
      <c r="F322" s="10">
        <f t="shared" ref="F322:F385" si="68">C322 / 50</f>
        <v>0.8</v>
      </c>
      <c r="G322" s="3">
        <f t="shared" ref="G322:G385" si="69">SUM(D322 + C322)</f>
        <v>63</v>
      </c>
      <c r="H322" s="3">
        <f t="shared" si="65"/>
        <v>1</v>
      </c>
      <c r="I322" s="3">
        <f t="shared" ref="I322:I385" si="70" xml:space="preserve"> (D:D - AVERAGE(D:D)) / STDEV(D:D)</f>
        <v>1.5450188998363515E-2</v>
      </c>
      <c r="J322" s="3">
        <f t="shared" ref="J322:J385" si="71" xml:space="preserve"> (C:C - AVERAGE(C:C)) / STDEV(C:C)</f>
        <v>1.1433041588683004</v>
      </c>
      <c r="K322" s="3">
        <f t="shared" ref="K322:K385" si="72">1/(1+EXP(-($AD$68 +$AD$69 * I322 +$AD$70 * J322 )))</f>
        <v>0.99999642496706143</v>
      </c>
      <c r="L322" s="3">
        <f t="shared" si="64"/>
        <v>-3.5750393290196828E-6</v>
      </c>
      <c r="M322" s="9">
        <f t="shared" si="60"/>
        <v>0.63492063492063489</v>
      </c>
      <c r="N322" s="9">
        <f t="shared" si="61"/>
        <v>0.36507936507936506</v>
      </c>
      <c r="P322">
        <f t="shared" si="62"/>
        <v>188.5</v>
      </c>
      <c r="Q322">
        <f t="shared" si="63"/>
        <v>50.5</v>
      </c>
    </row>
    <row r="323" spans="1:17" x14ac:dyDescent="0.35">
      <c r="A323">
        <v>2024</v>
      </c>
      <c r="B323" s="6">
        <v>179</v>
      </c>
      <c r="C323" s="17">
        <v>35</v>
      </c>
      <c r="D323" s="3">
        <f t="shared" si="66"/>
        <v>22.375</v>
      </c>
      <c r="E323" s="10">
        <f t="shared" si="67"/>
        <v>0.44750000000000001</v>
      </c>
      <c r="F323" s="10">
        <f t="shared" si="68"/>
        <v>0.7</v>
      </c>
      <c r="G323" s="3">
        <f t="shared" si="69"/>
        <v>57.375</v>
      </c>
      <c r="H323" s="3">
        <f t="shared" si="65"/>
        <v>1</v>
      </c>
      <c r="I323" s="3">
        <f t="shared" si="70"/>
        <v>-0.17185098489241094</v>
      </c>
      <c r="J323" s="3">
        <f t="shared" si="71"/>
        <v>0.50206093717168321</v>
      </c>
      <c r="K323" s="3">
        <f t="shared" si="72"/>
        <v>0.99918509953445867</v>
      </c>
      <c r="L323" s="3">
        <f t="shared" si="64"/>
        <v>-8.1523267741770791E-4</v>
      </c>
      <c r="M323" s="9">
        <f t="shared" ref="M323:M386" si="73">IF(G323=0, 0,  C323  / G323 )</f>
        <v>0.61002178649237471</v>
      </c>
      <c r="N323" s="9">
        <f t="shared" ref="N323:N386" si="74">IF(G323=0, 0,  D323  / G323 )</f>
        <v>0.38997821350762529</v>
      </c>
      <c r="P323">
        <f t="shared" ref="P323:P386" si="75">_xlfn.RANK.AVG(B323,$B$2:$B$435)</f>
        <v>223.5</v>
      </c>
      <c r="Q323">
        <f t="shared" si="63"/>
        <v>171.5</v>
      </c>
    </row>
    <row r="324" spans="1:17" x14ac:dyDescent="0.35">
      <c r="A324">
        <v>2024</v>
      </c>
      <c r="B324" s="6">
        <v>170</v>
      </c>
      <c r="C324" s="17">
        <v>40</v>
      </c>
      <c r="D324" s="3">
        <f t="shared" si="66"/>
        <v>21.25</v>
      </c>
      <c r="E324" s="10">
        <f t="shared" si="67"/>
        <v>0.42499999999999999</v>
      </c>
      <c r="F324" s="10">
        <f t="shared" si="68"/>
        <v>0.8</v>
      </c>
      <c r="G324" s="3">
        <f t="shared" si="69"/>
        <v>61.25</v>
      </c>
      <c r="H324" s="3">
        <f t="shared" si="65"/>
        <v>1</v>
      </c>
      <c r="I324" s="3">
        <f t="shared" si="70"/>
        <v>-0.50899309789580494</v>
      </c>
      <c r="J324" s="3">
        <f t="shared" si="71"/>
        <v>1.1433041588683004</v>
      </c>
      <c r="K324" s="3">
        <f t="shared" si="72"/>
        <v>0.99997759477096748</v>
      </c>
      <c r="L324" s="3">
        <f t="shared" si="64"/>
        <v>-2.2405480033411455E-5</v>
      </c>
      <c r="M324" s="9">
        <f t="shared" si="73"/>
        <v>0.65306122448979587</v>
      </c>
      <c r="N324" s="9">
        <f t="shared" si="74"/>
        <v>0.34693877551020408</v>
      </c>
      <c r="P324">
        <f t="shared" si="75"/>
        <v>287.5</v>
      </c>
      <c r="Q324">
        <f t="shared" ref="Q324:Q387" si="76">_xlfn.RANK.AVG(C324,$C$2:$C$435)</f>
        <v>50.5</v>
      </c>
    </row>
    <row r="325" spans="1:17" x14ac:dyDescent="0.35">
      <c r="A325">
        <v>2024</v>
      </c>
      <c r="B325" s="6">
        <v>190</v>
      </c>
      <c r="C325" s="17">
        <v>23</v>
      </c>
      <c r="D325" s="3">
        <f t="shared" si="66"/>
        <v>23.75</v>
      </c>
      <c r="E325" s="10">
        <f t="shared" si="67"/>
        <v>0.47499999999999998</v>
      </c>
      <c r="F325" s="10">
        <f t="shared" si="68"/>
        <v>0.46</v>
      </c>
      <c r="G325" s="3">
        <f t="shared" si="69"/>
        <v>46.75</v>
      </c>
      <c r="H325" s="3">
        <f t="shared" si="65"/>
        <v>0</v>
      </c>
      <c r="I325" s="3">
        <f t="shared" si="70"/>
        <v>0.24021159766729286</v>
      </c>
      <c r="J325" s="3">
        <f t="shared" si="71"/>
        <v>-1.0369227949001982</v>
      </c>
      <c r="K325" s="3">
        <f t="shared" si="72"/>
        <v>5.1909951704783387E-2</v>
      </c>
      <c r="L325" s="3">
        <f t="shared" ref="L325:L388" si="77">IF(K325=0, -1000, IF(K325=1, -1000, H325 * LN(K325) + (1 - H325) * LN(1 - K325)))</f>
        <v>-5.3305793584974656E-2</v>
      </c>
      <c r="M325" s="9">
        <f t="shared" si="73"/>
        <v>0.49197860962566847</v>
      </c>
      <c r="N325" s="9">
        <f t="shared" si="74"/>
        <v>0.50802139037433158</v>
      </c>
      <c r="P325">
        <f t="shared" si="75"/>
        <v>145</v>
      </c>
      <c r="Q325">
        <f t="shared" si="76"/>
        <v>352.5</v>
      </c>
    </row>
    <row r="326" spans="1:17" x14ac:dyDescent="0.35">
      <c r="A326">
        <v>2024</v>
      </c>
      <c r="B326" s="6">
        <v>217</v>
      </c>
      <c r="C326" s="17">
        <v>23</v>
      </c>
      <c r="D326" s="3">
        <f t="shared" si="66"/>
        <v>27.125</v>
      </c>
      <c r="E326" s="10">
        <f t="shared" si="67"/>
        <v>0.54249999999999998</v>
      </c>
      <c r="F326" s="10">
        <f t="shared" si="68"/>
        <v>0.46</v>
      </c>
      <c r="G326" s="3">
        <f t="shared" si="69"/>
        <v>50.125</v>
      </c>
      <c r="H326" s="3">
        <f t="shared" si="65"/>
        <v>1</v>
      </c>
      <c r="I326" s="3">
        <f t="shared" si="70"/>
        <v>1.2516379366774748</v>
      </c>
      <c r="J326" s="3">
        <f t="shared" si="71"/>
        <v>-1.0369227949001982</v>
      </c>
      <c r="K326" s="3">
        <f t="shared" si="72"/>
        <v>0.65354150778560938</v>
      </c>
      <c r="L326" s="3">
        <f t="shared" si="77"/>
        <v>-0.42534923181310386</v>
      </c>
      <c r="M326" s="9">
        <f t="shared" si="73"/>
        <v>0.45885286783042395</v>
      </c>
      <c r="N326" s="9">
        <f t="shared" si="74"/>
        <v>0.54114713216957611</v>
      </c>
      <c r="P326">
        <f t="shared" si="75"/>
        <v>44.5</v>
      </c>
      <c r="Q326">
        <f t="shared" si="76"/>
        <v>352.5</v>
      </c>
    </row>
    <row r="327" spans="1:17" x14ac:dyDescent="0.35">
      <c r="A327">
        <v>2025</v>
      </c>
      <c r="B327" s="6">
        <v>244</v>
      </c>
      <c r="C327" s="3">
        <v>39</v>
      </c>
      <c r="D327" s="3">
        <f t="shared" si="66"/>
        <v>30.5</v>
      </c>
      <c r="E327" s="10">
        <f t="shared" si="67"/>
        <v>0.61</v>
      </c>
      <c r="F327" s="10">
        <f t="shared" si="68"/>
        <v>0.78</v>
      </c>
      <c r="G327" s="3">
        <f t="shared" si="69"/>
        <v>69.5</v>
      </c>
      <c r="H327" s="3">
        <f t="shared" si="65"/>
        <v>1</v>
      </c>
      <c r="I327" s="3">
        <f t="shared" si="70"/>
        <v>2.2630642756876567</v>
      </c>
      <c r="J327" s="3">
        <f t="shared" si="71"/>
        <v>1.015055514528977</v>
      </c>
      <c r="K327" s="3">
        <f t="shared" si="72"/>
        <v>0.99999999643601067</v>
      </c>
      <c r="L327" s="3">
        <f t="shared" si="77"/>
        <v>-3.563989332234209E-9</v>
      </c>
      <c r="M327" s="9">
        <f t="shared" si="73"/>
        <v>0.5611510791366906</v>
      </c>
      <c r="N327" s="9">
        <f t="shared" si="74"/>
        <v>0.43884892086330934</v>
      </c>
      <c r="P327">
        <f t="shared" si="75"/>
        <v>13</v>
      </c>
      <c r="Q327">
        <f t="shared" si="76"/>
        <v>76.5</v>
      </c>
    </row>
    <row r="328" spans="1:17" x14ac:dyDescent="0.35">
      <c r="A328">
        <v>2025</v>
      </c>
      <c r="B328" s="6">
        <v>216</v>
      </c>
      <c r="C328" s="3">
        <v>41</v>
      </c>
      <c r="D328" s="3">
        <f t="shared" si="66"/>
        <v>27</v>
      </c>
      <c r="E328" s="10">
        <f t="shared" si="67"/>
        <v>0.54</v>
      </c>
      <c r="F328" s="10">
        <f t="shared" si="68"/>
        <v>0.82</v>
      </c>
      <c r="G328" s="3">
        <f t="shared" si="69"/>
        <v>68</v>
      </c>
      <c r="H328" s="3">
        <f t="shared" si="65"/>
        <v>1</v>
      </c>
      <c r="I328" s="3">
        <f t="shared" si="70"/>
        <v>1.2141777018993201</v>
      </c>
      <c r="J328" s="3">
        <f t="shared" si="71"/>
        <v>1.271552803207624</v>
      </c>
      <c r="K328" s="3">
        <f t="shared" si="72"/>
        <v>0.99999997926572637</v>
      </c>
      <c r="L328" s="3">
        <f t="shared" si="77"/>
        <v>-2.0734273846317098E-8</v>
      </c>
      <c r="M328" s="9">
        <f t="shared" si="73"/>
        <v>0.6029411764705882</v>
      </c>
      <c r="N328" s="9">
        <f t="shared" si="74"/>
        <v>0.39705882352941174</v>
      </c>
      <c r="P328">
        <f t="shared" si="75"/>
        <v>46</v>
      </c>
      <c r="Q328">
        <f t="shared" si="76"/>
        <v>27</v>
      </c>
    </row>
    <row r="329" spans="1:17" x14ac:dyDescent="0.35">
      <c r="A329">
        <v>2025</v>
      </c>
      <c r="B329" s="6">
        <v>191</v>
      </c>
      <c r="C329" s="3">
        <v>43</v>
      </c>
      <c r="D329" s="3">
        <f t="shared" si="66"/>
        <v>23.875</v>
      </c>
      <c r="E329" s="10">
        <f t="shared" si="67"/>
        <v>0.47749999999999998</v>
      </c>
      <c r="F329" s="10">
        <f t="shared" si="68"/>
        <v>0.86</v>
      </c>
      <c r="G329" s="3">
        <f t="shared" si="69"/>
        <v>66.875</v>
      </c>
      <c r="H329" s="3">
        <f t="shared" si="65"/>
        <v>1</v>
      </c>
      <c r="I329" s="3">
        <f t="shared" si="70"/>
        <v>0.27767183244544774</v>
      </c>
      <c r="J329" s="3">
        <f t="shared" si="71"/>
        <v>1.5280500918862707</v>
      </c>
      <c r="K329" s="3">
        <f t="shared" si="72"/>
        <v>0.99999991859727921</v>
      </c>
      <c r="L329" s="3">
        <f t="shared" si="77"/>
        <v>-8.1402724099473851E-8</v>
      </c>
      <c r="M329" s="9">
        <f t="shared" si="73"/>
        <v>0.64299065420560753</v>
      </c>
      <c r="N329" s="9">
        <f t="shared" si="74"/>
        <v>0.35700934579439253</v>
      </c>
      <c r="P329">
        <f t="shared" si="75"/>
        <v>137.5</v>
      </c>
      <c r="Q329">
        <f t="shared" si="76"/>
        <v>7</v>
      </c>
    </row>
    <row r="330" spans="1:17" x14ac:dyDescent="0.35">
      <c r="A330">
        <v>2025</v>
      </c>
      <c r="B330" s="6">
        <v>219</v>
      </c>
      <c r="C330" s="3">
        <v>39</v>
      </c>
      <c r="D330" s="3">
        <f t="shared" si="66"/>
        <v>27.375</v>
      </c>
      <c r="E330" s="10">
        <f t="shared" si="67"/>
        <v>0.54749999999999999</v>
      </c>
      <c r="F330" s="10">
        <f t="shared" si="68"/>
        <v>0.78</v>
      </c>
      <c r="G330" s="3">
        <f t="shared" si="69"/>
        <v>66.375</v>
      </c>
      <c r="H330" s="3">
        <f t="shared" si="65"/>
        <v>1</v>
      </c>
      <c r="I330" s="3">
        <f t="shared" si="70"/>
        <v>1.3265584062337847</v>
      </c>
      <c r="J330" s="3">
        <f t="shared" si="71"/>
        <v>1.015055514528977</v>
      </c>
      <c r="K330" s="3">
        <f t="shared" si="72"/>
        <v>0.99999990553105644</v>
      </c>
      <c r="L330" s="3">
        <f t="shared" si="77"/>
        <v>-9.446894801888237E-8</v>
      </c>
      <c r="M330" s="9">
        <f t="shared" si="73"/>
        <v>0.58757062146892658</v>
      </c>
      <c r="N330" s="9">
        <f t="shared" si="74"/>
        <v>0.41242937853107342</v>
      </c>
      <c r="P330">
        <f t="shared" si="75"/>
        <v>41.5</v>
      </c>
      <c r="Q330">
        <f t="shared" si="76"/>
        <v>76.5</v>
      </c>
    </row>
    <row r="331" spans="1:17" x14ac:dyDescent="0.35">
      <c r="A331">
        <v>2025</v>
      </c>
      <c r="B331" s="6">
        <v>224</v>
      </c>
      <c r="C331" s="3">
        <v>37</v>
      </c>
      <c r="D331" s="3">
        <f t="shared" si="66"/>
        <v>28</v>
      </c>
      <c r="E331" s="10">
        <f t="shared" si="67"/>
        <v>0.56000000000000005</v>
      </c>
      <c r="F331" s="10">
        <f t="shared" si="68"/>
        <v>0.74</v>
      </c>
      <c r="G331" s="3">
        <f t="shared" si="69"/>
        <v>65</v>
      </c>
      <c r="H331" s="3">
        <f t="shared" si="65"/>
        <v>1</v>
      </c>
      <c r="I331" s="3">
        <f t="shared" si="70"/>
        <v>1.5138595801245591</v>
      </c>
      <c r="J331" s="3">
        <f t="shared" si="71"/>
        <v>0.75855822585033006</v>
      </c>
      <c r="K331" s="3">
        <f t="shared" si="72"/>
        <v>0.99999966885286384</v>
      </c>
      <c r="L331" s="3">
        <f t="shared" si="77"/>
        <v>-3.3114719098589814E-7</v>
      </c>
      <c r="M331" s="9">
        <f t="shared" si="73"/>
        <v>0.56923076923076921</v>
      </c>
      <c r="N331" s="9">
        <f t="shared" si="74"/>
        <v>0.43076923076923079</v>
      </c>
      <c r="P331">
        <f t="shared" si="75"/>
        <v>33</v>
      </c>
      <c r="Q331">
        <f t="shared" si="76"/>
        <v>128</v>
      </c>
    </row>
    <row r="332" spans="1:17" x14ac:dyDescent="0.35">
      <c r="A332">
        <v>2025</v>
      </c>
      <c r="B332" s="6">
        <v>192</v>
      </c>
      <c r="C332" s="3">
        <v>41</v>
      </c>
      <c r="D332" s="3">
        <f t="shared" si="66"/>
        <v>24</v>
      </c>
      <c r="E332" s="10">
        <f t="shared" si="67"/>
        <v>0.48</v>
      </c>
      <c r="F332" s="10">
        <f t="shared" si="68"/>
        <v>0.82</v>
      </c>
      <c r="G332" s="3">
        <f t="shared" si="69"/>
        <v>65</v>
      </c>
      <c r="H332" s="3">
        <f t="shared" si="65"/>
        <v>1</v>
      </c>
      <c r="I332" s="3">
        <f t="shared" si="70"/>
        <v>0.31513206722360265</v>
      </c>
      <c r="J332" s="3">
        <f t="shared" si="71"/>
        <v>1.271552803207624</v>
      </c>
      <c r="K332" s="3">
        <f t="shared" si="72"/>
        <v>0.99999951793319364</v>
      </c>
      <c r="L332" s="3">
        <f t="shared" si="77"/>
        <v>-4.8206692255633164E-7</v>
      </c>
      <c r="M332" s="9">
        <f t="shared" si="73"/>
        <v>0.63076923076923075</v>
      </c>
      <c r="N332" s="9">
        <f t="shared" si="74"/>
        <v>0.36923076923076925</v>
      </c>
      <c r="P332">
        <f t="shared" si="75"/>
        <v>129.5</v>
      </c>
      <c r="Q332">
        <f t="shared" si="76"/>
        <v>27</v>
      </c>
    </row>
    <row r="333" spans="1:17" x14ac:dyDescent="0.35">
      <c r="A333">
        <v>2025</v>
      </c>
      <c r="B333" s="6">
        <v>204</v>
      </c>
      <c r="C333" s="3">
        <v>39</v>
      </c>
      <c r="D333" s="3">
        <f t="shared" si="66"/>
        <v>25.5</v>
      </c>
      <c r="E333" s="10">
        <f t="shared" si="67"/>
        <v>0.51</v>
      </c>
      <c r="F333" s="10">
        <f t="shared" si="68"/>
        <v>0.78</v>
      </c>
      <c r="G333" s="3">
        <f t="shared" si="69"/>
        <v>64.5</v>
      </c>
      <c r="H333" s="3">
        <f t="shared" si="65"/>
        <v>1</v>
      </c>
      <c r="I333" s="3">
        <f t="shared" si="70"/>
        <v>0.76465488456146125</v>
      </c>
      <c r="J333" s="3">
        <f t="shared" si="71"/>
        <v>1.015055514528977</v>
      </c>
      <c r="K333" s="3">
        <f t="shared" si="72"/>
        <v>0.99999932500519084</v>
      </c>
      <c r="L333" s="3">
        <f t="shared" si="77"/>
        <v>-6.7499503696687931E-7</v>
      </c>
      <c r="M333" s="9">
        <f t="shared" si="73"/>
        <v>0.60465116279069764</v>
      </c>
      <c r="N333" s="9">
        <f t="shared" si="74"/>
        <v>0.39534883720930231</v>
      </c>
      <c r="P333">
        <f t="shared" si="75"/>
        <v>68.5</v>
      </c>
      <c r="Q333">
        <f t="shared" si="76"/>
        <v>76.5</v>
      </c>
    </row>
    <row r="334" spans="1:17" x14ac:dyDescent="0.35">
      <c r="A334">
        <v>2025</v>
      </c>
      <c r="B334" s="8">
        <v>210</v>
      </c>
      <c r="C334" s="13">
        <v>38</v>
      </c>
      <c r="D334" s="3">
        <f t="shared" si="66"/>
        <v>26.25</v>
      </c>
      <c r="E334" s="10">
        <f t="shared" si="67"/>
        <v>0.52500000000000002</v>
      </c>
      <c r="F334" s="10">
        <f t="shared" si="68"/>
        <v>0.76</v>
      </c>
      <c r="G334" s="3">
        <f t="shared" si="69"/>
        <v>64.25</v>
      </c>
      <c r="H334" s="3">
        <f t="shared" si="65"/>
        <v>1</v>
      </c>
      <c r="I334" s="3">
        <f t="shared" si="70"/>
        <v>0.9894162932303906</v>
      </c>
      <c r="J334" s="3">
        <f t="shared" si="71"/>
        <v>0.88680687018965354</v>
      </c>
      <c r="K334" s="3">
        <f t="shared" si="72"/>
        <v>0.99999920127546771</v>
      </c>
      <c r="L334" s="3">
        <f t="shared" si="77"/>
        <v>-7.9872485127218167E-7</v>
      </c>
      <c r="M334" s="9">
        <f t="shared" si="73"/>
        <v>0.59143968871595332</v>
      </c>
      <c r="N334" s="9">
        <f t="shared" si="74"/>
        <v>0.40856031128404668</v>
      </c>
      <c r="P334">
        <f t="shared" si="75"/>
        <v>52</v>
      </c>
      <c r="Q334">
        <f t="shared" si="76"/>
        <v>103</v>
      </c>
    </row>
    <row r="335" spans="1:17" x14ac:dyDescent="0.35">
      <c r="A335">
        <v>2025</v>
      </c>
      <c r="B335" s="6">
        <v>210</v>
      </c>
      <c r="C335" s="3">
        <v>38</v>
      </c>
      <c r="D335" s="3">
        <f t="shared" si="66"/>
        <v>26.25</v>
      </c>
      <c r="E335" s="10">
        <f t="shared" si="67"/>
        <v>0.52500000000000002</v>
      </c>
      <c r="F335" s="10">
        <f t="shared" si="68"/>
        <v>0.76</v>
      </c>
      <c r="G335" s="3">
        <f t="shared" si="69"/>
        <v>64.25</v>
      </c>
      <c r="H335" s="3">
        <f t="shared" si="65"/>
        <v>1</v>
      </c>
      <c r="I335" s="3">
        <f t="shared" si="70"/>
        <v>0.9894162932303906</v>
      </c>
      <c r="J335" s="3">
        <f t="shared" si="71"/>
        <v>0.88680687018965354</v>
      </c>
      <c r="K335" s="3">
        <f t="shared" si="72"/>
        <v>0.99999920127546771</v>
      </c>
      <c r="L335" s="3">
        <f t="shared" si="77"/>
        <v>-7.9872485127218167E-7</v>
      </c>
      <c r="M335" s="9">
        <f t="shared" si="73"/>
        <v>0.59143968871595332</v>
      </c>
      <c r="N335" s="9">
        <f t="shared" si="74"/>
        <v>0.40856031128404668</v>
      </c>
      <c r="P335">
        <f t="shared" si="75"/>
        <v>52</v>
      </c>
      <c r="Q335">
        <f t="shared" si="76"/>
        <v>103</v>
      </c>
    </row>
    <row r="336" spans="1:17" x14ac:dyDescent="0.35">
      <c r="A336">
        <v>2025</v>
      </c>
      <c r="B336" s="6">
        <v>176</v>
      </c>
      <c r="C336" s="3">
        <v>42</v>
      </c>
      <c r="D336" s="3">
        <f t="shared" si="66"/>
        <v>22</v>
      </c>
      <c r="E336" s="10">
        <f t="shared" si="67"/>
        <v>0.44</v>
      </c>
      <c r="F336" s="10">
        <f t="shared" si="68"/>
        <v>0.84</v>
      </c>
      <c r="G336" s="3">
        <f t="shared" si="69"/>
        <v>64</v>
      </c>
      <c r="H336" s="3">
        <f t="shared" si="65"/>
        <v>1</v>
      </c>
      <c r="I336" s="3">
        <f t="shared" si="70"/>
        <v>-0.28423168922687558</v>
      </c>
      <c r="J336" s="3">
        <f t="shared" si="71"/>
        <v>1.3998014475469474</v>
      </c>
      <c r="K336" s="3">
        <f t="shared" si="72"/>
        <v>0.9999984886981238</v>
      </c>
      <c r="L336" s="3">
        <f t="shared" si="77"/>
        <v>-1.5113030182181307E-6</v>
      </c>
      <c r="M336" s="9">
        <f t="shared" si="73"/>
        <v>0.65625</v>
      </c>
      <c r="N336" s="9">
        <f t="shared" si="74"/>
        <v>0.34375</v>
      </c>
      <c r="P336">
        <f t="shared" si="75"/>
        <v>245.5</v>
      </c>
      <c r="Q336">
        <f t="shared" si="76"/>
        <v>13.5</v>
      </c>
    </row>
    <row r="337" spans="1:17" x14ac:dyDescent="0.35">
      <c r="A337">
        <v>2025</v>
      </c>
      <c r="B337" s="6">
        <v>199</v>
      </c>
      <c r="C337" s="3">
        <v>39</v>
      </c>
      <c r="D337" s="3">
        <f t="shared" si="66"/>
        <v>24.875</v>
      </c>
      <c r="E337" s="10">
        <f t="shared" si="67"/>
        <v>0.4975</v>
      </c>
      <c r="F337" s="10">
        <f t="shared" si="68"/>
        <v>0.78</v>
      </c>
      <c r="G337" s="3">
        <f t="shared" si="69"/>
        <v>63.875</v>
      </c>
      <c r="H337" s="3">
        <f t="shared" si="65"/>
        <v>1</v>
      </c>
      <c r="I337" s="3">
        <f t="shared" si="70"/>
        <v>0.57735371067068686</v>
      </c>
      <c r="J337" s="3">
        <f t="shared" si="71"/>
        <v>1.015055514528977</v>
      </c>
      <c r="K337" s="3">
        <f t="shared" si="72"/>
        <v>0.99999869991812429</v>
      </c>
      <c r="L337" s="3">
        <f t="shared" si="77"/>
        <v>-1.3000827208174648E-6</v>
      </c>
      <c r="M337" s="9">
        <f t="shared" si="73"/>
        <v>0.61056751467710368</v>
      </c>
      <c r="N337" s="9">
        <f t="shared" si="74"/>
        <v>0.38943248532289626</v>
      </c>
      <c r="P337">
        <f t="shared" si="75"/>
        <v>91.5</v>
      </c>
      <c r="Q337">
        <f t="shared" si="76"/>
        <v>76.5</v>
      </c>
    </row>
    <row r="338" spans="1:17" x14ac:dyDescent="0.35">
      <c r="A338">
        <v>2025</v>
      </c>
      <c r="B338" s="6">
        <v>178</v>
      </c>
      <c r="C338" s="3">
        <v>41</v>
      </c>
      <c r="D338" s="3">
        <f t="shared" si="66"/>
        <v>22.25</v>
      </c>
      <c r="E338" s="10">
        <f t="shared" si="67"/>
        <v>0.44500000000000001</v>
      </c>
      <c r="F338" s="10">
        <f t="shared" si="68"/>
        <v>0.82</v>
      </c>
      <c r="G338" s="3">
        <f t="shared" si="69"/>
        <v>63.25</v>
      </c>
      <c r="H338" s="3">
        <f t="shared" si="65"/>
        <v>1</v>
      </c>
      <c r="I338" s="3">
        <f t="shared" si="70"/>
        <v>-0.20931121967056582</v>
      </c>
      <c r="J338" s="3">
        <f t="shared" si="71"/>
        <v>1.271552803207624</v>
      </c>
      <c r="K338" s="3">
        <f t="shared" si="72"/>
        <v>0.99999697877100657</v>
      </c>
      <c r="L338" s="3">
        <f t="shared" si="77"/>
        <v>-3.0212335573487794E-6</v>
      </c>
      <c r="M338" s="9">
        <f t="shared" si="73"/>
        <v>0.64822134387351782</v>
      </c>
      <c r="N338" s="9">
        <f t="shared" si="74"/>
        <v>0.35177865612648224</v>
      </c>
      <c r="P338">
        <f t="shared" si="75"/>
        <v>230.5</v>
      </c>
      <c r="Q338">
        <f t="shared" si="76"/>
        <v>27</v>
      </c>
    </row>
    <row r="339" spans="1:17" x14ac:dyDescent="0.35">
      <c r="A339">
        <v>2025</v>
      </c>
      <c r="B339" s="6">
        <v>185</v>
      </c>
      <c r="C339" s="3">
        <v>40</v>
      </c>
      <c r="D339" s="3">
        <f t="shared" si="66"/>
        <v>23.125</v>
      </c>
      <c r="E339" s="10">
        <f t="shared" si="67"/>
        <v>0.46250000000000002</v>
      </c>
      <c r="F339" s="10">
        <f t="shared" si="68"/>
        <v>0.8</v>
      </c>
      <c r="G339" s="3">
        <f t="shared" si="69"/>
        <v>63.125</v>
      </c>
      <c r="H339" s="3">
        <f t="shared" si="65"/>
        <v>1</v>
      </c>
      <c r="I339" s="3">
        <f t="shared" si="70"/>
        <v>5.2910423776518403E-2</v>
      </c>
      <c r="J339" s="3">
        <f t="shared" si="71"/>
        <v>1.1433041588683004</v>
      </c>
      <c r="K339" s="3">
        <f t="shared" si="72"/>
        <v>0.99999686421607203</v>
      </c>
      <c r="L339" s="3">
        <f t="shared" si="77"/>
        <v>-3.1357888445462404E-6</v>
      </c>
      <c r="M339" s="9">
        <f t="shared" si="73"/>
        <v>0.63366336633663367</v>
      </c>
      <c r="N339" s="9">
        <f t="shared" si="74"/>
        <v>0.36633663366336633</v>
      </c>
      <c r="P339">
        <f t="shared" si="75"/>
        <v>179.5</v>
      </c>
      <c r="Q339">
        <f t="shared" si="76"/>
        <v>50.5</v>
      </c>
    </row>
    <row r="340" spans="1:17" x14ac:dyDescent="0.35">
      <c r="A340">
        <v>2025</v>
      </c>
      <c r="B340" s="6">
        <v>200</v>
      </c>
      <c r="C340" s="3">
        <v>38</v>
      </c>
      <c r="D340" s="3">
        <f t="shared" si="66"/>
        <v>25</v>
      </c>
      <c r="E340" s="10">
        <f t="shared" si="67"/>
        <v>0.5</v>
      </c>
      <c r="F340" s="10">
        <f t="shared" si="68"/>
        <v>0.76</v>
      </c>
      <c r="G340" s="3">
        <f t="shared" si="69"/>
        <v>63</v>
      </c>
      <c r="H340" s="3">
        <f t="shared" si="65"/>
        <v>1</v>
      </c>
      <c r="I340" s="3">
        <f t="shared" si="70"/>
        <v>0.61481394544884171</v>
      </c>
      <c r="J340" s="3">
        <f t="shared" si="71"/>
        <v>0.88680687018965354</v>
      </c>
      <c r="K340" s="3">
        <f t="shared" si="72"/>
        <v>0.99999703696236231</v>
      </c>
      <c r="L340" s="3">
        <f t="shared" si="77"/>
        <v>-2.9630420274979257E-6</v>
      </c>
      <c r="M340" s="9">
        <f t="shared" si="73"/>
        <v>0.60317460317460314</v>
      </c>
      <c r="N340" s="9">
        <f t="shared" si="74"/>
        <v>0.3968253968253968</v>
      </c>
      <c r="P340">
        <f t="shared" si="75"/>
        <v>85</v>
      </c>
      <c r="Q340">
        <f t="shared" si="76"/>
        <v>103</v>
      </c>
    </row>
    <row r="341" spans="1:17" x14ac:dyDescent="0.35">
      <c r="A341">
        <v>2025</v>
      </c>
      <c r="B341" s="6">
        <v>189</v>
      </c>
      <c r="C341" s="3">
        <v>39</v>
      </c>
      <c r="D341" s="3">
        <f t="shared" si="66"/>
        <v>23.625</v>
      </c>
      <c r="E341" s="10">
        <f t="shared" si="67"/>
        <v>0.47249999999999998</v>
      </c>
      <c r="F341" s="10">
        <f t="shared" si="68"/>
        <v>0.78</v>
      </c>
      <c r="G341" s="3">
        <f t="shared" si="69"/>
        <v>62.625</v>
      </c>
      <c r="H341" s="3">
        <f t="shared" si="65"/>
        <v>1</v>
      </c>
      <c r="I341" s="3">
        <f t="shared" si="70"/>
        <v>0.20275136288913795</v>
      </c>
      <c r="J341" s="3">
        <f t="shared" si="71"/>
        <v>1.015055514528977</v>
      </c>
      <c r="K341" s="3">
        <f t="shared" si="72"/>
        <v>0.9999951770777773</v>
      </c>
      <c r="L341" s="3">
        <f t="shared" si="77"/>
        <v>-4.8229338530293081E-6</v>
      </c>
      <c r="M341" s="9">
        <f t="shared" si="73"/>
        <v>0.6227544910179641</v>
      </c>
      <c r="N341" s="9">
        <f t="shared" si="74"/>
        <v>0.3772455089820359</v>
      </c>
      <c r="P341">
        <f t="shared" si="75"/>
        <v>150</v>
      </c>
      <c r="Q341">
        <f t="shared" si="76"/>
        <v>76.5</v>
      </c>
    </row>
    <row r="342" spans="1:17" x14ac:dyDescent="0.35">
      <c r="A342">
        <v>2025</v>
      </c>
      <c r="B342" s="6">
        <v>192</v>
      </c>
      <c r="C342" s="3">
        <v>38</v>
      </c>
      <c r="D342" s="3">
        <f t="shared" si="66"/>
        <v>24</v>
      </c>
      <c r="E342" s="10">
        <f t="shared" si="67"/>
        <v>0.48</v>
      </c>
      <c r="F342" s="10">
        <f t="shared" si="68"/>
        <v>0.76</v>
      </c>
      <c r="G342" s="3">
        <f t="shared" si="69"/>
        <v>62</v>
      </c>
      <c r="H342" s="3">
        <f t="shared" si="65"/>
        <v>1</v>
      </c>
      <c r="I342" s="3">
        <f t="shared" si="70"/>
        <v>0.31513206722360265</v>
      </c>
      <c r="J342" s="3">
        <f t="shared" si="71"/>
        <v>0.88680687018965354</v>
      </c>
      <c r="K342" s="3">
        <f t="shared" si="72"/>
        <v>0.99999154316904093</v>
      </c>
      <c r="L342" s="3">
        <f t="shared" si="77"/>
        <v>-8.4568667182658913E-6</v>
      </c>
      <c r="M342" s="9">
        <f t="shared" si="73"/>
        <v>0.61290322580645162</v>
      </c>
      <c r="N342" s="9">
        <f t="shared" si="74"/>
        <v>0.38709677419354838</v>
      </c>
      <c r="P342">
        <f t="shared" si="75"/>
        <v>129.5</v>
      </c>
      <c r="Q342">
        <f t="shared" si="76"/>
        <v>103</v>
      </c>
    </row>
    <row r="343" spans="1:17" x14ac:dyDescent="0.35">
      <c r="A343">
        <v>2025</v>
      </c>
      <c r="B343" s="6">
        <v>175</v>
      </c>
      <c r="C343" s="3">
        <v>40</v>
      </c>
      <c r="D343" s="3">
        <f t="shared" si="66"/>
        <v>21.875</v>
      </c>
      <c r="E343" s="10">
        <f t="shared" si="67"/>
        <v>0.4375</v>
      </c>
      <c r="F343" s="10">
        <f t="shared" si="68"/>
        <v>0.8</v>
      </c>
      <c r="G343" s="3">
        <f t="shared" si="69"/>
        <v>61.875</v>
      </c>
      <c r="H343" s="3">
        <f t="shared" si="65"/>
        <v>1</v>
      </c>
      <c r="I343" s="3">
        <f t="shared" si="70"/>
        <v>-0.32169192400503049</v>
      </c>
      <c r="J343" s="3">
        <f t="shared" si="71"/>
        <v>1.1433041588683004</v>
      </c>
      <c r="K343" s="3">
        <f t="shared" si="72"/>
        <v>0.99998836721975148</v>
      </c>
      <c r="L343" s="3">
        <f t="shared" si="77"/>
        <v>-1.1632847909828987E-5</v>
      </c>
      <c r="M343" s="9">
        <f t="shared" si="73"/>
        <v>0.64646464646464652</v>
      </c>
      <c r="N343" s="9">
        <f t="shared" si="74"/>
        <v>0.35353535353535354</v>
      </c>
      <c r="P343">
        <f t="shared" si="75"/>
        <v>254</v>
      </c>
      <c r="Q343">
        <f t="shared" si="76"/>
        <v>50.5</v>
      </c>
    </row>
    <row r="344" spans="1:17" x14ac:dyDescent="0.35">
      <c r="A344">
        <v>2025</v>
      </c>
      <c r="B344" s="6">
        <v>191</v>
      </c>
      <c r="C344" s="3">
        <v>38</v>
      </c>
      <c r="D344" s="3">
        <f t="shared" si="66"/>
        <v>23.875</v>
      </c>
      <c r="E344" s="10">
        <f t="shared" si="67"/>
        <v>0.47749999999999998</v>
      </c>
      <c r="F344" s="10">
        <f t="shared" si="68"/>
        <v>0.76</v>
      </c>
      <c r="G344" s="3">
        <f t="shared" si="69"/>
        <v>61.875</v>
      </c>
      <c r="H344" s="3">
        <f t="shared" si="65"/>
        <v>1</v>
      </c>
      <c r="I344" s="3">
        <f t="shared" si="70"/>
        <v>0.27767183244544774</v>
      </c>
      <c r="J344" s="3">
        <f t="shared" si="71"/>
        <v>0.88680687018965354</v>
      </c>
      <c r="K344" s="3">
        <f t="shared" si="72"/>
        <v>0.99999035857463558</v>
      </c>
      <c r="L344" s="3">
        <f t="shared" si="77"/>
        <v>-9.6414718432553122E-6</v>
      </c>
      <c r="M344" s="9">
        <f t="shared" si="73"/>
        <v>0.6141414141414141</v>
      </c>
      <c r="N344" s="9">
        <f t="shared" si="74"/>
        <v>0.38585858585858585</v>
      </c>
      <c r="P344">
        <f t="shared" si="75"/>
        <v>137.5</v>
      </c>
      <c r="Q344">
        <f t="shared" si="76"/>
        <v>103</v>
      </c>
    </row>
    <row r="345" spans="1:17" x14ac:dyDescent="0.35">
      <c r="A345">
        <v>2025</v>
      </c>
      <c r="B345" s="6">
        <v>174</v>
      </c>
      <c r="C345" s="3">
        <v>40</v>
      </c>
      <c r="D345" s="3">
        <f t="shared" si="66"/>
        <v>21.75</v>
      </c>
      <c r="E345" s="10">
        <f t="shared" si="67"/>
        <v>0.435</v>
      </c>
      <c r="F345" s="10">
        <f t="shared" si="68"/>
        <v>0.8</v>
      </c>
      <c r="G345" s="3">
        <f t="shared" si="69"/>
        <v>61.75</v>
      </c>
      <c r="H345" s="3">
        <f t="shared" si="65"/>
        <v>1</v>
      </c>
      <c r="I345" s="3">
        <f t="shared" si="70"/>
        <v>-0.3591521587831854</v>
      </c>
      <c r="J345" s="3">
        <f t="shared" si="71"/>
        <v>1.1433041588683004</v>
      </c>
      <c r="K345" s="3">
        <f t="shared" si="72"/>
        <v>0.99998673775871894</v>
      </c>
      <c r="L345" s="3">
        <f t="shared" si="77"/>
        <v>-1.3262329225364026E-5</v>
      </c>
      <c r="M345" s="9">
        <f t="shared" si="73"/>
        <v>0.64777327935222673</v>
      </c>
      <c r="N345" s="9">
        <f t="shared" si="74"/>
        <v>0.35222672064777327</v>
      </c>
      <c r="P345">
        <f t="shared" si="75"/>
        <v>261</v>
      </c>
      <c r="Q345">
        <f t="shared" si="76"/>
        <v>50.5</v>
      </c>
    </row>
    <row r="346" spans="1:17" x14ac:dyDescent="0.35">
      <c r="A346">
        <v>2025</v>
      </c>
      <c r="B346" s="6">
        <v>180</v>
      </c>
      <c r="C346" s="3">
        <v>39</v>
      </c>
      <c r="D346" s="3">
        <f t="shared" si="66"/>
        <v>22.5</v>
      </c>
      <c r="E346" s="10">
        <f t="shared" si="67"/>
        <v>0.45</v>
      </c>
      <c r="F346" s="10">
        <f t="shared" si="68"/>
        <v>0.78</v>
      </c>
      <c r="G346" s="3">
        <f t="shared" si="69"/>
        <v>61.5</v>
      </c>
      <c r="H346" s="3">
        <f t="shared" si="65"/>
        <v>1</v>
      </c>
      <c r="I346" s="3">
        <f t="shared" si="70"/>
        <v>-0.13439075011425605</v>
      </c>
      <c r="J346" s="3">
        <f t="shared" si="71"/>
        <v>1.015055514528977</v>
      </c>
      <c r="K346" s="3">
        <f t="shared" si="72"/>
        <v>0.99998430676373118</v>
      </c>
      <c r="L346" s="3">
        <f t="shared" si="77"/>
        <v>-1.5693359408941739E-5</v>
      </c>
      <c r="M346" s="9">
        <f t="shared" si="73"/>
        <v>0.63414634146341464</v>
      </c>
      <c r="N346" s="9">
        <f t="shared" si="74"/>
        <v>0.36585365853658536</v>
      </c>
      <c r="P346">
        <f t="shared" si="75"/>
        <v>216.5</v>
      </c>
      <c r="Q346">
        <f t="shared" si="76"/>
        <v>76.5</v>
      </c>
    </row>
    <row r="347" spans="1:17" x14ac:dyDescent="0.35">
      <c r="A347">
        <v>2025</v>
      </c>
      <c r="B347" s="6">
        <v>233</v>
      </c>
      <c r="C347" s="3">
        <v>32</v>
      </c>
      <c r="D347" s="3">
        <f t="shared" si="66"/>
        <v>29.125</v>
      </c>
      <c r="E347" s="10">
        <f t="shared" si="67"/>
        <v>0.58250000000000002</v>
      </c>
      <c r="F347" s="10">
        <f t="shared" si="68"/>
        <v>0.64</v>
      </c>
      <c r="G347" s="3">
        <f t="shared" si="69"/>
        <v>61.125</v>
      </c>
      <c r="H347" s="3">
        <f t="shared" si="65"/>
        <v>1</v>
      </c>
      <c r="I347" s="3">
        <f t="shared" si="70"/>
        <v>1.8510016931279532</v>
      </c>
      <c r="J347" s="3">
        <f t="shared" si="71"/>
        <v>0.11731500415371279</v>
      </c>
      <c r="K347" s="3">
        <f t="shared" si="72"/>
        <v>0.99998794643786171</v>
      </c>
      <c r="L347" s="3">
        <f t="shared" si="77"/>
        <v>-1.2053634783056092E-5</v>
      </c>
      <c r="M347" s="9">
        <f t="shared" si="73"/>
        <v>0.52351738241308798</v>
      </c>
      <c r="N347" s="9">
        <f t="shared" si="74"/>
        <v>0.47648261758691207</v>
      </c>
      <c r="P347">
        <f t="shared" si="75"/>
        <v>20</v>
      </c>
      <c r="Q347">
        <f t="shared" si="76"/>
        <v>222</v>
      </c>
    </row>
    <row r="348" spans="1:17" x14ac:dyDescent="0.35">
      <c r="A348">
        <v>2025</v>
      </c>
      <c r="B348" s="6">
        <v>177</v>
      </c>
      <c r="C348" s="3">
        <v>39</v>
      </c>
      <c r="D348" s="3">
        <f t="shared" si="66"/>
        <v>22.125</v>
      </c>
      <c r="E348" s="10">
        <f t="shared" si="67"/>
        <v>0.4425</v>
      </c>
      <c r="F348" s="10">
        <f t="shared" si="68"/>
        <v>0.78</v>
      </c>
      <c r="G348" s="3">
        <f t="shared" si="69"/>
        <v>61.125</v>
      </c>
      <c r="H348" s="3">
        <f t="shared" si="65"/>
        <v>1</v>
      </c>
      <c r="I348" s="3">
        <f t="shared" si="70"/>
        <v>-0.2467714544487207</v>
      </c>
      <c r="J348" s="3">
        <f t="shared" si="71"/>
        <v>1.015055514528977</v>
      </c>
      <c r="K348" s="3">
        <f t="shared" si="72"/>
        <v>0.99997674525644453</v>
      </c>
      <c r="L348" s="3">
        <f t="shared" si="77"/>
        <v>-2.3255013951208441E-5</v>
      </c>
      <c r="M348" s="9">
        <f t="shared" si="73"/>
        <v>0.6380368098159509</v>
      </c>
      <c r="N348" s="9">
        <f t="shared" si="74"/>
        <v>0.3619631901840491</v>
      </c>
      <c r="P348">
        <f t="shared" si="75"/>
        <v>237.5</v>
      </c>
      <c r="Q348">
        <f t="shared" si="76"/>
        <v>76.5</v>
      </c>
    </row>
    <row r="349" spans="1:17" x14ac:dyDescent="0.35">
      <c r="A349">
        <v>2025</v>
      </c>
      <c r="B349" s="6">
        <v>176</v>
      </c>
      <c r="C349" s="3">
        <v>39</v>
      </c>
      <c r="D349" s="3">
        <f t="shared" si="66"/>
        <v>22</v>
      </c>
      <c r="E349" s="10">
        <f t="shared" si="67"/>
        <v>0.44</v>
      </c>
      <c r="F349" s="10">
        <f t="shared" si="68"/>
        <v>0.78</v>
      </c>
      <c r="G349" s="3">
        <f t="shared" si="69"/>
        <v>61</v>
      </c>
      <c r="H349" s="3">
        <f t="shared" si="65"/>
        <v>1</v>
      </c>
      <c r="I349" s="3">
        <f t="shared" si="70"/>
        <v>-0.28423168922687558</v>
      </c>
      <c r="J349" s="3">
        <f t="shared" si="71"/>
        <v>1.015055514528977</v>
      </c>
      <c r="K349" s="3">
        <f t="shared" si="72"/>
        <v>0.99997348789272278</v>
      </c>
      <c r="L349" s="3">
        <f t="shared" si="77"/>
        <v>-2.6512458729349174E-5</v>
      </c>
      <c r="M349" s="9">
        <f t="shared" si="73"/>
        <v>0.63934426229508201</v>
      </c>
      <c r="N349" s="9">
        <f t="shared" si="74"/>
        <v>0.36065573770491804</v>
      </c>
      <c r="P349">
        <f t="shared" si="75"/>
        <v>245.5</v>
      </c>
      <c r="Q349">
        <f t="shared" si="76"/>
        <v>76.5</v>
      </c>
    </row>
    <row r="350" spans="1:17" x14ac:dyDescent="0.35">
      <c r="A350">
        <v>2025</v>
      </c>
      <c r="B350" s="6">
        <v>184</v>
      </c>
      <c r="C350" s="3">
        <v>38</v>
      </c>
      <c r="D350" s="3">
        <f t="shared" si="66"/>
        <v>23</v>
      </c>
      <c r="E350" s="10">
        <f t="shared" si="67"/>
        <v>0.46</v>
      </c>
      <c r="F350" s="10">
        <f t="shared" si="68"/>
        <v>0.76</v>
      </c>
      <c r="G350" s="3">
        <f t="shared" si="69"/>
        <v>61</v>
      </c>
      <c r="H350" s="3">
        <f t="shared" ref="H350:H413" si="78">IF(G350&gt;=50,1,0)</f>
        <v>1</v>
      </c>
      <c r="I350" s="3">
        <f t="shared" si="70"/>
        <v>1.5450188998363515E-2</v>
      </c>
      <c r="J350" s="3">
        <f t="shared" si="71"/>
        <v>0.88680687018965354</v>
      </c>
      <c r="K350" s="3">
        <f t="shared" si="72"/>
        <v>0.99997586353258749</v>
      </c>
      <c r="L350" s="3">
        <f t="shared" si="77"/>
        <v>-2.413675870172224E-5</v>
      </c>
      <c r="M350" s="9">
        <f t="shared" si="73"/>
        <v>0.62295081967213117</v>
      </c>
      <c r="N350" s="9">
        <f t="shared" si="74"/>
        <v>0.37704918032786883</v>
      </c>
      <c r="P350">
        <f t="shared" si="75"/>
        <v>188.5</v>
      </c>
      <c r="Q350">
        <f t="shared" si="76"/>
        <v>103</v>
      </c>
    </row>
    <row r="351" spans="1:17" x14ac:dyDescent="0.35">
      <c r="A351">
        <v>2025</v>
      </c>
      <c r="B351" s="6">
        <v>166</v>
      </c>
      <c r="C351" s="3">
        <v>40</v>
      </c>
      <c r="D351" s="3">
        <f t="shared" si="66"/>
        <v>20.75</v>
      </c>
      <c r="E351" s="10">
        <f t="shared" si="67"/>
        <v>0.41499999999999998</v>
      </c>
      <c r="F351" s="10">
        <f t="shared" si="68"/>
        <v>0.8</v>
      </c>
      <c r="G351" s="3">
        <f t="shared" si="69"/>
        <v>60.75</v>
      </c>
      <c r="H351" s="3">
        <f t="shared" si="78"/>
        <v>1</v>
      </c>
      <c r="I351" s="3">
        <f t="shared" si="70"/>
        <v>-0.65883403700842447</v>
      </c>
      <c r="J351" s="3">
        <f t="shared" si="71"/>
        <v>1.1433041588683004</v>
      </c>
      <c r="K351" s="3">
        <f t="shared" si="72"/>
        <v>0.99996214884700285</v>
      </c>
      <c r="L351" s="3">
        <f t="shared" si="77"/>
        <v>-3.7851869370116831E-5</v>
      </c>
      <c r="M351" s="9">
        <f t="shared" si="73"/>
        <v>0.65843621399176955</v>
      </c>
      <c r="N351" s="9">
        <f t="shared" si="74"/>
        <v>0.34156378600823045</v>
      </c>
      <c r="P351">
        <f t="shared" si="75"/>
        <v>334.5</v>
      </c>
      <c r="Q351">
        <f t="shared" si="76"/>
        <v>50.5</v>
      </c>
    </row>
    <row r="352" spans="1:17" x14ac:dyDescent="0.35">
      <c r="A352">
        <v>2025</v>
      </c>
      <c r="B352" s="6">
        <v>190</v>
      </c>
      <c r="C352" s="3">
        <v>37</v>
      </c>
      <c r="D352" s="3">
        <f t="shared" si="66"/>
        <v>23.75</v>
      </c>
      <c r="E352" s="10">
        <f t="shared" si="67"/>
        <v>0.47499999999999998</v>
      </c>
      <c r="F352" s="10">
        <f t="shared" si="68"/>
        <v>0.74</v>
      </c>
      <c r="G352" s="3">
        <f t="shared" si="69"/>
        <v>60.75</v>
      </c>
      <c r="H352" s="3">
        <f t="shared" si="78"/>
        <v>1</v>
      </c>
      <c r="I352" s="3">
        <f t="shared" si="70"/>
        <v>0.24021159766729286</v>
      </c>
      <c r="J352" s="3">
        <f t="shared" si="71"/>
        <v>0.75855822585033006</v>
      </c>
      <c r="K352" s="3">
        <f t="shared" si="72"/>
        <v>0.9999714393274296</v>
      </c>
      <c r="L352" s="3">
        <f t="shared" si="77"/>
        <v>-2.8561080434173834E-5</v>
      </c>
      <c r="M352" s="9">
        <f t="shared" si="73"/>
        <v>0.60905349794238683</v>
      </c>
      <c r="N352" s="9">
        <f t="shared" si="74"/>
        <v>0.39094650205761317</v>
      </c>
      <c r="P352">
        <f t="shared" si="75"/>
        <v>145</v>
      </c>
      <c r="Q352">
        <f t="shared" si="76"/>
        <v>128</v>
      </c>
    </row>
    <row r="353" spans="1:17" x14ac:dyDescent="0.35">
      <c r="A353">
        <v>2025</v>
      </c>
      <c r="B353" s="6">
        <v>158</v>
      </c>
      <c r="C353" s="3">
        <v>41</v>
      </c>
      <c r="D353" s="3">
        <f t="shared" si="66"/>
        <v>19.75</v>
      </c>
      <c r="E353" s="10">
        <f t="shared" si="67"/>
        <v>0.39500000000000002</v>
      </c>
      <c r="F353" s="10">
        <f t="shared" si="68"/>
        <v>0.82</v>
      </c>
      <c r="G353" s="3">
        <f t="shared" si="69"/>
        <v>60.75</v>
      </c>
      <c r="H353" s="3">
        <f t="shared" si="78"/>
        <v>1</v>
      </c>
      <c r="I353" s="3">
        <f t="shared" si="70"/>
        <v>-0.95851591523366364</v>
      </c>
      <c r="J353" s="3">
        <f t="shared" si="71"/>
        <v>1.271552803207624</v>
      </c>
      <c r="K353" s="3">
        <f t="shared" si="72"/>
        <v>0.99995842339075414</v>
      </c>
      <c r="L353" s="3">
        <f t="shared" si="77"/>
        <v>-4.1577473577039175E-5</v>
      </c>
      <c r="M353" s="9">
        <f t="shared" si="73"/>
        <v>0.67489711934156382</v>
      </c>
      <c r="N353" s="9">
        <f t="shared" si="74"/>
        <v>0.32510288065843623</v>
      </c>
      <c r="P353">
        <f t="shared" si="75"/>
        <v>380.5</v>
      </c>
      <c r="Q353">
        <f t="shared" si="76"/>
        <v>27</v>
      </c>
    </row>
    <row r="354" spans="1:17" x14ac:dyDescent="0.35">
      <c r="A354">
        <v>2025</v>
      </c>
      <c r="B354" s="6">
        <v>166</v>
      </c>
      <c r="C354" s="3">
        <v>40</v>
      </c>
      <c r="D354" s="3">
        <f t="shared" si="66"/>
        <v>20.75</v>
      </c>
      <c r="E354" s="10">
        <f t="shared" si="67"/>
        <v>0.41499999999999998</v>
      </c>
      <c r="F354" s="10">
        <f t="shared" si="68"/>
        <v>0.8</v>
      </c>
      <c r="G354" s="3">
        <f t="shared" si="69"/>
        <v>60.75</v>
      </c>
      <c r="H354" s="3">
        <f t="shared" si="78"/>
        <v>1</v>
      </c>
      <c r="I354" s="3">
        <f t="shared" si="70"/>
        <v>-0.65883403700842447</v>
      </c>
      <c r="J354" s="3">
        <f t="shared" si="71"/>
        <v>1.1433041588683004</v>
      </c>
      <c r="K354" s="3">
        <f t="shared" si="72"/>
        <v>0.99996214884700285</v>
      </c>
      <c r="L354" s="3">
        <f t="shared" si="77"/>
        <v>-3.7851869370116831E-5</v>
      </c>
      <c r="M354" s="9">
        <f t="shared" si="73"/>
        <v>0.65843621399176955</v>
      </c>
      <c r="N354" s="9">
        <f t="shared" si="74"/>
        <v>0.34156378600823045</v>
      </c>
      <c r="P354">
        <f t="shared" si="75"/>
        <v>334.5</v>
      </c>
      <c r="Q354">
        <f t="shared" si="76"/>
        <v>50.5</v>
      </c>
    </row>
    <row r="355" spans="1:17" x14ac:dyDescent="0.35">
      <c r="A355">
        <v>2025</v>
      </c>
      <c r="B355" s="6">
        <v>172</v>
      </c>
      <c r="C355" s="3">
        <v>39</v>
      </c>
      <c r="D355" s="3">
        <f t="shared" si="66"/>
        <v>21.5</v>
      </c>
      <c r="E355" s="10">
        <f t="shared" si="67"/>
        <v>0.43</v>
      </c>
      <c r="F355" s="10">
        <f t="shared" si="68"/>
        <v>0.78</v>
      </c>
      <c r="G355" s="3">
        <f t="shared" si="69"/>
        <v>60.5</v>
      </c>
      <c r="H355" s="3">
        <f t="shared" si="78"/>
        <v>1</v>
      </c>
      <c r="I355" s="3">
        <f t="shared" si="70"/>
        <v>-0.43407262833949517</v>
      </c>
      <c r="J355" s="3">
        <f t="shared" si="71"/>
        <v>1.015055514528977</v>
      </c>
      <c r="K355" s="3">
        <f t="shared" si="72"/>
        <v>0.99995521085787009</v>
      </c>
      <c r="L355" s="3">
        <f t="shared" si="77"/>
        <v>-4.4790145193485859E-5</v>
      </c>
      <c r="M355" s="9">
        <f t="shared" si="73"/>
        <v>0.64462809917355368</v>
      </c>
      <c r="N355" s="9">
        <f t="shared" si="74"/>
        <v>0.35537190082644626</v>
      </c>
      <c r="P355">
        <f t="shared" si="75"/>
        <v>271</v>
      </c>
      <c r="Q355">
        <f t="shared" si="76"/>
        <v>76.5</v>
      </c>
    </row>
    <row r="356" spans="1:17" x14ac:dyDescent="0.35">
      <c r="A356">
        <v>2025</v>
      </c>
      <c r="B356" s="6">
        <v>162</v>
      </c>
      <c r="C356" s="3">
        <v>40</v>
      </c>
      <c r="D356" s="3">
        <f t="shared" si="66"/>
        <v>20.25</v>
      </c>
      <c r="E356" s="10">
        <f t="shared" si="67"/>
        <v>0.40500000000000003</v>
      </c>
      <c r="F356" s="10">
        <f t="shared" si="68"/>
        <v>0.8</v>
      </c>
      <c r="G356" s="3">
        <f t="shared" si="69"/>
        <v>60.25</v>
      </c>
      <c r="H356" s="3">
        <f t="shared" si="78"/>
        <v>1</v>
      </c>
      <c r="I356" s="3">
        <f t="shared" si="70"/>
        <v>-0.808674976121044</v>
      </c>
      <c r="J356" s="3">
        <f t="shared" si="71"/>
        <v>1.1433041588683004</v>
      </c>
      <c r="K356" s="3">
        <f t="shared" si="72"/>
        <v>0.99993605535006613</v>
      </c>
      <c r="L356" s="3">
        <f t="shared" si="77"/>
        <v>-6.394669448015352E-5</v>
      </c>
      <c r="M356" s="9">
        <f t="shared" si="73"/>
        <v>0.66390041493775931</v>
      </c>
      <c r="N356" s="9">
        <f t="shared" si="74"/>
        <v>0.33609958506224069</v>
      </c>
      <c r="P356">
        <f t="shared" si="75"/>
        <v>364.5</v>
      </c>
      <c r="Q356">
        <f t="shared" si="76"/>
        <v>50.5</v>
      </c>
    </row>
    <row r="357" spans="1:17" x14ac:dyDescent="0.35">
      <c r="A357">
        <v>2025</v>
      </c>
      <c r="B357" s="6">
        <v>178</v>
      </c>
      <c r="C357" s="3">
        <v>38</v>
      </c>
      <c r="D357" s="3">
        <f t="shared" si="66"/>
        <v>22.25</v>
      </c>
      <c r="E357" s="10">
        <f t="shared" si="67"/>
        <v>0.44500000000000001</v>
      </c>
      <c r="F357" s="10">
        <f t="shared" si="68"/>
        <v>0.76</v>
      </c>
      <c r="G357" s="3">
        <f t="shared" si="69"/>
        <v>60.25</v>
      </c>
      <c r="H357" s="3">
        <f t="shared" si="78"/>
        <v>1</v>
      </c>
      <c r="I357" s="3">
        <f t="shared" si="70"/>
        <v>-0.20931121967056582</v>
      </c>
      <c r="J357" s="3">
        <f t="shared" si="71"/>
        <v>0.88680687018965354</v>
      </c>
      <c r="K357" s="3">
        <f t="shared" si="72"/>
        <v>0.99994700122604818</v>
      </c>
      <c r="L357" s="3">
        <f t="shared" si="77"/>
        <v>-5.3000178436462242E-5</v>
      </c>
      <c r="M357" s="9">
        <f t="shared" si="73"/>
        <v>0.63070539419087135</v>
      </c>
      <c r="N357" s="9">
        <f t="shared" si="74"/>
        <v>0.36929460580912865</v>
      </c>
      <c r="P357">
        <f t="shared" si="75"/>
        <v>230.5</v>
      </c>
      <c r="Q357">
        <f t="shared" si="76"/>
        <v>103</v>
      </c>
    </row>
    <row r="358" spans="1:17" x14ac:dyDescent="0.35">
      <c r="A358">
        <v>2025</v>
      </c>
      <c r="B358" s="6">
        <v>161</v>
      </c>
      <c r="C358" s="3">
        <v>40</v>
      </c>
      <c r="D358" s="3">
        <f t="shared" si="66"/>
        <v>20.125</v>
      </c>
      <c r="E358" s="10">
        <f t="shared" si="67"/>
        <v>0.40250000000000002</v>
      </c>
      <c r="F358" s="10">
        <f t="shared" si="68"/>
        <v>0.8</v>
      </c>
      <c r="G358" s="3">
        <f t="shared" si="69"/>
        <v>60.125</v>
      </c>
      <c r="H358" s="3">
        <f t="shared" si="78"/>
        <v>1</v>
      </c>
      <c r="I358" s="3">
        <f t="shared" si="70"/>
        <v>-0.84613521089919896</v>
      </c>
      <c r="J358" s="3">
        <f t="shared" si="71"/>
        <v>1.1433041588683004</v>
      </c>
      <c r="K358" s="3">
        <f t="shared" si="72"/>
        <v>0.99992709884105402</v>
      </c>
      <c r="L358" s="3">
        <f t="shared" si="77"/>
        <v>-7.290381636462281E-5</v>
      </c>
      <c r="M358" s="9">
        <f t="shared" si="73"/>
        <v>0.66528066528066532</v>
      </c>
      <c r="N358" s="9">
        <f t="shared" si="74"/>
        <v>0.33471933471933474</v>
      </c>
      <c r="P358">
        <f t="shared" si="75"/>
        <v>370</v>
      </c>
      <c r="Q358">
        <f t="shared" si="76"/>
        <v>50.5</v>
      </c>
    </row>
    <row r="359" spans="1:17" x14ac:dyDescent="0.35">
      <c r="A359">
        <v>2025</v>
      </c>
      <c r="B359" s="6">
        <v>225</v>
      </c>
      <c r="C359" s="3">
        <v>31</v>
      </c>
      <c r="D359" s="3">
        <f t="shared" si="66"/>
        <v>28.125</v>
      </c>
      <c r="E359" s="10">
        <f t="shared" si="67"/>
        <v>0.5625</v>
      </c>
      <c r="F359" s="10">
        <f t="shared" si="68"/>
        <v>0.62</v>
      </c>
      <c r="G359" s="3">
        <f t="shared" si="69"/>
        <v>59.125</v>
      </c>
      <c r="H359" s="3">
        <f t="shared" si="78"/>
        <v>1</v>
      </c>
      <c r="I359" s="3">
        <f t="shared" si="70"/>
        <v>1.5513198149027139</v>
      </c>
      <c r="J359" s="3">
        <f t="shared" si="71"/>
        <v>-1.0933640185610671E-2</v>
      </c>
      <c r="K359" s="3">
        <f t="shared" si="72"/>
        <v>0.99991061678163029</v>
      </c>
      <c r="L359" s="3">
        <f t="shared" si="77"/>
        <v>-8.9387213287626889E-5</v>
      </c>
      <c r="M359" s="9">
        <f t="shared" si="73"/>
        <v>0.52431289640591972</v>
      </c>
      <c r="N359" s="9">
        <f t="shared" si="74"/>
        <v>0.47568710359408034</v>
      </c>
      <c r="P359">
        <f t="shared" si="75"/>
        <v>32</v>
      </c>
      <c r="Q359">
        <f t="shared" si="76"/>
        <v>239.5</v>
      </c>
    </row>
    <row r="360" spans="1:17" x14ac:dyDescent="0.35">
      <c r="A360">
        <v>2025</v>
      </c>
      <c r="B360" s="6">
        <v>169</v>
      </c>
      <c r="C360" s="3">
        <v>38</v>
      </c>
      <c r="D360" s="3">
        <f t="shared" si="66"/>
        <v>21.125</v>
      </c>
      <c r="E360" s="10">
        <f t="shared" si="67"/>
        <v>0.42249999999999999</v>
      </c>
      <c r="F360" s="10">
        <f t="shared" si="68"/>
        <v>0.76</v>
      </c>
      <c r="G360" s="3">
        <f t="shared" si="69"/>
        <v>59.125</v>
      </c>
      <c r="H360" s="3">
        <f t="shared" si="78"/>
        <v>1</v>
      </c>
      <c r="I360" s="3">
        <f t="shared" si="70"/>
        <v>-0.54645333267395979</v>
      </c>
      <c r="J360" s="3">
        <f t="shared" si="71"/>
        <v>0.88680687018965354</v>
      </c>
      <c r="K360" s="3">
        <f t="shared" si="72"/>
        <v>0.99982756678591078</v>
      </c>
      <c r="L360" s="3">
        <f t="shared" si="77"/>
        <v>-1.7244808240509765E-4</v>
      </c>
      <c r="M360" s="9">
        <f t="shared" si="73"/>
        <v>0.64270613107822405</v>
      </c>
      <c r="N360" s="9">
        <f t="shared" si="74"/>
        <v>0.35729386892177589</v>
      </c>
      <c r="P360">
        <f t="shared" si="75"/>
        <v>299</v>
      </c>
      <c r="Q360">
        <f t="shared" si="76"/>
        <v>103</v>
      </c>
    </row>
    <row r="361" spans="1:17" x14ac:dyDescent="0.35">
      <c r="A361">
        <v>2025</v>
      </c>
      <c r="B361" s="6">
        <v>168</v>
      </c>
      <c r="C361" s="3">
        <v>38</v>
      </c>
      <c r="D361" s="3">
        <f t="shared" si="66"/>
        <v>21</v>
      </c>
      <c r="E361" s="10">
        <f t="shared" si="67"/>
        <v>0.42</v>
      </c>
      <c r="F361" s="10">
        <f t="shared" si="68"/>
        <v>0.76</v>
      </c>
      <c r="G361" s="3">
        <f t="shared" si="69"/>
        <v>59</v>
      </c>
      <c r="H361" s="3">
        <f t="shared" si="78"/>
        <v>1</v>
      </c>
      <c r="I361" s="3">
        <f t="shared" si="70"/>
        <v>-0.58391356745211476</v>
      </c>
      <c r="J361" s="3">
        <f t="shared" si="71"/>
        <v>0.88680687018965354</v>
      </c>
      <c r="K361" s="3">
        <f t="shared" si="72"/>
        <v>0.99980341764113534</v>
      </c>
      <c r="L361" s="3">
        <f t="shared" si="77"/>
        <v>-1.9660168370922649E-4</v>
      </c>
      <c r="M361" s="9">
        <f t="shared" si="73"/>
        <v>0.64406779661016944</v>
      </c>
      <c r="N361" s="9">
        <f t="shared" si="74"/>
        <v>0.3559322033898305</v>
      </c>
      <c r="P361">
        <f t="shared" si="75"/>
        <v>311.5</v>
      </c>
      <c r="Q361">
        <f t="shared" si="76"/>
        <v>103</v>
      </c>
    </row>
    <row r="362" spans="1:17" x14ac:dyDescent="0.35">
      <c r="A362">
        <v>2025</v>
      </c>
      <c r="B362" s="6">
        <v>232</v>
      </c>
      <c r="C362" s="3">
        <v>30</v>
      </c>
      <c r="D362" s="3">
        <f t="shared" si="66"/>
        <v>29</v>
      </c>
      <c r="E362" s="10">
        <f t="shared" si="67"/>
        <v>0.57999999999999996</v>
      </c>
      <c r="F362" s="10">
        <f t="shared" si="68"/>
        <v>0.6</v>
      </c>
      <c r="G362" s="3">
        <f t="shared" si="69"/>
        <v>59</v>
      </c>
      <c r="H362" s="3">
        <f t="shared" si="78"/>
        <v>1</v>
      </c>
      <c r="I362" s="3">
        <f t="shared" si="70"/>
        <v>1.8135414583497982</v>
      </c>
      <c r="J362" s="3">
        <f t="shared" si="71"/>
        <v>-0.13918228452493411</v>
      </c>
      <c r="K362" s="3">
        <f t="shared" si="72"/>
        <v>0.99990722797166665</v>
      </c>
      <c r="L362" s="3">
        <f t="shared" si="77"/>
        <v>-9.2776331924145566E-5</v>
      </c>
      <c r="M362" s="9">
        <f t="shared" si="73"/>
        <v>0.50847457627118642</v>
      </c>
      <c r="N362" s="9">
        <f t="shared" si="74"/>
        <v>0.49152542372881358</v>
      </c>
      <c r="P362">
        <f t="shared" si="75"/>
        <v>23</v>
      </c>
      <c r="Q362">
        <f t="shared" si="76"/>
        <v>259</v>
      </c>
    </row>
    <row r="363" spans="1:17" x14ac:dyDescent="0.35">
      <c r="A363">
        <v>2025</v>
      </c>
      <c r="B363" s="6">
        <v>166</v>
      </c>
      <c r="C363" s="3">
        <v>38</v>
      </c>
      <c r="D363" s="3">
        <f t="shared" si="66"/>
        <v>20.75</v>
      </c>
      <c r="E363" s="10">
        <f t="shared" si="67"/>
        <v>0.41499999999999998</v>
      </c>
      <c r="F363" s="10">
        <f t="shared" si="68"/>
        <v>0.76</v>
      </c>
      <c r="G363" s="3">
        <f t="shared" si="69"/>
        <v>58.75</v>
      </c>
      <c r="H363" s="3">
        <f t="shared" si="78"/>
        <v>1</v>
      </c>
      <c r="I363" s="3">
        <f t="shared" si="70"/>
        <v>-0.65883403700842447</v>
      </c>
      <c r="J363" s="3">
        <f t="shared" si="71"/>
        <v>0.88680687018965354</v>
      </c>
      <c r="K363" s="3">
        <f t="shared" si="72"/>
        <v>0.99974450219909605</v>
      </c>
      <c r="L363" s="3">
        <f t="shared" si="77"/>
        <v>-2.5553044602770437E-4</v>
      </c>
      <c r="M363" s="9">
        <f t="shared" si="73"/>
        <v>0.64680851063829792</v>
      </c>
      <c r="N363" s="9">
        <f t="shared" si="74"/>
        <v>0.35319148936170214</v>
      </c>
      <c r="P363">
        <f t="shared" si="75"/>
        <v>334.5</v>
      </c>
      <c r="Q363">
        <f t="shared" si="76"/>
        <v>103</v>
      </c>
    </row>
    <row r="364" spans="1:17" x14ac:dyDescent="0.35">
      <c r="A364">
        <v>2025</v>
      </c>
      <c r="B364" s="6">
        <v>166</v>
      </c>
      <c r="C364" s="3">
        <v>38</v>
      </c>
      <c r="D364" s="3">
        <f t="shared" si="66"/>
        <v>20.75</v>
      </c>
      <c r="E364" s="10">
        <f t="shared" si="67"/>
        <v>0.41499999999999998</v>
      </c>
      <c r="F364" s="10">
        <f t="shared" si="68"/>
        <v>0.76</v>
      </c>
      <c r="G364" s="3">
        <f t="shared" si="69"/>
        <v>58.75</v>
      </c>
      <c r="H364" s="3">
        <f t="shared" si="78"/>
        <v>1</v>
      </c>
      <c r="I364" s="3">
        <f t="shared" si="70"/>
        <v>-0.65883403700842447</v>
      </c>
      <c r="J364" s="3">
        <f t="shared" si="71"/>
        <v>0.88680687018965354</v>
      </c>
      <c r="K364" s="3">
        <f t="shared" si="72"/>
        <v>0.99974450219909605</v>
      </c>
      <c r="L364" s="3">
        <f t="shared" si="77"/>
        <v>-2.5553044602770437E-4</v>
      </c>
      <c r="M364" s="9">
        <f t="shared" si="73"/>
        <v>0.64680851063829792</v>
      </c>
      <c r="N364" s="9">
        <f t="shared" si="74"/>
        <v>0.35319148936170214</v>
      </c>
      <c r="P364">
        <f t="shared" si="75"/>
        <v>334.5</v>
      </c>
      <c r="Q364">
        <f t="shared" si="76"/>
        <v>103</v>
      </c>
    </row>
    <row r="365" spans="1:17" x14ac:dyDescent="0.35">
      <c r="A365">
        <v>2025</v>
      </c>
      <c r="B365" s="6">
        <v>158</v>
      </c>
      <c r="C365" s="3">
        <v>39</v>
      </c>
      <c r="D365" s="3">
        <f t="shared" si="66"/>
        <v>19.75</v>
      </c>
      <c r="E365" s="10">
        <f t="shared" si="67"/>
        <v>0.39500000000000002</v>
      </c>
      <c r="F365" s="10">
        <f t="shared" si="68"/>
        <v>0.78</v>
      </c>
      <c r="G365" s="3">
        <f t="shared" si="69"/>
        <v>58.75</v>
      </c>
      <c r="H365" s="3">
        <f t="shared" si="78"/>
        <v>1</v>
      </c>
      <c r="I365" s="3">
        <f t="shared" si="70"/>
        <v>-0.95851591523366364</v>
      </c>
      <c r="J365" s="3">
        <f t="shared" si="71"/>
        <v>1.015055514528977</v>
      </c>
      <c r="K365" s="3">
        <f t="shared" si="72"/>
        <v>0.99971936113353455</v>
      </c>
      <c r="L365" s="3">
        <f t="shared" si="77"/>
        <v>-2.8067825292122609E-4</v>
      </c>
      <c r="M365" s="9">
        <f t="shared" si="73"/>
        <v>0.66382978723404251</v>
      </c>
      <c r="N365" s="9">
        <f t="shared" si="74"/>
        <v>0.33617021276595743</v>
      </c>
      <c r="P365">
        <f t="shared" si="75"/>
        <v>380.5</v>
      </c>
      <c r="Q365">
        <f t="shared" si="76"/>
        <v>76.5</v>
      </c>
    </row>
    <row r="366" spans="1:17" x14ac:dyDescent="0.35">
      <c r="A366">
        <v>2025</v>
      </c>
      <c r="B366" s="6">
        <v>206</v>
      </c>
      <c r="C366" s="3">
        <v>33</v>
      </c>
      <c r="D366" s="3">
        <f t="shared" si="66"/>
        <v>25.75</v>
      </c>
      <c r="E366" s="10">
        <f t="shared" si="67"/>
        <v>0.51500000000000001</v>
      </c>
      <c r="F366" s="10">
        <f t="shared" si="68"/>
        <v>0.66</v>
      </c>
      <c r="G366" s="3">
        <f t="shared" si="69"/>
        <v>58.75</v>
      </c>
      <c r="H366" s="3">
        <f t="shared" si="78"/>
        <v>1</v>
      </c>
      <c r="I366" s="3">
        <f t="shared" si="70"/>
        <v>0.83957535411777107</v>
      </c>
      <c r="J366" s="3">
        <f t="shared" si="71"/>
        <v>0.24556364849303625</v>
      </c>
      <c r="K366" s="3">
        <f t="shared" si="72"/>
        <v>0.99984020217125269</v>
      </c>
      <c r="L366" s="3">
        <f t="shared" si="77"/>
        <v>-1.5981059778067357E-4</v>
      </c>
      <c r="M366" s="9">
        <f t="shared" si="73"/>
        <v>0.5617021276595745</v>
      </c>
      <c r="N366" s="9">
        <f t="shared" si="74"/>
        <v>0.43829787234042555</v>
      </c>
      <c r="P366">
        <f t="shared" si="75"/>
        <v>61.5</v>
      </c>
      <c r="Q366">
        <f t="shared" si="76"/>
        <v>208.5</v>
      </c>
    </row>
    <row r="367" spans="1:17" x14ac:dyDescent="0.35">
      <c r="A367">
        <v>2025</v>
      </c>
      <c r="B367" s="6">
        <v>161</v>
      </c>
      <c r="C367" s="3">
        <v>38</v>
      </c>
      <c r="D367" s="3">
        <f t="shared" si="66"/>
        <v>20.125</v>
      </c>
      <c r="E367" s="10">
        <f t="shared" si="67"/>
        <v>0.40250000000000002</v>
      </c>
      <c r="F367" s="10">
        <f t="shared" si="68"/>
        <v>0.76</v>
      </c>
      <c r="G367" s="3">
        <f t="shared" si="69"/>
        <v>58.125</v>
      </c>
      <c r="H367" s="3">
        <f t="shared" si="78"/>
        <v>1</v>
      </c>
      <c r="I367" s="3">
        <f t="shared" si="70"/>
        <v>-0.84613521089919896</v>
      </c>
      <c r="J367" s="3">
        <f t="shared" si="71"/>
        <v>0.88680687018965354</v>
      </c>
      <c r="K367" s="3">
        <f t="shared" si="72"/>
        <v>0.9995080114861743</v>
      </c>
      <c r="L367" s="3">
        <f t="shared" si="77"/>
        <v>-4.9210957988493999E-4</v>
      </c>
      <c r="M367" s="9">
        <f t="shared" si="73"/>
        <v>0.65376344086021509</v>
      </c>
      <c r="N367" s="9">
        <f t="shared" si="74"/>
        <v>0.34623655913978496</v>
      </c>
      <c r="P367">
        <f t="shared" si="75"/>
        <v>370</v>
      </c>
      <c r="Q367">
        <f t="shared" si="76"/>
        <v>103</v>
      </c>
    </row>
    <row r="368" spans="1:17" x14ac:dyDescent="0.35">
      <c r="A368">
        <v>2025</v>
      </c>
      <c r="B368" s="6">
        <v>160</v>
      </c>
      <c r="C368" s="3">
        <v>38</v>
      </c>
      <c r="D368" s="3">
        <f t="shared" ref="D368:D431" si="79">B368 / 8</f>
        <v>20</v>
      </c>
      <c r="E368" s="10">
        <f t="shared" si="67"/>
        <v>0.4</v>
      </c>
      <c r="F368" s="10">
        <f t="shared" si="68"/>
        <v>0.76</v>
      </c>
      <c r="G368" s="3">
        <f t="shared" si="69"/>
        <v>58</v>
      </c>
      <c r="H368" s="3">
        <f t="shared" si="78"/>
        <v>1</v>
      </c>
      <c r="I368" s="3">
        <f t="shared" si="70"/>
        <v>-0.88359544567735382</v>
      </c>
      <c r="J368" s="3">
        <f t="shared" si="71"/>
        <v>0.88680687018965354</v>
      </c>
      <c r="K368" s="3">
        <f t="shared" si="72"/>
        <v>0.99943913396180384</v>
      </c>
      <c r="L368" s="3">
        <f t="shared" si="77"/>
        <v>-5.610233823879888E-4</v>
      </c>
      <c r="M368" s="9">
        <f t="shared" si="73"/>
        <v>0.65517241379310343</v>
      </c>
      <c r="N368" s="9">
        <f t="shared" si="74"/>
        <v>0.34482758620689657</v>
      </c>
      <c r="P368">
        <f t="shared" si="75"/>
        <v>374.5</v>
      </c>
      <c r="Q368">
        <f t="shared" si="76"/>
        <v>103</v>
      </c>
    </row>
    <row r="369" spans="1:17" x14ac:dyDescent="0.35">
      <c r="A369">
        <v>2025</v>
      </c>
      <c r="B369" s="6">
        <v>164</v>
      </c>
      <c r="C369" s="3">
        <v>37</v>
      </c>
      <c r="D369" s="3">
        <f t="shared" si="79"/>
        <v>20.5</v>
      </c>
      <c r="E369" s="10">
        <f t="shared" si="67"/>
        <v>0.41</v>
      </c>
      <c r="F369" s="10">
        <f t="shared" si="68"/>
        <v>0.74</v>
      </c>
      <c r="G369" s="3">
        <f t="shared" si="69"/>
        <v>57.5</v>
      </c>
      <c r="H369" s="3">
        <f t="shared" si="78"/>
        <v>1</v>
      </c>
      <c r="I369" s="3">
        <f t="shared" si="70"/>
        <v>-0.73375450656473429</v>
      </c>
      <c r="J369" s="3">
        <f t="shared" si="71"/>
        <v>0.75855822585033006</v>
      </c>
      <c r="K369" s="3">
        <f t="shared" si="72"/>
        <v>0.99913763132987765</v>
      </c>
      <c r="L369" s="3">
        <f t="shared" si="77"/>
        <v>-8.6274072389767799E-4</v>
      </c>
      <c r="M369" s="9">
        <f t="shared" si="73"/>
        <v>0.64347826086956517</v>
      </c>
      <c r="N369" s="9">
        <f t="shared" si="74"/>
        <v>0.35652173913043478</v>
      </c>
      <c r="P369">
        <f t="shared" si="75"/>
        <v>348.5</v>
      </c>
      <c r="Q369">
        <f t="shared" si="76"/>
        <v>128</v>
      </c>
    </row>
    <row r="370" spans="1:17" x14ac:dyDescent="0.35">
      <c r="A370">
        <v>2025</v>
      </c>
      <c r="B370" s="6">
        <v>171</v>
      </c>
      <c r="C370" s="3">
        <v>36</v>
      </c>
      <c r="D370" s="3">
        <f t="shared" si="79"/>
        <v>21.375</v>
      </c>
      <c r="E370" s="10">
        <f t="shared" si="67"/>
        <v>0.42749999999999999</v>
      </c>
      <c r="F370" s="10">
        <f t="shared" si="68"/>
        <v>0.72</v>
      </c>
      <c r="G370" s="3">
        <f t="shared" si="69"/>
        <v>57.375</v>
      </c>
      <c r="H370" s="3">
        <f t="shared" si="78"/>
        <v>1</v>
      </c>
      <c r="I370" s="3">
        <f t="shared" si="70"/>
        <v>-0.47153286311765003</v>
      </c>
      <c r="J370" s="3">
        <f t="shared" si="71"/>
        <v>0.63030958151100658</v>
      </c>
      <c r="K370" s="3">
        <f t="shared" si="72"/>
        <v>0.99910496234756296</v>
      </c>
      <c r="L370" s="3">
        <f t="shared" si="77"/>
        <v>-8.9543843779984859E-4</v>
      </c>
      <c r="M370" s="9">
        <f t="shared" si="73"/>
        <v>0.62745098039215685</v>
      </c>
      <c r="N370" s="9">
        <f t="shared" si="74"/>
        <v>0.37254901960784315</v>
      </c>
      <c r="P370">
        <f t="shared" si="75"/>
        <v>278</v>
      </c>
      <c r="Q370">
        <f t="shared" si="76"/>
        <v>152</v>
      </c>
    </row>
    <row r="371" spans="1:17" x14ac:dyDescent="0.35">
      <c r="A371">
        <v>2025</v>
      </c>
      <c r="B371" s="6">
        <v>185</v>
      </c>
      <c r="C371" s="3">
        <v>34</v>
      </c>
      <c r="D371" s="3">
        <f t="shared" si="79"/>
        <v>23.125</v>
      </c>
      <c r="E371" s="10">
        <f t="shared" si="67"/>
        <v>0.46250000000000002</v>
      </c>
      <c r="F371" s="10">
        <f t="shared" si="68"/>
        <v>0.68</v>
      </c>
      <c r="G371" s="3">
        <f t="shared" si="69"/>
        <v>57.125</v>
      </c>
      <c r="H371" s="3">
        <f t="shared" si="78"/>
        <v>1</v>
      </c>
      <c r="I371" s="3">
        <f t="shared" si="70"/>
        <v>5.2910423776518403E-2</v>
      </c>
      <c r="J371" s="3">
        <f t="shared" si="71"/>
        <v>0.37381229283235973</v>
      </c>
      <c r="K371" s="3">
        <f t="shared" si="72"/>
        <v>0.99903586834484914</v>
      </c>
      <c r="L371" s="3">
        <f t="shared" si="77"/>
        <v>-9.6459672902741631E-4</v>
      </c>
      <c r="M371" s="9">
        <f t="shared" si="73"/>
        <v>0.59518599562363239</v>
      </c>
      <c r="N371" s="9">
        <f t="shared" si="74"/>
        <v>0.40481400437636761</v>
      </c>
      <c r="P371">
        <f t="shared" si="75"/>
        <v>179.5</v>
      </c>
      <c r="Q371">
        <f t="shared" si="76"/>
        <v>189.5</v>
      </c>
    </row>
    <row r="372" spans="1:17" x14ac:dyDescent="0.35">
      <c r="A372">
        <v>2025</v>
      </c>
      <c r="B372" s="6">
        <v>151</v>
      </c>
      <c r="C372" s="3">
        <v>38</v>
      </c>
      <c r="D372" s="3">
        <f t="shared" si="79"/>
        <v>18.875</v>
      </c>
      <c r="E372" s="10">
        <f t="shared" si="67"/>
        <v>0.3775</v>
      </c>
      <c r="F372" s="10">
        <f t="shared" si="68"/>
        <v>0.76</v>
      </c>
      <c r="G372" s="3">
        <f t="shared" si="69"/>
        <v>56.875</v>
      </c>
      <c r="H372" s="3">
        <f t="shared" si="78"/>
        <v>1</v>
      </c>
      <c r="I372" s="3">
        <f t="shared" si="70"/>
        <v>-1.2207375586807478</v>
      </c>
      <c r="J372" s="3">
        <f t="shared" si="71"/>
        <v>0.88680687018965354</v>
      </c>
      <c r="K372" s="3">
        <f t="shared" si="72"/>
        <v>0.99817729051495019</v>
      </c>
      <c r="L372" s="3">
        <f t="shared" si="77"/>
        <v>-1.8243726412575886E-3</v>
      </c>
      <c r="M372" s="9">
        <f t="shared" si="73"/>
        <v>0.66813186813186809</v>
      </c>
      <c r="N372" s="9">
        <f t="shared" si="74"/>
        <v>0.33186813186813185</v>
      </c>
      <c r="P372">
        <f t="shared" si="75"/>
        <v>402.5</v>
      </c>
      <c r="Q372">
        <f t="shared" si="76"/>
        <v>103</v>
      </c>
    </row>
    <row r="373" spans="1:17" x14ac:dyDescent="0.35">
      <c r="A373">
        <v>2025</v>
      </c>
      <c r="B373" s="6">
        <v>175</v>
      </c>
      <c r="C373" s="3">
        <v>35</v>
      </c>
      <c r="D373" s="3">
        <f t="shared" si="79"/>
        <v>21.875</v>
      </c>
      <c r="E373" s="10">
        <f t="shared" si="67"/>
        <v>0.4375</v>
      </c>
      <c r="F373" s="10">
        <f t="shared" si="68"/>
        <v>0.7</v>
      </c>
      <c r="G373" s="3">
        <f t="shared" si="69"/>
        <v>56.875</v>
      </c>
      <c r="H373" s="3">
        <f t="shared" si="78"/>
        <v>1</v>
      </c>
      <c r="I373" s="3">
        <f t="shared" si="70"/>
        <v>-0.32169192400503049</v>
      </c>
      <c r="J373" s="3">
        <f t="shared" si="71"/>
        <v>0.50206093717168321</v>
      </c>
      <c r="K373" s="3">
        <f t="shared" si="72"/>
        <v>0.99862406765693834</v>
      </c>
      <c r="L373" s="3">
        <f t="shared" si="77"/>
        <v>-1.3768798071653948E-3</v>
      </c>
      <c r="M373" s="9">
        <f t="shared" si="73"/>
        <v>0.61538461538461542</v>
      </c>
      <c r="N373" s="9">
        <f t="shared" si="74"/>
        <v>0.38461538461538464</v>
      </c>
      <c r="P373">
        <f t="shared" si="75"/>
        <v>254</v>
      </c>
      <c r="Q373">
        <f t="shared" si="76"/>
        <v>171.5</v>
      </c>
    </row>
    <row r="374" spans="1:17" x14ac:dyDescent="0.35">
      <c r="A374">
        <v>2025</v>
      </c>
      <c r="B374" s="6">
        <v>163</v>
      </c>
      <c r="C374" s="3">
        <v>36</v>
      </c>
      <c r="D374" s="3">
        <f t="shared" si="79"/>
        <v>20.375</v>
      </c>
      <c r="E374" s="10">
        <f t="shared" ref="E374:E437" si="80">B374 / 400</f>
        <v>0.40749999999999997</v>
      </c>
      <c r="F374" s="10">
        <f t="shared" si="68"/>
        <v>0.72</v>
      </c>
      <c r="G374" s="3">
        <f t="shared" si="69"/>
        <v>56.375</v>
      </c>
      <c r="H374" s="3">
        <f t="shared" si="78"/>
        <v>1</v>
      </c>
      <c r="I374" s="3">
        <f t="shared" si="70"/>
        <v>-0.77121474134288914</v>
      </c>
      <c r="J374" s="3">
        <f t="shared" si="71"/>
        <v>0.63030958151100658</v>
      </c>
      <c r="K374" s="3">
        <f t="shared" si="72"/>
        <v>0.99744968365663422</v>
      </c>
      <c r="L374" s="3">
        <f t="shared" si="77"/>
        <v>-2.5535739398711709E-3</v>
      </c>
      <c r="M374" s="9">
        <f t="shared" si="73"/>
        <v>0.63858093126385806</v>
      </c>
      <c r="N374" s="9">
        <f t="shared" si="74"/>
        <v>0.36141906873614188</v>
      </c>
      <c r="P374">
        <f t="shared" si="75"/>
        <v>356.5</v>
      </c>
      <c r="Q374">
        <f t="shared" si="76"/>
        <v>152</v>
      </c>
    </row>
    <row r="375" spans="1:17" x14ac:dyDescent="0.35">
      <c r="A375">
        <v>2025</v>
      </c>
      <c r="B375" s="6">
        <v>148</v>
      </c>
      <c r="C375" s="3">
        <v>37</v>
      </c>
      <c r="D375" s="3">
        <f t="shared" si="79"/>
        <v>18.5</v>
      </c>
      <c r="E375" s="10">
        <f t="shared" si="80"/>
        <v>0.37</v>
      </c>
      <c r="F375" s="10">
        <f t="shared" si="68"/>
        <v>0.74</v>
      </c>
      <c r="G375" s="3">
        <f t="shared" si="69"/>
        <v>55.5</v>
      </c>
      <c r="H375" s="3">
        <f t="shared" si="78"/>
        <v>1</v>
      </c>
      <c r="I375" s="3">
        <f t="shared" si="70"/>
        <v>-1.3331182630152125</v>
      </c>
      <c r="J375" s="3">
        <f t="shared" si="71"/>
        <v>0.75855822585033006</v>
      </c>
      <c r="K375" s="3">
        <f t="shared" si="72"/>
        <v>0.99301814902386087</v>
      </c>
      <c r="L375" s="3">
        <f t="shared" si="77"/>
        <v>-7.0063381413870375E-3</v>
      </c>
      <c r="M375" s="9">
        <f t="shared" si="73"/>
        <v>0.66666666666666663</v>
      </c>
      <c r="N375" s="9">
        <f t="shared" si="74"/>
        <v>0.33333333333333331</v>
      </c>
      <c r="P375">
        <f t="shared" si="75"/>
        <v>412</v>
      </c>
      <c r="Q375">
        <f t="shared" si="76"/>
        <v>128</v>
      </c>
    </row>
    <row r="376" spans="1:17" x14ac:dyDescent="0.35">
      <c r="A376">
        <v>2025</v>
      </c>
      <c r="B376" s="6">
        <v>164</v>
      </c>
      <c r="C376" s="3">
        <v>35</v>
      </c>
      <c r="D376" s="3">
        <f t="shared" si="79"/>
        <v>20.5</v>
      </c>
      <c r="E376" s="10">
        <f t="shared" si="80"/>
        <v>0.41</v>
      </c>
      <c r="F376" s="10">
        <f t="shared" si="68"/>
        <v>0.7</v>
      </c>
      <c r="G376" s="3">
        <f t="shared" si="69"/>
        <v>55.5</v>
      </c>
      <c r="H376" s="3">
        <f t="shared" si="78"/>
        <v>1</v>
      </c>
      <c r="I376" s="3">
        <f t="shared" si="70"/>
        <v>-0.73375450656473429</v>
      </c>
      <c r="J376" s="3">
        <f t="shared" si="71"/>
        <v>0.50206093717168321</v>
      </c>
      <c r="K376" s="3">
        <f t="shared" si="72"/>
        <v>0.99420642267171377</v>
      </c>
      <c r="L376" s="3">
        <f t="shared" si="77"/>
        <v>-5.8104252019025998E-3</v>
      </c>
      <c r="M376" s="9">
        <f t="shared" si="73"/>
        <v>0.63063063063063063</v>
      </c>
      <c r="N376" s="9">
        <f t="shared" si="74"/>
        <v>0.36936936936936937</v>
      </c>
      <c r="P376">
        <f t="shared" si="75"/>
        <v>348.5</v>
      </c>
      <c r="Q376">
        <f t="shared" si="76"/>
        <v>171.5</v>
      </c>
    </row>
    <row r="377" spans="1:17" x14ac:dyDescent="0.35">
      <c r="A377">
        <v>2025</v>
      </c>
      <c r="B377" s="6">
        <v>156</v>
      </c>
      <c r="C377" s="3">
        <v>36</v>
      </c>
      <c r="D377" s="3">
        <f t="shared" si="79"/>
        <v>19.5</v>
      </c>
      <c r="E377" s="10">
        <f t="shared" si="80"/>
        <v>0.39</v>
      </c>
      <c r="F377" s="10">
        <f t="shared" si="68"/>
        <v>0.72</v>
      </c>
      <c r="G377" s="3">
        <f t="shared" si="69"/>
        <v>55.5</v>
      </c>
      <c r="H377" s="3">
        <f t="shared" si="78"/>
        <v>1</v>
      </c>
      <c r="I377" s="3">
        <f t="shared" si="70"/>
        <v>-1.0334363847899735</v>
      </c>
      <c r="J377" s="3">
        <f t="shared" si="71"/>
        <v>0.63030958151100658</v>
      </c>
      <c r="K377" s="3">
        <f t="shared" si="72"/>
        <v>0.99363979967360927</v>
      </c>
      <c r="L377" s="3">
        <f t="shared" si="77"/>
        <v>-6.3805125729287206E-3</v>
      </c>
      <c r="M377" s="9">
        <f t="shared" si="73"/>
        <v>0.64864864864864868</v>
      </c>
      <c r="N377" s="9">
        <f t="shared" si="74"/>
        <v>0.35135135135135137</v>
      </c>
      <c r="P377">
        <f t="shared" si="75"/>
        <v>390</v>
      </c>
      <c r="Q377">
        <f t="shared" si="76"/>
        <v>152</v>
      </c>
    </row>
    <row r="378" spans="1:17" x14ac:dyDescent="0.35">
      <c r="A378">
        <v>2025</v>
      </c>
      <c r="B378" s="6">
        <v>171</v>
      </c>
      <c r="C378" s="3">
        <v>34</v>
      </c>
      <c r="D378" s="3">
        <f t="shared" si="79"/>
        <v>21.375</v>
      </c>
      <c r="E378" s="10">
        <f t="shared" si="80"/>
        <v>0.42749999999999999</v>
      </c>
      <c r="F378" s="10">
        <f t="shared" si="68"/>
        <v>0.68</v>
      </c>
      <c r="G378" s="3">
        <f t="shared" si="69"/>
        <v>55.375</v>
      </c>
      <c r="H378" s="3">
        <f t="shared" si="78"/>
        <v>1</v>
      </c>
      <c r="I378" s="3">
        <f t="shared" si="70"/>
        <v>-0.47153286311765003</v>
      </c>
      <c r="J378" s="3">
        <f t="shared" si="71"/>
        <v>0.37381229283235973</v>
      </c>
      <c r="K378" s="3">
        <f t="shared" si="72"/>
        <v>0.99398806950272167</v>
      </c>
      <c r="L378" s="3">
        <f t="shared" si="77"/>
        <v>-6.0300749099461868E-3</v>
      </c>
      <c r="M378" s="9">
        <f t="shared" si="73"/>
        <v>0.61399548532731374</v>
      </c>
      <c r="N378" s="9">
        <f t="shared" si="74"/>
        <v>0.38600451467268621</v>
      </c>
      <c r="P378">
        <f t="shared" si="75"/>
        <v>278</v>
      </c>
      <c r="Q378">
        <f t="shared" si="76"/>
        <v>189.5</v>
      </c>
    </row>
    <row r="379" spans="1:17" x14ac:dyDescent="0.35">
      <c r="A379">
        <v>2025</v>
      </c>
      <c r="B379" s="6">
        <v>169</v>
      </c>
      <c r="C379" s="3">
        <v>34</v>
      </c>
      <c r="D379" s="3">
        <f t="shared" si="79"/>
        <v>21.125</v>
      </c>
      <c r="E379" s="10">
        <f t="shared" si="80"/>
        <v>0.42249999999999999</v>
      </c>
      <c r="F379" s="10">
        <f t="shared" si="68"/>
        <v>0.68</v>
      </c>
      <c r="G379" s="3">
        <f t="shared" si="69"/>
        <v>55.125</v>
      </c>
      <c r="H379" s="3">
        <f t="shared" si="78"/>
        <v>1</v>
      </c>
      <c r="I379" s="3">
        <f t="shared" si="70"/>
        <v>-0.54645333267395979</v>
      </c>
      <c r="J379" s="3">
        <f t="shared" si="71"/>
        <v>0.37381229283235973</v>
      </c>
      <c r="K379" s="3">
        <f t="shared" si="72"/>
        <v>0.99219989991642943</v>
      </c>
      <c r="L379" s="3">
        <f t="shared" si="77"/>
        <v>-7.830679985552997E-3</v>
      </c>
      <c r="M379" s="9">
        <f t="shared" si="73"/>
        <v>0.6167800453514739</v>
      </c>
      <c r="N379" s="9">
        <f t="shared" si="74"/>
        <v>0.3832199546485261</v>
      </c>
      <c r="P379">
        <f t="shared" si="75"/>
        <v>299</v>
      </c>
      <c r="Q379">
        <f t="shared" si="76"/>
        <v>189.5</v>
      </c>
    </row>
    <row r="380" spans="1:17" x14ac:dyDescent="0.35">
      <c r="A380">
        <v>2025</v>
      </c>
      <c r="B380" s="6">
        <v>151</v>
      </c>
      <c r="C380" s="3">
        <v>36</v>
      </c>
      <c r="D380" s="3">
        <f t="shared" si="79"/>
        <v>18.875</v>
      </c>
      <c r="E380" s="10">
        <f t="shared" si="80"/>
        <v>0.3775</v>
      </c>
      <c r="F380" s="10">
        <f t="shared" si="68"/>
        <v>0.72</v>
      </c>
      <c r="G380" s="3">
        <f t="shared" si="69"/>
        <v>54.875</v>
      </c>
      <c r="H380" s="3">
        <f t="shared" si="78"/>
        <v>1</v>
      </c>
      <c r="I380" s="3">
        <f t="shared" si="70"/>
        <v>-1.2207375586807478</v>
      </c>
      <c r="J380" s="3">
        <f t="shared" si="71"/>
        <v>0.63030958151100658</v>
      </c>
      <c r="K380" s="3">
        <f t="shared" si="72"/>
        <v>0.98782158220652738</v>
      </c>
      <c r="L380" s="3">
        <f t="shared" si="77"/>
        <v>-1.2253182352876636E-2</v>
      </c>
      <c r="M380" s="9">
        <f t="shared" si="73"/>
        <v>0.6560364464692483</v>
      </c>
      <c r="N380" s="9">
        <f t="shared" si="74"/>
        <v>0.3439635535307517</v>
      </c>
      <c r="P380">
        <f t="shared" si="75"/>
        <v>402.5</v>
      </c>
      <c r="Q380">
        <f t="shared" si="76"/>
        <v>152</v>
      </c>
    </row>
    <row r="381" spans="1:17" x14ac:dyDescent="0.35">
      <c r="A381">
        <v>2025</v>
      </c>
      <c r="B381" s="6">
        <v>191</v>
      </c>
      <c r="C381" s="3">
        <v>31</v>
      </c>
      <c r="D381" s="3">
        <f t="shared" si="79"/>
        <v>23.875</v>
      </c>
      <c r="E381" s="10">
        <f t="shared" si="80"/>
        <v>0.47749999999999998</v>
      </c>
      <c r="F381" s="10">
        <f t="shared" si="68"/>
        <v>0.62</v>
      </c>
      <c r="G381" s="3">
        <f t="shared" si="69"/>
        <v>54.875</v>
      </c>
      <c r="H381" s="3">
        <f t="shared" si="78"/>
        <v>1</v>
      </c>
      <c r="I381" s="3">
        <f t="shared" si="70"/>
        <v>0.27767183244544774</v>
      </c>
      <c r="J381" s="3">
        <f t="shared" si="71"/>
        <v>-1.0933640185610671E-2</v>
      </c>
      <c r="K381" s="3">
        <f t="shared" si="72"/>
        <v>0.99234898724176168</v>
      </c>
      <c r="L381" s="3">
        <f t="shared" si="77"/>
        <v>-7.6804319099551153E-3</v>
      </c>
      <c r="M381" s="9">
        <f t="shared" si="73"/>
        <v>0.56492027334851935</v>
      </c>
      <c r="N381" s="9">
        <f t="shared" si="74"/>
        <v>0.43507972665148065</v>
      </c>
      <c r="P381">
        <f t="shared" si="75"/>
        <v>137.5</v>
      </c>
      <c r="Q381">
        <f t="shared" si="76"/>
        <v>239.5</v>
      </c>
    </row>
    <row r="382" spans="1:17" x14ac:dyDescent="0.35">
      <c r="A382">
        <v>2025</v>
      </c>
      <c r="B382" s="6">
        <v>236</v>
      </c>
      <c r="C382" s="3">
        <v>25</v>
      </c>
      <c r="D382" s="3">
        <f t="shared" si="79"/>
        <v>29.5</v>
      </c>
      <c r="E382" s="10">
        <f t="shared" si="80"/>
        <v>0.59</v>
      </c>
      <c r="F382" s="10">
        <f t="shared" si="68"/>
        <v>0.5</v>
      </c>
      <c r="G382" s="3">
        <f t="shared" si="69"/>
        <v>54.5</v>
      </c>
      <c r="H382" s="3">
        <f t="shared" si="78"/>
        <v>1</v>
      </c>
      <c r="I382" s="3">
        <f t="shared" si="70"/>
        <v>1.9633823974624178</v>
      </c>
      <c r="J382" s="3">
        <f t="shared" si="71"/>
        <v>-0.78042550622155138</v>
      </c>
      <c r="K382" s="3">
        <f t="shared" si="72"/>
        <v>0.9935373360005898</v>
      </c>
      <c r="L382" s="3">
        <f t="shared" si="77"/>
        <v>-6.4836374240261176E-3</v>
      </c>
      <c r="M382" s="9">
        <f t="shared" si="73"/>
        <v>0.45871559633027525</v>
      </c>
      <c r="N382" s="9">
        <f t="shared" si="74"/>
        <v>0.54128440366972475</v>
      </c>
      <c r="P382">
        <f t="shared" si="75"/>
        <v>16</v>
      </c>
      <c r="Q382">
        <f t="shared" si="76"/>
        <v>326</v>
      </c>
    </row>
    <row r="383" spans="1:17" x14ac:dyDescent="0.35">
      <c r="A383">
        <v>2025</v>
      </c>
      <c r="B383" s="6">
        <v>195</v>
      </c>
      <c r="C383" s="3">
        <v>30</v>
      </c>
      <c r="D383" s="3">
        <f t="shared" si="79"/>
        <v>24.375</v>
      </c>
      <c r="E383" s="10">
        <f t="shared" si="80"/>
        <v>0.48749999999999999</v>
      </c>
      <c r="F383" s="10">
        <f t="shared" si="68"/>
        <v>0.6</v>
      </c>
      <c r="G383" s="3">
        <f t="shared" si="69"/>
        <v>54.375</v>
      </c>
      <c r="H383" s="3">
        <f t="shared" si="78"/>
        <v>1</v>
      </c>
      <c r="I383" s="3">
        <f t="shared" si="70"/>
        <v>0.42751277155806727</v>
      </c>
      <c r="J383" s="3">
        <f t="shared" si="71"/>
        <v>-0.13918228452493411</v>
      </c>
      <c r="K383" s="3">
        <f t="shared" si="72"/>
        <v>0.98828075336696553</v>
      </c>
      <c r="L383" s="3">
        <f t="shared" si="77"/>
        <v>-1.1788458274132241E-2</v>
      </c>
      <c r="M383" s="9">
        <f t="shared" si="73"/>
        <v>0.55172413793103448</v>
      </c>
      <c r="N383" s="9">
        <f t="shared" si="74"/>
        <v>0.44827586206896552</v>
      </c>
      <c r="P383">
        <f t="shared" si="75"/>
        <v>113.5</v>
      </c>
      <c r="Q383">
        <f t="shared" si="76"/>
        <v>259</v>
      </c>
    </row>
    <row r="384" spans="1:17" x14ac:dyDescent="0.35">
      <c r="A384">
        <v>2025</v>
      </c>
      <c r="B384" s="6">
        <v>167</v>
      </c>
      <c r="C384" s="3">
        <v>33</v>
      </c>
      <c r="D384" s="3">
        <f t="shared" si="79"/>
        <v>20.875</v>
      </c>
      <c r="E384" s="10">
        <f t="shared" si="80"/>
        <v>0.41749999999999998</v>
      </c>
      <c r="F384" s="10">
        <f t="shared" si="68"/>
        <v>0.66</v>
      </c>
      <c r="G384" s="3">
        <f t="shared" si="69"/>
        <v>53.875</v>
      </c>
      <c r="H384" s="3">
        <f t="shared" si="78"/>
        <v>1</v>
      </c>
      <c r="I384" s="3">
        <f t="shared" si="70"/>
        <v>-0.62137380223026961</v>
      </c>
      <c r="J384" s="3">
        <f t="shared" si="71"/>
        <v>0.24556364849303625</v>
      </c>
      <c r="K384" s="3">
        <f t="shared" si="72"/>
        <v>0.9741363243038722</v>
      </c>
      <c r="L384" s="3">
        <f t="shared" si="77"/>
        <v>-2.6204021782559754E-2</v>
      </c>
      <c r="M384" s="9">
        <f t="shared" si="73"/>
        <v>0.61252900232018559</v>
      </c>
      <c r="N384" s="9">
        <f t="shared" si="74"/>
        <v>0.38747099767981441</v>
      </c>
      <c r="P384">
        <f t="shared" si="75"/>
        <v>323</v>
      </c>
      <c r="Q384">
        <f t="shared" si="76"/>
        <v>208.5</v>
      </c>
    </row>
    <row r="385" spans="1:17" x14ac:dyDescent="0.35">
      <c r="A385">
        <v>2025</v>
      </c>
      <c r="B385" s="6">
        <v>199</v>
      </c>
      <c r="C385" s="3">
        <v>29</v>
      </c>
      <c r="D385" s="3">
        <f t="shared" si="79"/>
        <v>24.875</v>
      </c>
      <c r="E385" s="10">
        <f t="shared" si="80"/>
        <v>0.4975</v>
      </c>
      <c r="F385" s="10">
        <f t="shared" si="68"/>
        <v>0.57999999999999996</v>
      </c>
      <c r="G385" s="3">
        <f t="shared" si="69"/>
        <v>53.875</v>
      </c>
      <c r="H385" s="3">
        <f t="shared" si="78"/>
        <v>1</v>
      </c>
      <c r="I385" s="3">
        <f t="shared" si="70"/>
        <v>0.57735371067068686</v>
      </c>
      <c r="J385" s="3">
        <f t="shared" si="71"/>
        <v>-0.26743092886425757</v>
      </c>
      <c r="K385" s="3">
        <f t="shared" si="72"/>
        <v>0.98208838311016522</v>
      </c>
      <c r="L385" s="3">
        <f t="shared" si="77"/>
        <v>-1.8073971510538848E-2</v>
      </c>
      <c r="M385" s="9">
        <f t="shared" si="73"/>
        <v>0.53828306264501158</v>
      </c>
      <c r="N385" s="9">
        <f t="shared" si="74"/>
        <v>0.46171693735498842</v>
      </c>
      <c r="P385">
        <f t="shared" si="75"/>
        <v>91.5</v>
      </c>
      <c r="Q385">
        <f t="shared" si="76"/>
        <v>272.5</v>
      </c>
    </row>
    <row r="386" spans="1:17" x14ac:dyDescent="0.35">
      <c r="A386">
        <v>2025</v>
      </c>
      <c r="B386" s="6">
        <v>187</v>
      </c>
      <c r="C386" s="3">
        <v>30</v>
      </c>
      <c r="D386" s="3">
        <f t="shared" si="79"/>
        <v>23.375</v>
      </c>
      <c r="E386" s="10">
        <f t="shared" si="80"/>
        <v>0.46750000000000003</v>
      </c>
      <c r="F386" s="10">
        <f t="shared" ref="F386:F449" si="81">C386 / 50</f>
        <v>0.6</v>
      </c>
      <c r="G386" s="3">
        <f t="shared" ref="G386:G449" si="82">SUM(D386 + C386)</f>
        <v>53.375</v>
      </c>
      <c r="H386" s="3">
        <f t="shared" si="78"/>
        <v>1</v>
      </c>
      <c r="I386" s="3">
        <f t="shared" ref="I386:I435" si="83" xml:space="preserve"> (D:D - AVERAGE(D:D)) / STDEV(D:D)</f>
        <v>0.12783089333282818</v>
      </c>
      <c r="J386" s="3">
        <f t="shared" ref="J386:J434" si="84" xml:space="preserve"> (C:C - AVERAGE(C:C)) / STDEV(C:C)</f>
        <v>-0.13918228452493411</v>
      </c>
      <c r="K386" s="3">
        <f t="shared" ref="K386:K435" si="85">1/(1+EXP(-($AD$68 +$AD$69 * I386 +$AD$70 * J386 )))</f>
        <v>0.96726315158486365</v>
      </c>
      <c r="L386" s="3">
        <f t="shared" si="77"/>
        <v>-3.328468861117697E-2</v>
      </c>
      <c r="M386" s="9">
        <f t="shared" si="73"/>
        <v>0.56206088992974235</v>
      </c>
      <c r="N386" s="9">
        <f t="shared" si="74"/>
        <v>0.4379391100702576</v>
      </c>
      <c r="P386">
        <f t="shared" si="75"/>
        <v>163</v>
      </c>
      <c r="Q386">
        <f t="shared" si="76"/>
        <v>259</v>
      </c>
    </row>
    <row r="387" spans="1:17" x14ac:dyDescent="0.35">
      <c r="A387">
        <v>2025</v>
      </c>
      <c r="B387" s="6">
        <v>200</v>
      </c>
      <c r="C387" s="3">
        <v>27</v>
      </c>
      <c r="D387" s="3">
        <f t="shared" si="79"/>
        <v>25</v>
      </c>
      <c r="E387" s="10">
        <f t="shared" si="80"/>
        <v>0.5</v>
      </c>
      <c r="F387" s="10">
        <f t="shared" si="81"/>
        <v>0.54</v>
      </c>
      <c r="G387" s="3">
        <f t="shared" si="82"/>
        <v>52</v>
      </c>
      <c r="H387" s="3">
        <f t="shared" si="78"/>
        <v>1</v>
      </c>
      <c r="I387" s="3">
        <f t="shared" si="83"/>
        <v>0.61481394544884171</v>
      </c>
      <c r="J387" s="3">
        <f t="shared" si="84"/>
        <v>-0.52392821754290453</v>
      </c>
      <c r="K387" s="3">
        <f t="shared" si="85"/>
        <v>0.90252121275783614</v>
      </c>
      <c r="L387" s="3">
        <f t="shared" si="77"/>
        <v>-0.10256308461051043</v>
      </c>
      <c r="M387" s="9">
        <f t="shared" ref="M387:M435" si="86">IF(G387=0, 0,  C387  / G387 )</f>
        <v>0.51923076923076927</v>
      </c>
      <c r="N387" s="9">
        <f t="shared" ref="N387:N435" si="87">IF(G387=0, 0,  D387  / G387 )</f>
        <v>0.48076923076923078</v>
      </c>
      <c r="P387">
        <f t="shared" ref="P387:P435" si="88">_xlfn.RANK.AVG(B387,$B$2:$B$435)</f>
        <v>85</v>
      </c>
      <c r="Q387">
        <f t="shared" si="76"/>
        <v>294.5</v>
      </c>
    </row>
    <row r="388" spans="1:17" x14ac:dyDescent="0.35">
      <c r="A388">
        <v>2025</v>
      </c>
      <c r="B388" s="6">
        <v>172</v>
      </c>
      <c r="C388" s="3">
        <v>30</v>
      </c>
      <c r="D388" s="3">
        <f t="shared" si="79"/>
        <v>21.5</v>
      </c>
      <c r="E388" s="10">
        <f t="shared" si="80"/>
        <v>0.43</v>
      </c>
      <c r="F388" s="10">
        <f t="shared" si="81"/>
        <v>0.6</v>
      </c>
      <c r="G388" s="3">
        <f t="shared" si="82"/>
        <v>51.5</v>
      </c>
      <c r="H388" s="3">
        <f t="shared" si="78"/>
        <v>1</v>
      </c>
      <c r="I388" s="3">
        <f t="shared" si="83"/>
        <v>-0.43407262833949517</v>
      </c>
      <c r="J388" s="3">
        <f t="shared" si="84"/>
        <v>-0.13918228452493411</v>
      </c>
      <c r="K388" s="3">
        <f t="shared" si="85"/>
        <v>0.80526548416681498</v>
      </c>
      <c r="L388" s="3">
        <f t="shared" si="77"/>
        <v>-0.21658326193761651</v>
      </c>
      <c r="M388" s="9">
        <f t="shared" si="86"/>
        <v>0.58252427184466016</v>
      </c>
      <c r="N388" s="9">
        <f t="shared" si="87"/>
        <v>0.41747572815533979</v>
      </c>
      <c r="P388">
        <f t="shared" si="88"/>
        <v>271</v>
      </c>
      <c r="Q388">
        <f t="shared" ref="Q388:Q436" si="89">_xlfn.RANK.AVG(C388,$C$2:$C$435)</f>
        <v>259</v>
      </c>
    </row>
    <row r="389" spans="1:17" x14ac:dyDescent="0.35">
      <c r="A389">
        <v>2025</v>
      </c>
      <c r="B389" s="6">
        <v>227</v>
      </c>
      <c r="C389" s="3">
        <v>23</v>
      </c>
      <c r="D389" s="3">
        <f t="shared" si="79"/>
        <v>28.375</v>
      </c>
      <c r="E389" s="10">
        <f t="shared" si="80"/>
        <v>0.5675</v>
      </c>
      <c r="F389" s="10">
        <f t="shared" si="81"/>
        <v>0.46</v>
      </c>
      <c r="G389" s="3">
        <f t="shared" si="82"/>
        <v>51.375</v>
      </c>
      <c r="H389" s="3">
        <f t="shared" si="78"/>
        <v>1</v>
      </c>
      <c r="I389" s="3">
        <f t="shared" si="83"/>
        <v>1.6262402844590238</v>
      </c>
      <c r="J389" s="3">
        <f t="shared" si="84"/>
        <v>-1.0369227949001982</v>
      </c>
      <c r="K389" s="3">
        <f t="shared" si="85"/>
        <v>0.87496599922856844</v>
      </c>
      <c r="L389" s="3">
        <f t="shared" ref="L389:L436" si="90">IF(K389=0, -1000, IF(K389=1, -1000, H389 * LN(K389) + (1 - H389) * LN(1 - K389)))</f>
        <v>-0.13357025140400844</v>
      </c>
      <c r="M389" s="9">
        <f t="shared" si="86"/>
        <v>0.44768856447688565</v>
      </c>
      <c r="N389" s="9">
        <f t="shared" si="87"/>
        <v>0.55231143552311435</v>
      </c>
      <c r="P389">
        <f t="shared" si="88"/>
        <v>27.5</v>
      </c>
      <c r="Q389">
        <f t="shared" si="89"/>
        <v>352.5</v>
      </c>
    </row>
    <row r="390" spans="1:17" x14ac:dyDescent="0.35">
      <c r="A390">
        <v>2025</v>
      </c>
      <c r="B390" s="6">
        <v>180</v>
      </c>
      <c r="C390" s="3">
        <v>28</v>
      </c>
      <c r="D390" s="3">
        <f t="shared" si="79"/>
        <v>22.5</v>
      </c>
      <c r="E390" s="10">
        <f t="shared" si="80"/>
        <v>0.45</v>
      </c>
      <c r="F390" s="10">
        <f t="shared" si="81"/>
        <v>0.56000000000000005</v>
      </c>
      <c r="G390" s="3">
        <f t="shared" si="82"/>
        <v>50.5</v>
      </c>
      <c r="H390" s="3">
        <f t="shared" si="78"/>
        <v>1</v>
      </c>
      <c r="I390" s="3">
        <f t="shared" si="83"/>
        <v>-0.13439075011425605</v>
      </c>
      <c r="J390" s="3">
        <f t="shared" si="84"/>
        <v>-0.39567957320358105</v>
      </c>
      <c r="K390" s="3">
        <f t="shared" si="85"/>
        <v>0.63611230518803763</v>
      </c>
      <c r="L390" s="3">
        <f t="shared" si="90"/>
        <v>-0.45238015074617766</v>
      </c>
      <c r="M390" s="9">
        <f t="shared" si="86"/>
        <v>0.5544554455445545</v>
      </c>
      <c r="N390" s="9">
        <f t="shared" si="87"/>
        <v>0.44554455445544555</v>
      </c>
      <c r="P390">
        <f t="shared" si="88"/>
        <v>216.5</v>
      </c>
      <c r="Q390">
        <f t="shared" si="89"/>
        <v>281.5</v>
      </c>
    </row>
    <row r="391" spans="1:17" x14ac:dyDescent="0.35">
      <c r="A391">
        <v>2025</v>
      </c>
      <c r="B391" s="6">
        <v>185</v>
      </c>
      <c r="C391" s="3">
        <v>26</v>
      </c>
      <c r="D391" s="3">
        <f t="shared" si="79"/>
        <v>23.125</v>
      </c>
      <c r="E391" s="10">
        <f t="shared" si="80"/>
        <v>0.46250000000000002</v>
      </c>
      <c r="F391" s="10">
        <f t="shared" si="81"/>
        <v>0.52</v>
      </c>
      <c r="G391" s="3">
        <f t="shared" si="82"/>
        <v>49.125</v>
      </c>
      <c r="H391" s="3">
        <f t="shared" si="78"/>
        <v>0</v>
      </c>
      <c r="I391" s="3">
        <f t="shared" si="83"/>
        <v>5.2910423776518403E-2</v>
      </c>
      <c r="J391" s="3">
        <f t="shared" si="84"/>
        <v>-0.65217686188222801</v>
      </c>
      <c r="K391" s="3">
        <f t="shared" si="85"/>
        <v>0.33275250389330907</v>
      </c>
      <c r="L391" s="3">
        <f t="shared" si="90"/>
        <v>-0.404594243261021</v>
      </c>
      <c r="M391" s="9">
        <f t="shared" si="86"/>
        <v>0.52926208651399487</v>
      </c>
      <c r="N391" s="9">
        <f t="shared" si="87"/>
        <v>0.47073791348600508</v>
      </c>
      <c r="P391">
        <f t="shared" si="88"/>
        <v>179.5</v>
      </c>
      <c r="Q391">
        <f t="shared" si="89"/>
        <v>312.5</v>
      </c>
    </row>
    <row r="392" spans="1:17" x14ac:dyDescent="0.35">
      <c r="A392">
        <v>2025</v>
      </c>
      <c r="B392" s="6">
        <v>203</v>
      </c>
      <c r="C392" s="3">
        <v>23</v>
      </c>
      <c r="D392" s="3">
        <f t="shared" si="79"/>
        <v>25.375</v>
      </c>
      <c r="E392" s="10">
        <f t="shared" si="80"/>
        <v>0.50749999999999995</v>
      </c>
      <c r="F392" s="10">
        <f t="shared" si="81"/>
        <v>0.46</v>
      </c>
      <c r="G392" s="3">
        <f t="shared" si="82"/>
        <v>48.375</v>
      </c>
      <c r="H392" s="3">
        <f t="shared" si="78"/>
        <v>0</v>
      </c>
      <c r="I392" s="3">
        <f t="shared" si="83"/>
        <v>0.72719464978330639</v>
      </c>
      <c r="J392" s="3">
        <f t="shared" si="84"/>
        <v>-1.0369227949001982</v>
      </c>
      <c r="K392" s="3">
        <f t="shared" si="85"/>
        <v>0.2313514635220881</v>
      </c>
      <c r="L392" s="3">
        <f t="shared" si="90"/>
        <v>-0.26312145364158812</v>
      </c>
      <c r="M392" s="9">
        <f t="shared" si="86"/>
        <v>0.47545219638242892</v>
      </c>
      <c r="N392" s="9">
        <f t="shared" si="87"/>
        <v>0.52454780361757103</v>
      </c>
      <c r="P392">
        <f t="shared" si="88"/>
        <v>72</v>
      </c>
      <c r="Q392">
        <f t="shared" si="89"/>
        <v>352.5</v>
      </c>
    </row>
    <row r="393" spans="1:17" x14ac:dyDescent="0.35">
      <c r="A393">
        <v>2025</v>
      </c>
      <c r="B393" s="6">
        <v>138</v>
      </c>
      <c r="C393" s="3">
        <v>31</v>
      </c>
      <c r="D393" s="3">
        <f t="shared" si="79"/>
        <v>17.25</v>
      </c>
      <c r="E393" s="10">
        <f t="shared" si="80"/>
        <v>0.34499999999999997</v>
      </c>
      <c r="F393" s="10">
        <f t="shared" si="81"/>
        <v>0.62</v>
      </c>
      <c r="G393" s="3">
        <f t="shared" si="82"/>
        <v>48.25</v>
      </c>
      <c r="H393" s="3">
        <f t="shared" si="78"/>
        <v>0</v>
      </c>
      <c r="I393" s="3">
        <f t="shared" si="83"/>
        <v>-1.7077206107967613</v>
      </c>
      <c r="J393" s="3">
        <f t="shared" si="84"/>
        <v>-1.0933640185610671E-2</v>
      </c>
      <c r="K393" s="3">
        <f t="shared" si="85"/>
        <v>0.11077673801402765</v>
      </c>
      <c r="L393" s="3">
        <f t="shared" si="90"/>
        <v>-0.11740693665626091</v>
      </c>
      <c r="M393" s="9">
        <f t="shared" si="86"/>
        <v>0.6424870466321243</v>
      </c>
      <c r="N393" s="9">
        <f t="shared" si="87"/>
        <v>0.35751295336787564</v>
      </c>
      <c r="P393">
        <f t="shared" si="88"/>
        <v>431.5</v>
      </c>
      <c r="Q393">
        <f t="shared" si="89"/>
        <v>239.5</v>
      </c>
    </row>
    <row r="394" spans="1:17" x14ac:dyDescent="0.35">
      <c r="A394">
        <v>2025</v>
      </c>
      <c r="B394" s="6">
        <v>201</v>
      </c>
      <c r="C394" s="3">
        <v>22</v>
      </c>
      <c r="D394" s="3">
        <f t="shared" si="79"/>
        <v>25.125</v>
      </c>
      <c r="E394" s="10">
        <f t="shared" si="80"/>
        <v>0.50249999999999995</v>
      </c>
      <c r="F394" s="10">
        <f t="shared" si="81"/>
        <v>0.44</v>
      </c>
      <c r="G394" s="3">
        <f t="shared" si="82"/>
        <v>47.125</v>
      </c>
      <c r="H394" s="3">
        <f t="shared" si="78"/>
        <v>0</v>
      </c>
      <c r="I394" s="3">
        <f t="shared" si="83"/>
        <v>0.65227418022699668</v>
      </c>
      <c r="J394" s="3">
        <f t="shared" si="84"/>
        <v>-1.1651714392395218</v>
      </c>
      <c r="K394" s="3">
        <f t="shared" si="85"/>
        <v>8.1827488433306284E-2</v>
      </c>
      <c r="L394" s="3">
        <f t="shared" si="90"/>
        <v>-8.5369984919987887E-2</v>
      </c>
      <c r="M394" s="9">
        <f t="shared" si="86"/>
        <v>0.46684350132625996</v>
      </c>
      <c r="N394" s="9">
        <f t="shared" si="87"/>
        <v>0.53315649867374004</v>
      </c>
      <c r="P394">
        <f t="shared" si="88"/>
        <v>78.5</v>
      </c>
      <c r="Q394">
        <f t="shared" si="89"/>
        <v>370</v>
      </c>
    </row>
    <row r="395" spans="1:17" x14ac:dyDescent="0.35">
      <c r="A395">
        <v>2025</v>
      </c>
      <c r="B395" s="6">
        <v>175</v>
      </c>
      <c r="C395" s="3">
        <v>25</v>
      </c>
      <c r="D395" s="3">
        <f t="shared" si="79"/>
        <v>21.875</v>
      </c>
      <c r="E395" s="10">
        <f t="shared" si="80"/>
        <v>0.4375</v>
      </c>
      <c r="F395" s="10">
        <f t="shared" si="81"/>
        <v>0.5</v>
      </c>
      <c r="G395" s="3">
        <f t="shared" si="82"/>
        <v>46.875</v>
      </c>
      <c r="H395" s="3">
        <f t="shared" si="78"/>
        <v>0</v>
      </c>
      <c r="I395" s="3">
        <f t="shared" si="83"/>
        <v>-0.32169192400503049</v>
      </c>
      <c r="J395" s="3">
        <f t="shared" si="84"/>
        <v>-0.78042550622155138</v>
      </c>
      <c r="K395" s="3">
        <f t="shared" si="85"/>
        <v>4.9190960435038254E-2</v>
      </c>
      <c r="L395" s="3">
        <f t="shared" si="90"/>
        <v>-5.0442036215922553E-2</v>
      </c>
      <c r="M395" s="9">
        <f t="shared" si="86"/>
        <v>0.53333333333333333</v>
      </c>
      <c r="N395" s="9">
        <f t="shared" si="87"/>
        <v>0.46666666666666667</v>
      </c>
      <c r="P395">
        <f t="shared" si="88"/>
        <v>254</v>
      </c>
      <c r="Q395">
        <f t="shared" si="89"/>
        <v>326</v>
      </c>
    </row>
    <row r="396" spans="1:17" x14ac:dyDescent="0.35">
      <c r="A396">
        <v>2025</v>
      </c>
      <c r="B396" s="6">
        <v>163</v>
      </c>
      <c r="C396" s="3">
        <v>26</v>
      </c>
      <c r="D396" s="3">
        <f t="shared" si="79"/>
        <v>20.375</v>
      </c>
      <c r="E396" s="10">
        <f t="shared" si="80"/>
        <v>0.40749999999999997</v>
      </c>
      <c r="F396" s="10">
        <f t="shared" si="81"/>
        <v>0.52</v>
      </c>
      <c r="G396" s="3">
        <f t="shared" si="82"/>
        <v>46.375</v>
      </c>
      <c r="H396" s="3">
        <f t="shared" si="78"/>
        <v>0</v>
      </c>
      <c r="I396" s="3">
        <f t="shared" si="83"/>
        <v>-0.77121474134288914</v>
      </c>
      <c r="J396" s="3">
        <f t="shared" si="84"/>
        <v>-0.65217686188222801</v>
      </c>
      <c r="K396" s="3">
        <f t="shared" si="85"/>
        <v>2.7123255553563902E-2</v>
      </c>
      <c r="L396" s="3">
        <f t="shared" si="90"/>
        <v>-2.749788062035723E-2</v>
      </c>
      <c r="M396" s="9">
        <f t="shared" si="86"/>
        <v>0.56064690026954178</v>
      </c>
      <c r="N396" s="9">
        <f t="shared" si="87"/>
        <v>0.43935309973045822</v>
      </c>
      <c r="P396">
        <f t="shared" si="88"/>
        <v>356.5</v>
      </c>
      <c r="Q396">
        <f t="shared" si="89"/>
        <v>312.5</v>
      </c>
    </row>
    <row r="397" spans="1:17" x14ac:dyDescent="0.35">
      <c r="A397">
        <v>2025</v>
      </c>
      <c r="B397" s="6">
        <v>166</v>
      </c>
      <c r="C397" s="3">
        <v>23</v>
      </c>
      <c r="D397" s="3">
        <f t="shared" si="79"/>
        <v>20.75</v>
      </c>
      <c r="E397" s="10">
        <f t="shared" si="80"/>
        <v>0.41499999999999998</v>
      </c>
      <c r="F397" s="10">
        <f t="shared" si="81"/>
        <v>0.46</v>
      </c>
      <c r="G397" s="3">
        <f t="shared" si="82"/>
        <v>43.75</v>
      </c>
      <c r="H397" s="3">
        <f t="shared" si="78"/>
        <v>0</v>
      </c>
      <c r="I397" s="3">
        <f t="shared" si="83"/>
        <v>-0.65883403700842447</v>
      </c>
      <c r="J397" s="3">
        <f t="shared" si="84"/>
        <v>-1.0369227949001982</v>
      </c>
      <c r="K397" s="3">
        <f t="shared" si="85"/>
        <v>2.3494212529748897E-3</v>
      </c>
      <c r="L397" s="3">
        <f t="shared" si="90"/>
        <v>-2.3521854734811745E-3</v>
      </c>
      <c r="M397" s="9">
        <f t="shared" si="86"/>
        <v>0.52571428571428569</v>
      </c>
      <c r="N397" s="9">
        <f t="shared" si="87"/>
        <v>0.47428571428571431</v>
      </c>
      <c r="P397">
        <f t="shared" si="88"/>
        <v>334.5</v>
      </c>
      <c r="Q397">
        <f t="shared" si="89"/>
        <v>352.5</v>
      </c>
    </row>
    <row r="398" spans="1:17" x14ac:dyDescent="0.35">
      <c r="A398">
        <v>2025</v>
      </c>
      <c r="B398" s="6">
        <v>175</v>
      </c>
      <c r="C398" s="3">
        <v>19</v>
      </c>
      <c r="D398" s="3">
        <f t="shared" si="79"/>
        <v>21.875</v>
      </c>
      <c r="E398" s="10">
        <f t="shared" si="80"/>
        <v>0.4375</v>
      </c>
      <c r="F398" s="10">
        <f t="shared" si="81"/>
        <v>0.38</v>
      </c>
      <c r="G398" s="3">
        <f t="shared" si="82"/>
        <v>40.875</v>
      </c>
      <c r="H398" s="3">
        <f t="shared" si="78"/>
        <v>0</v>
      </c>
      <c r="I398" s="3">
        <f t="shared" si="83"/>
        <v>-0.32169192400503049</v>
      </c>
      <c r="J398" s="3">
        <f t="shared" si="84"/>
        <v>-1.5499173722574922</v>
      </c>
      <c r="K398" s="3">
        <f t="shared" si="85"/>
        <v>1.6807813829522165E-4</v>
      </c>
      <c r="L398" s="3">
        <f t="shared" si="90"/>
        <v>-1.680922650084609E-4</v>
      </c>
      <c r="M398" s="9">
        <f t="shared" si="86"/>
        <v>0.46483180428134557</v>
      </c>
      <c r="N398" s="9">
        <f t="shared" si="87"/>
        <v>0.53516819571865448</v>
      </c>
      <c r="P398">
        <f t="shared" si="88"/>
        <v>254</v>
      </c>
      <c r="Q398">
        <f t="shared" si="89"/>
        <v>397.5</v>
      </c>
    </row>
    <row r="399" spans="1:17" x14ac:dyDescent="0.35">
      <c r="A399">
        <v>2025</v>
      </c>
      <c r="B399" s="6">
        <v>182</v>
      </c>
      <c r="C399" s="3">
        <v>18</v>
      </c>
      <c r="D399" s="3">
        <f t="shared" si="79"/>
        <v>22.75</v>
      </c>
      <c r="E399" s="10">
        <f t="shared" si="80"/>
        <v>0.45500000000000002</v>
      </c>
      <c r="F399" s="10">
        <f t="shared" si="81"/>
        <v>0.36</v>
      </c>
      <c r="G399" s="3">
        <f t="shared" si="82"/>
        <v>40.75</v>
      </c>
      <c r="H399" s="3">
        <f t="shared" si="78"/>
        <v>0</v>
      </c>
      <c r="I399" s="3">
        <f t="shared" si="83"/>
        <v>-5.9470280557946266E-2</v>
      </c>
      <c r="J399" s="3">
        <f t="shared" si="84"/>
        <v>-1.6781660165968155</v>
      </c>
      <c r="K399" s="3">
        <f t="shared" si="85"/>
        <v>1.6193896521044914E-4</v>
      </c>
      <c r="L399" s="3">
        <f t="shared" si="90"/>
        <v>-1.6195207874041318E-4</v>
      </c>
      <c r="M399" s="9">
        <f t="shared" si="86"/>
        <v>0.44171779141104295</v>
      </c>
      <c r="N399" s="9">
        <f t="shared" si="87"/>
        <v>0.55828220858895705</v>
      </c>
      <c r="P399">
        <f t="shared" si="88"/>
        <v>204</v>
      </c>
      <c r="Q399">
        <f t="shared" si="89"/>
        <v>409</v>
      </c>
    </row>
    <row r="400" spans="1:17" x14ac:dyDescent="0.35">
      <c r="A400">
        <v>2025</v>
      </c>
      <c r="B400" s="6">
        <v>166</v>
      </c>
      <c r="C400" s="3">
        <v>20</v>
      </c>
      <c r="D400" s="3">
        <f t="shared" si="79"/>
        <v>20.75</v>
      </c>
      <c r="E400" s="10">
        <f t="shared" si="80"/>
        <v>0.41499999999999998</v>
      </c>
      <c r="F400" s="10">
        <f t="shared" si="81"/>
        <v>0.4</v>
      </c>
      <c r="G400" s="3">
        <f t="shared" si="82"/>
        <v>40.75</v>
      </c>
      <c r="H400" s="3">
        <f t="shared" si="78"/>
        <v>0</v>
      </c>
      <c r="I400" s="3">
        <f t="shared" si="83"/>
        <v>-0.65883403700842447</v>
      </c>
      <c r="J400" s="3">
        <f t="shared" si="84"/>
        <v>-1.4216687279181688</v>
      </c>
      <c r="K400" s="3">
        <f t="shared" si="85"/>
        <v>1.3422093324677435E-4</v>
      </c>
      <c r="L400" s="3">
        <f t="shared" si="90"/>
        <v>-1.3422994168232612E-4</v>
      </c>
      <c r="M400" s="9">
        <f t="shared" si="86"/>
        <v>0.49079754601226994</v>
      </c>
      <c r="N400" s="9">
        <f t="shared" si="87"/>
        <v>0.50920245398773001</v>
      </c>
      <c r="P400">
        <f t="shared" si="88"/>
        <v>334.5</v>
      </c>
      <c r="Q400">
        <f t="shared" si="89"/>
        <v>386</v>
      </c>
    </row>
    <row r="401" spans="1:17" x14ac:dyDescent="0.35">
      <c r="A401">
        <v>2025</v>
      </c>
      <c r="B401" s="6">
        <v>201</v>
      </c>
      <c r="C401" s="3">
        <v>15</v>
      </c>
      <c r="D401" s="3">
        <f t="shared" si="79"/>
        <v>25.125</v>
      </c>
      <c r="E401" s="10">
        <f t="shared" si="80"/>
        <v>0.50249999999999995</v>
      </c>
      <c r="F401" s="10">
        <f t="shared" si="81"/>
        <v>0.3</v>
      </c>
      <c r="G401" s="3">
        <f t="shared" si="82"/>
        <v>40.125</v>
      </c>
      <c r="H401" s="3">
        <f t="shared" si="78"/>
        <v>0</v>
      </c>
      <c r="I401" s="3">
        <f t="shared" si="83"/>
        <v>0.65227418022699668</v>
      </c>
      <c r="J401" s="3">
        <f t="shared" si="84"/>
        <v>-2.0629119496147861</v>
      </c>
      <c r="K401" s="3">
        <f t="shared" si="85"/>
        <v>1.1143393646362453E-4</v>
      </c>
      <c r="L401" s="3">
        <f t="shared" si="90"/>
        <v>-1.1144014568600389E-4</v>
      </c>
      <c r="M401" s="9">
        <f t="shared" si="86"/>
        <v>0.37383177570093457</v>
      </c>
      <c r="N401" s="9">
        <f t="shared" si="87"/>
        <v>0.62616822429906538</v>
      </c>
      <c r="P401">
        <f t="shared" si="88"/>
        <v>78.5</v>
      </c>
      <c r="Q401">
        <f t="shared" si="89"/>
        <v>424.5</v>
      </c>
    </row>
    <row r="402" spans="1:17" x14ac:dyDescent="0.35">
      <c r="A402">
        <v>2025</v>
      </c>
      <c r="B402" s="6">
        <v>175</v>
      </c>
      <c r="C402" s="3">
        <v>18</v>
      </c>
      <c r="D402" s="3">
        <f t="shared" si="79"/>
        <v>21.875</v>
      </c>
      <c r="E402" s="10">
        <f t="shared" si="80"/>
        <v>0.4375</v>
      </c>
      <c r="F402" s="10">
        <f t="shared" si="81"/>
        <v>0.36</v>
      </c>
      <c r="G402" s="3">
        <f t="shared" si="82"/>
        <v>39.875</v>
      </c>
      <c r="H402" s="3">
        <f t="shared" si="78"/>
        <v>0</v>
      </c>
      <c r="I402" s="3">
        <f t="shared" si="83"/>
        <v>-0.32169192400503049</v>
      </c>
      <c r="J402" s="3">
        <f t="shared" si="84"/>
        <v>-1.6781660165968155</v>
      </c>
      <c r="K402" s="3">
        <f t="shared" si="85"/>
        <v>6.4692634743133851E-5</v>
      </c>
      <c r="L402" s="3">
        <f t="shared" si="90"/>
        <v>-6.4694727401928338E-5</v>
      </c>
      <c r="M402" s="9">
        <f t="shared" si="86"/>
        <v>0.45141065830721006</v>
      </c>
      <c r="N402" s="9">
        <f t="shared" si="87"/>
        <v>0.54858934169278994</v>
      </c>
      <c r="P402">
        <f t="shared" si="88"/>
        <v>254</v>
      </c>
      <c r="Q402">
        <f t="shared" si="89"/>
        <v>409</v>
      </c>
    </row>
    <row r="403" spans="1:17" x14ac:dyDescent="0.35">
      <c r="A403">
        <v>2025</v>
      </c>
      <c r="B403" s="6">
        <v>166</v>
      </c>
      <c r="C403" s="3">
        <v>19</v>
      </c>
      <c r="D403" s="3">
        <f t="shared" si="79"/>
        <v>20.75</v>
      </c>
      <c r="E403" s="10">
        <f t="shared" si="80"/>
        <v>0.41499999999999998</v>
      </c>
      <c r="F403" s="10">
        <f t="shared" si="81"/>
        <v>0.38</v>
      </c>
      <c r="G403" s="3">
        <f t="shared" si="82"/>
        <v>39.75</v>
      </c>
      <c r="H403" s="3">
        <f t="shared" si="78"/>
        <v>0</v>
      </c>
      <c r="I403" s="3">
        <f t="shared" si="83"/>
        <v>-0.65883403700842447</v>
      </c>
      <c r="J403" s="3">
        <f t="shared" si="84"/>
        <v>-1.5499173722574922</v>
      </c>
      <c r="K403" s="3">
        <f t="shared" si="85"/>
        <v>5.1660049540840421E-5</v>
      </c>
      <c r="L403" s="3">
        <f t="shared" si="90"/>
        <v>-5.1661383967141982E-5</v>
      </c>
      <c r="M403" s="9">
        <f t="shared" si="86"/>
        <v>0.4779874213836478</v>
      </c>
      <c r="N403" s="9">
        <f t="shared" si="87"/>
        <v>0.5220125786163522</v>
      </c>
      <c r="P403">
        <f t="shared" si="88"/>
        <v>334.5</v>
      </c>
      <c r="Q403">
        <f t="shared" si="89"/>
        <v>397.5</v>
      </c>
    </row>
    <row r="404" spans="1:17" x14ac:dyDescent="0.35">
      <c r="A404">
        <v>2025</v>
      </c>
      <c r="B404" s="6">
        <v>187</v>
      </c>
      <c r="C404" s="3">
        <v>16</v>
      </c>
      <c r="D404" s="3">
        <f t="shared" si="79"/>
        <v>23.375</v>
      </c>
      <c r="E404" s="10">
        <f t="shared" si="80"/>
        <v>0.46750000000000003</v>
      </c>
      <c r="F404" s="10">
        <f t="shared" si="81"/>
        <v>0.32</v>
      </c>
      <c r="G404" s="3">
        <f t="shared" si="82"/>
        <v>39.375</v>
      </c>
      <c r="H404" s="3">
        <f t="shared" si="78"/>
        <v>0</v>
      </c>
      <c r="I404" s="3">
        <f t="shared" si="83"/>
        <v>0.12783089333282818</v>
      </c>
      <c r="J404" s="3">
        <f t="shared" si="84"/>
        <v>-1.9346633052754625</v>
      </c>
      <c r="K404" s="3">
        <f t="shared" si="85"/>
        <v>4.6202936736330494E-5</v>
      </c>
      <c r="L404" s="3">
        <f t="shared" si="90"/>
        <v>-4.6204004124854145E-5</v>
      </c>
      <c r="M404" s="9">
        <f t="shared" si="86"/>
        <v>0.40634920634920635</v>
      </c>
      <c r="N404" s="9">
        <f t="shared" si="87"/>
        <v>0.59365079365079365</v>
      </c>
      <c r="P404">
        <f t="shared" si="88"/>
        <v>163</v>
      </c>
      <c r="Q404">
        <f t="shared" si="89"/>
        <v>420.5</v>
      </c>
    </row>
    <row r="405" spans="1:17" x14ac:dyDescent="0.35">
      <c r="A405">
        <v>2025</v>
      </c>
      <c r="B405" s="6">
        <v>193</v>
      </c>
      <c r="C405" s="3">
        <v>15</v>
      </c>
      <c r="D405" s="3">
        <f t="shared" si="79"/>
        <v>24.125</v>
      </c>
      <c r="E405" s="10">
        <f t="shared" si="80"/>
        <v>0.48249999999999998</v>
      </c>
      <c r="F405" s="10">
        <f t="shared" si="81"/>
        <v>0.3</v>
      </c>
      <c r="G405" s="3">
        <f t="shared" si="82"/>
        <v>39.125</v>
      </c>
      <c r="H405" s="3">
        <f t="shared" si="78"/>
        <v>0</v>
      </c>
      <c r="I405" s="3">
        <f t="shared" si="83"/>
        <v>0.35259230200175751</v>
      </c>
      <c r="J405" s="3">
        <f t="shared" si="84"/>
        <v>-2.0629119496147861</v>
      </c>
      <c r="K405" s="3">
        <f t="shared" si="85"/>
        <v>3.9045954603498763E-5</v>
      </c>
      <c r="L405" s="3">
        <f t="shared" si="90"/>
        <v>-3.9046716916596169E-5</v>
      </c>
      <c r="M405" s="9">
        <f t="shared" si="86"/>
        <v>0.38338658146964855</v>
      </c>
      <c r="N405" s="9">
        <f t="shared" si="87"/>
        <v>0.61661341853035145</v>
      </c>
      <c r="P405">
        <f t="shared" si="88"/>
        <v>124</v>
      </c>
      <c r="Q405">
        <f t="shared" si="89"/>
        <v>424.5</v>
      </c>
    </row>
    <row r="406" spans="1:17" x14ac:dyDescent="0.35">
      <c r="A406">
        <v>2025</v>
      </c>
      <c r="B406" s="6">
        <v>189</v>
      </c>
      <c r="C406" s="3">
        <v>13</v>
      </c>
      <c r="D406" s="3">
        <f t="shared" si="79"/>
        <v>23.625</v>
      </c>
      <c r="E406" s="10">
        <f t="shared" si="80"/>
        <v>0.47249999999999998</v>
      </c>
      <c r="F406" s="10">
        <f t="shared" si="81"/>
        <v>0.26</v>
      </c>
      <c r="G406" s="3">
        <f t="shared" si="82"/>
        <v>36.625</v>
      </c>
      <c r="H406" s="3">
        <f t="shared" si="78"/>
        <v>0</v>
      </c>
      <c r="I406" s="3">
        <f t="shared" si="83"/>
        <v>0.20275136288913795</v>
      </c>
      <c r="J406" s="3">
        <f t="shared" si="84"/>
        <v>-2.3194092382934328</v>
      </c>
      <c r="K406" s="3">
        <f t="shared" si="85"/>
        <v>3.4233593737776478E-6</v>
      </c>
      <c r="L406" s="3">
        <f t="shared" si="90"/>
        <v>-3.4233652334634491E-6</v>
      </c>
      <c r="M406" s="9">
        <f t="shared" si="86"/>
        <v>0.35494880546075086</v>
      </c>
      <c r="N406" s="9">
        <f t="shared" si="87"/>
        <v>0.6450511945392492</v>
      </c>
      <c r="P406">
        <f t="shared" si="88"/>
        <v>150</v>
      </c>
      <c r="Q406">
        <f t="shared" si="89"/>
        <v>430.5</v>
      </c>
    </row>
    <row r="407" spans="1:17" x14ac:dyDescent="0.35">
      <c r="A407">
        <v>2025</v>
      </c>
      <c r="B407" s="6">
        <v>173</v>
      </c>
      <c r="C407" s="3">
        <v>14</v>
      </c>
      <c r="D407" s="3">
        <f t="shared" si="79"/>
        <v>21.625</v>
      </c>
      <c r="E407" s="10">
        <f t="shared" si="80"/>
        <v>0.4325</v>
      </c>
      <c r="F407" s="10">
        <f t="shared" si="81"/>
        <v>0.28000000000000003</v>
      </c>
      <c r="G407" s="3">
        <f t="shared" si="82"/>
        <v>35.625</v>
      </c>
      <c r="H407" s="3">
        <f t="shared" si="78"/>
        <v>0</v>
      </c>
      <c r="I407" s="3">
        <f t="shared" si="83"/>
        <v>-0.39661239356134026</v>
      </c>
      <c r="J407" s="3">
        <f t="shared" si="84"/>
        <v>-2.1911605939541094</v>
      </c>
      <c r="K407" s="3">
        <f t="shared" si="85"/>
        <v>1.0919658708820679E-6</v>
      </c>
      <c r="L407" s="3">
        <f t="shared" si="90"/>
        <v>-1.0919664670315411E-6</v>
      </c>
      <c r="M407" s="9">
        <f t="shared" si="86"/>
        <v>0.39298245614035088</v>
      </c>
      <c r="N407" s="9">
        <f t="shared" si="87"/>
        <v>0.60701754385964912</v>
      </c>
      <c r="P407">
        <f t="shared" si="88"/>
        <v>267</v>
      </c>
      <c r="Q407">
        <f t="shared" si="89"/>
        <v>427</v>
      </c>
    </row>
    <row r="408" spans="1:17" x14ac:dyDescent="0.35">
      <c r="A408">
        <v>2025</v>
      </c>
      <c r="B408" s="6">
        <v>146</v>
      </c>
      <c r="C408" s="3">
        <v>17</v>
      </c>
      <c r="D408" s="3">
        <f t="shared" si="79"/>
        <v>18.25</v>
      </c>
      <c r="E408" s="10">
        <f t="shared" si="80"/>
        <v>0.36499999999999999</v>
      </c>
      <c r="F408" s="10">
        <f t="shared" si="81"/>
        <v>0.34</v>
      </c>
      <c r="G408" s="3">
        <f t="shared" si="82"/>
        <v>35.25</v>
      </c>
      <c r="H408" s="3">
        <f t="shared" si="78"/>
        <v>0</v>
      </c>
      <c r="I408" s="3">
        <f t="shared" si="83"/>
        <v>-1.4080387325715222</v>
      </c>
      <c r="J408" s="3">
        <f t="shared" si="84"/>
        <v>-1.8064146609361391</v>
      </c>
      <c r="K408" s="3">
        <f t="shared" si="85"/>
        <v>5.5602235704441359E-7</v>
      </c>
      <c r="L408" s="3">
        <f t="shared" si="90"/>
        <v>-5.5602251162603726E-7</v>
      </c>
      <c r="M408" s="9">
        <f t="shared" si="86"/>
        <v>0.48226950354609927</v>
      </c>
      <c r="N408" s="9">
        <f t="shared" si="87"/>
        <v>0.51773049645390068</v>
      </c>
      <c r="P408">
        <f t="shared" si="88"/>
        <v>417</v>
      </c>
      <c r="Q408">
        <f t="shared" si="89"/>
        <v>415</v>
      </c>
    </row>
    <row r="409" spans="1:17" x14ac:dyDescent="0.35">
      <c r="A409">
        <v>2025</v>
      </c>
      <c r="B409" s="6">
        <v>167</v>
      </c>
      <c r="C409" s="3">
        <v>13</v>
      </c>
      <c r="D409" s="3">
        <f t="shared" si="79"/>
        <v>20.875</v>
      </c>
      <c r="E409" s="10">
        <f t="shared" si="80"/>
        <v>0.41749999999999998</v>
      </c>
      <c r="F409" s="10">
        <f t="shared" si="81"/>
        <v>0.26</v>
      </c>
      <c r="G409" s="3">
        <f t="shared" si="82"/>
        <v>33.875</v>
      </c>
      <c r="H409" s="3">
        <f t="shared" si="78"/>
        <v>0</v>
      </c>
      <c r="I409" s="3">
        <f t="shared" si="83"/>
        <v>-0.62137380223026961</v>
      </c>
      <c r="J409" s="3">
        <f t="shared" si="84"/>
        <v>-2.3194092382934328</v>
      </c>
      <c r="K409" s="3">
        <f t="shared" si="85"/>
        <v>1.9138306713305529E-7</v>
      </c>
      <c r="L409" s="3">
        <f t="shared" si="90"/>
        <v>-1.9138308548555463E-7</v>
      </c>
      <c r="M409" s="9">
        <f t="shared" si="86"/>
        <v>0.3837638376383764</v>
      </c>
      <c r="N409" s="9">
        <f t="shared" si="87"/>
        <v>0.6162361623616236</v>
      </c>
      <c r="P409">
        <f t="shared" si="88"/>
        <v>323</v>
      </c>
      <c r="Q409">
        <f t="shared" si="89"/>
        <v>430.5</v>
      </c>
    </row>
    <row r="410" spans="1:17" x14ac:dyDescent="0.35">
      <c r="A410">
        <v>2025</v>
      </c>
      <c r="B410" s="6">
        <v>205</v>
      </c>
      <c r="C410" s="3">
        <v>40</v>
      </c>
      <c r="D410" s="3">
        <f t="shared" si="79"/>
        <v>25.625</v>
      </c>
      <c r="E410" s="10">
        <f t="shared" si="80"/>
        <v>0.51249999999999996</v>
      </c>
      <c r="F410" s="10">
        <f t="shared" si="81"/>
        <v>0.8</v>
      </c>
      <c r="G410" s="3">
        <f t="shared" si="82"/>
        <v>65.625</v>
      </c>
      <c r="H410" s="3">
        <f t="shared" si="78"/>
        <v>1</v>
      </c>
      <c r="I410" s="3">
        <f t="shared" si="83"/>
        <v>0.80211511933961621</v>
      </c>
      <c r="J410" s="3">
        <f t="shared" si="84"/>
        <v>1.1433041588683004</v>
      </c>
      <c r="K410" s="3">
        <f t="shared" si="85"/>
        <v>0.99999977214150526</v>
      </c>
      <c r="L410" s="3">
        <f t="shared" si="90"/>
        <v>-2.2785852069880349E-7</v>
      </c>
      <c r="M410" s="9">
        <f t="shared" si="86"/>
        <v>0.60952380952380958</v>
      </c>
      <c r="N410" s="9">
        <f t="shared" si="87"/>
        <v>0.39047619047619048</v>
      </c>
      <c r="P410">
        <f t="shared" si="88"/>
        <v>65</v>
      </c>
      <c r="Q410">
        <f t="shared" si="89"/>
        <v>50.5</v>
      </c>
    </row>
    <row r="411" spans="1:17" x14ac:dyDescent="0.35">
      <c r="A411">
        <v>2025</v>
      </c>
      <c r="B411" s="6">
        <v>218</v>
      </c>
      <c r="C411" s="3">
        <v>36</v>
      </c>
      <c r="D411" s="3">
        <f t="shared" si="79"/>
        <v>27.25</v>
      </c>
      <c r="E411" s="10">
        <f t="shared" si="80"/>
        <v>0.54500000000000004</v>
      </c>
      <c r="F411" s="10">
        <f t="shared" si="81"/>
        <v>0.72</v>
      </c>
      <c r="G411" s="3">
        <f t="shared" si="82"/>
        <v>63.25</v>
      </c>
      <c r="H411" s="3">
        <f t="shared" si="78"/>
        <v>1</v>
      </c>
      <c r="I411" s="3">
        <f t="shared" si="83"/>
        <v>1.2890981714556298</v>
      </c>
      <c r="J411" s="3">
        <f t="shared" si="84"/>
        <v>0.63030958151100658</v>
      </c>
      <c r="K411" s="3">
        <f t="shared" si="85"/>
        <v>0.99999811058972721</v>
      </c>
      <c r="L411" s="3">
        <f t="shared" si="90"/>
        <v>-1.8894120577307174E-6</v>
      </c>
      <c r="M411" s="9">
        <f t="shared" si="86"/>
        <v>0.56916996047430835</v>
      </c>
      <c r="N411" s="9">
        <f t="shared" si="87"/>
        <v>0.43083003952569171</v>
      </c>
      <c r="P411">
        <f t="shared" si="88"/>
        <v>43</v>
      </c>
      <c r="Q411">
        <f t="shared" si="89"/>
        <v>152</v>
      </c>
    </row>
    <row r="412" spans="1:17" x14ac:dyDescent="0.35">
      <c r="A412">
        <v>2025</v>
      </c>
      <c r="B412" s="6">
        <v>169</v>
      </c>
      <c r="C412" s="3">
        <v>41</v>
      </c>
      <c r="D412" s="3">
        <f t="shared" si="79"/>
        <v>21.125</v>
      </c>
      <c r="E412" s="10">
        <f t="shared" si="80"/>
        <v>0.42249999999999999</v>
      </c>
      <c r="F412" s="10">
        <f t="shared" si="81"/>
        <v>0.82</v>
      </c>
      <c r="G412" s="3">
        <f t="shared" si="82"/>
        <v>62.125</v>
      </c>
      <c r="H412" s="3">
        <f t="shared" si="78"/>
        <v>1</v>
      </c>
      <c r="I412" s="3">
        <f t="shared" si="83"/>
        <v>-0.54645333267395979</v>
      </c>
      <c r="J412" s="3">
        <f t="shared" si="84"/>
        <v>1.271552803207624</v>
      </c>
      <c r="K412" s="3">
        <f t="shared" si="85"/>
        <v>0.99999016922712791</v>
      </c>
      <c r="L412" s="3">
        <f t="shared" si="90"/>
        <v>-9.8308211944524405E-6</v>
      </c>
      <c r="M412" s="9">
        <f t="shared" si="86"/>
        <v>0.65995975855130784</v>
      </c>
      <c r="N412" s="9">
        <f t="shared" si="87"/>
        <v>0.34004024144869216</v>
      </c>
      <c r="P412">
        <f t="shared" si="88"/>
        <v>299</v>
      </c>
      <c r="Q412">
        <f t="shared" si="89"/>
        <v>27</v>
      </c>
    </row>
    <row r="413" spans="1:17" x14ac:dyDescent="0.35">
      <c r="A413">
        <v>2025</v>
      </c>
      <c r="B413" s="6">
        <v>173</v>
      </c>
      <c r="C413" s="3">
        <v>40</v>
      </c>
      <c r="D413" s="3">
        <f t="shared" si="79"/>
        <v>21.625</v>
      </c>
      <c r="E413" s="10">
        <f t="shared" si="80"/>
        <v>0.4325</v>
      </c>
      <c r="F413" s="10">
        <f t="shared" si="81"/>
        <v>0.8</v>
      </c>
      <c r="G413" s="3">
        <f t="shared" si="82"/>
        <v>61.625</v>
      </c>
      <c r="H413" s="3">
        <f t="shared" si="78"/>
        <v>1</v>
      </c>
      <c r="I413" s="3">
        <f t="shared" si="83"/>
        <v>-0.39661239356134026</v>
      </c>
      <c r="J413" s="3">
        <f t="shared" si="84"/>
        <v>1.1433041588683004</v>
      </c>
      <c r="K413" s="3">
        <f t="shared" si="85"/>
        <v>0.99998488005447572</v>
      </c>
      <c r="L413" s="3">
        <f t="shared" si="90"/>
        <v>-1.5120059831806413E-5</v>
      </c>
      <c r="M413" s="9">
        <f t="shared" si="86"/>
        <v>0.64908722109533468</v>
      </c>
      <c r="N413" s="9">
        <f t="shared" si="87"/>
        <v>0.35091277890466532</v>
      </c>
      <c r="P413">
        <f t="shared" si="88"/>
        <v>267</v>
      </c>
      <c r="Q413">
        <f t="shared" si="89"/>
        <v>50.5</v>
      </c>
    </row>
    <row r="414" spans="1:17" x14ac:dyDescent="0.35">
      <c r="A414">
        <v>2025</v>
      </c>
      <c r="B414" s="6">
        <v>157</v>
      </c>
      <c r="C414" s="3">
        <v>41</v>
      </c>
      <c r="D414" s="3">
        <f t="shared" si="79"/>
        <v>19.625</v>
      </c>
      <c r="E414" s="10">
        <f t="shared" si="80"/>
        <v>0.39250000000000002</v>
      </c>
      <c r="F414" s="10">
        <f t="shared" si="81"/>
        <v>0.82</v>
      </c>
      <c r="G414" s="3">
        <f t="shared" si="82"/>
        <v>60.625</v>
      </c>
      <c r="H414" s="3">
        <f t="shared" ref="H414:H444" si="91">IF(G414&gt;=50,1,0)</f>
        <v>1</v>
      </c>
      <c r="I414" s="3">
        <f t="shared" si="83"/>
        <v>-0.9959761500118185</v>
      </c>
      <c r="J414" s="3">
        <f t="shared" si="84"/>
        <v>1.271552803207624</v>
      </c>
      <c r="K414" s="3">
        <f t="shared" si="85"/>
        <v>0.99995259974839235</v>
      </c>
      <c r="L414" s="3">
        <f t="shared" si="90"/>
        <v>-4.7401375035081247E-5</v>
      </c>
      <c r="M414" s="9">
        <f t="shared" si="86"/>
        <v>0.67628865979381447</v>
      </c>
      <c r="N414" s="9">
        <f t="shared" si="87"/>
        <v>0.32371134020618558</v>
      </c>
      <c r="P414">
        <f t="shared" si="88"/>
        <v>384.5</v>
      </c>
      <c r="Q414">
        <f t="shared" si="89"/>
        <v>27</v>
      </c>
    </row>
    <row r="415" spans="1:17" x14ac:dyDescent="0.35">
      <c r="A415">
        <v>2025</v>
      </c>
      <c r="B415" s="6">
        <v>200</v>
      </c>
      <c r="C415" s="3">
        <v>34</v>
      </c>
      <c r="D415" s="3">
        <f t="shared" si="79"/>
        <v>25</v>
      </c>
      <c r="E415" s="10">
        <f t="shared" si="80"/>
        <v>0.5</v>
      </c>
      <c r="F415" s="10">
        <f t="shared" si="81"/>
        <v>0.68</v>
      </c>
      <c r="G415" s="3">
        <f t="shared" si="82"/>
        <v>59</v>
      </c>
      <c r="H415" s="3">
        <f t="shared" si="91"/>
        <v>1</v>
      </c>
      <c r="I415" s="3">
        <f t="shared" si="83"/>
        <v>0.61481394544884171</v>
      </c>
      <c r="J415" s="3">
        <f t="shared" si="84"/>
        <v>0.37381229283235973</v>
      </c>
      <c r="K415" s="3">
        <f t="shared" si="85"/>
        <v>0.99986495298771916</v>
      </c>
      <c r="L415" s="3">
        <f t="shared" si="90"/>
        <v>-1.350561319496705E-4</v>
      </c>
      <c r="M415" s="9">
        <f t="shared" si="86"/>
        <v>0.57627118644067798</v>
      </c>
      <c r="N415" s="9">
        <f t="shared" si="87"/>
        <v>0.42372881355932202</v>
      </c>
      <c r="P415">
        <f t="shared" si="88"/>
        <v>85</v>
      </c>
      <c r="Q415">
        <f t="shared" si="89"/>
        <v>189.5</v>
      </c>
    </row>
    <row r="416" spans="1:17" x14ac:dyDescent="0.35">
      <c r="A416">
        <v>2025</v>
      </c>
      <c r="B416" s="6">
        <v>171</v>
      </c>
      <c r="C416" s="3">
        <v>37</v>
      </c>
      <c r="D416" s="3">
        <f t="shared" si="79"/>
        <v>21.375</v>
      </c>
      <c r="E416" s="10">
        <f t="shared" si="80"/>
        <v>0.42749999999999999</v>
      </c>
      <c r="F416" s="10">
        <f t="shared" si="81"/>
        <v>0.74</v>
      </c>
      <c r="G416" s="3">
        <f t="shared" si="82"/>
        <v>58.375</v>
      </c>
      <c r="H416" s="3">
        <f t="shared" si="91"/>
        <v>1</v>
      </c>
      <c r="I416" s="3">
        <f t="shared" si="83"/>
        <v>-0.47153286311765003</v>
      </c>
      <c r="J416" s="3">
        <f t="shared" si="84"/>
        <v>0.75855822585033006</v>
      </c>
      <c r="K416" s="3">
        <f t="shared" si="85"/>
        <v>0.99965534928092037</v>
      </c>
      <c r="L416" s="3">
        <f t="shared" si="90"/>
        <v>-3.4471012478858444E-4</v>
      </c>
      <c r="M416" s="9">
        <f t="shared" si="86"/>
        <v>0.63383297644539616</v>
      </c>
      <c r="N416" s="9">
        <f t="shared" si="87"/>
        <v>0.36616702355460384</v>
      </c>
      <c r="P416">
        <f t="shared" si="88"/>
        <v>278</v>
      </c>
      <c r="Q416">
        <f t="shared" si="89"/>
        <v>128</v>
      </c>
    </row>
    <row r="417" spans="1:17" x14ac:dyDescent="0.35">
      <c r="A417">
        <v>2025</v>
      </c>
      <c r="B417" s="6">
        <v>223</v>
      </c>
      <c r="C417" s="3">
        <v>30</v>
      </c>
      <c r="D417" s="3">
        <f t="shared" si="79"/>
        <v>27.875</v>
      </c>
      <c r="E417" s="10">
        <f t="shared" si="80"/>
        <v>0.5575</v>
      </c>
      <c r="F417" s="10">
        <f t="shared" si="81"/>
        <v>0.6</v>
      </c>
      <c r="G417" s="3">
        <f t="shared" si="82"/>
        <v>57.875</v>
      </c>
      <c r="H417" s="3">
        <f t="shared" si="91"/>
        <v>1</v>
      </c>
      <c r="I417" s="3">
        <f t="shared" si="83"/>
        <v>1.4763993453464042</v>
      </c>
      <c r="J417" s="3">
        <f t="shared" si="84"/>
        <v>-0.13918228452493411</v>
      </c>
      <c r="K417" s="3">
        <f t="shared" si="85"/>
        <v>0.99969819027745732</v>
      </c>
      <c r="L417" s="3">
        <f t="shared" si="90"/>
        <v>-3.0185527626292358E-4</v>
      </c>
      <c r="M417" s="9">
        <f t="shared" si="86"/>
        <v>0.51835853131749465</v>
      </c>
      <c r="N417" s="9">
        <f t="shared" si="87"/>
        <v>0.4816414686825054</v>
      </c>
      <c r="P417">
        <f t="shared" si="88"/>
        <v>35</v>
      </c>
      <c r="Q417">
        <f t="shared" si="89"/>
        <v>259</v>
      </c>
    </row>
    <row r="418" spans="1:17" x14ac:dyDescent="0.35">
      <c r="A418">
        <v>2025</v>
      </c>
      <c r="B418" s="6">
        <v>165</v>
      </c>
      <c r="C418" s="3">
        <v>37</v>
      </c>
      <c r="D418" s="3">
        <f t="shared" si="79"/>
        <v>20.625</v>
      </c>
      <c r="E418" s="10">
        <f t="shared" si="80"/>
        <v>0.41249999999999998</v>
      </c>
      <c r="F418" s="10">
        <f t="shared" si="81"/>
        <v>0.74</v>
      </c>
      <c r="G418" s="3">
        <f t="shared" si="82"/>
        <v>57.625</v>
      </c>
      <c r="H418" s="3">
        <f t="shared" si="91"/>
        <v>1</v>
      </c>
      <c r="I418" s="3">
        <f t="shared" si="83"/>
        <v>-0.69629427178657943</v>
      </c>
      <c r="J418" s="3">
        <f t="shared" si="84"/>
        <v>0.75855822585033006</v>
      </c>
      <c r="K418" s="3">
        <f t="shared" si="85"/>
        <v>0.99924350705835663</v>
      </c>
      <c r="L418" s="3">
        <f t="shared" si="90"/>
        <v>-7.5677922681966576E-4</v>
      </c>
      <c r="M418" s="9">
        <f t="shared" si="86"/>
        <v>0.64208242950108463</v>
      </c>
      <c r="N418" s="9">
        <f t="shared" si="87"/>
        <v>0.35791757049891543</v>
      </c>
      <c r="P418">
        <f t="shared" si="88"/>
        <v>342.5</v>
      </c>
      <c r="Q418">
        <f t="shared" si="89"/>
        <v>128</v>
      </c>
    </row>
    <row r="419" spans="1:17" x14ac:dyDescent="0.35">
      <c r="A419">
        <v>2025</v>
      </c>
      <c r="B419" s="6">
        <v>163</v>
      </c>
      <c r="C419" s="3">
        <v>36</v>
      </c>
      <c r="D419" s="3">
        <f t="shared" si="79"/>
        <v>20.375</v>
      </c>
      <c r="E419" s="10">
        <f t="shared" si="80"/>
        <v>0.40749999999999997</v>
      </c>
      <c r="F419" s="10">
        <f t="shared" si="81"/>
        <v>0.72</v>
      </c>
      <c r="G419" s="3">
        <f t="shared" si="82"/>
        <v>56.375</v>
      </c>
      <c r="H419" s="3">
        <f t="shared" si="91"/>
        <v>1</v>
      </c>
      <c r="I419" s="3">
        <f t="shared" si="83"/>
        <v>-0.77121474134288914</v>
      </c>
      <c r="J419" s="3">
        <f t="shared" si="84"/>
        <v>0.63030958151100658</v>
      </c>
      <c r="K419" s="3">
        <f t="shared" si="85"/>
        <v>0.99744968365663422</v>
      </c>
      <c r="L419" s="3">
        <f t="shared" si="90"/>
        <v>-2.5535739398711709E-3</v>
      </c>
      <c r="M419" s="9">
        <f t="shared" si="86"/>
        <v>0.63858093126385806</v>
      </c>
      <c r="N419" s="9">
        <f t="shared" si="87"/>
        <v>0.36141906873614188</v>
      </c>
      <c r="P419">
        <f t="shared" si="88"/>
        <v>356.5</v>
      </c>
      <c r="Q419">
        <f t="shared" si="89"/>
        <v>152</v>
      </c>
    </row>
    <row r="420" spans="1:17" x14ac:dyDescent="0.35">
      <c r="A420">
        <v>2025</v>
      </c>
      <c r="B420" s="6">
        <v>170</v>
      </c>
      <c r="C420" s="3">
        <v>35</v>
      </c>
      <c r="D420" s="3">
        <f t="shared" si="79"/>
        <v>21.25</v>
      </c>
      <c r="E420" s="10">
        <f t="shared" si="80"/>
        <v>0.42499999999999999</v>
      </c>
      <c r="F420" s="10">
        <f t="shared" si="81"/>
        <v>0.7</v>
      </c>
      <c r="G420" s="3">
        <f t="shared" si="82"/>
        <v>56.25</v>
      </c>
      <c r="H420" s="3">
        <f t="shared" si="91"/>
        <v>1</v>
      </c>
      <c r="I420" s="3">
        <f t="shared" si="83"/>
        <v>-0.50899309789580494</v>
      </c>
      <c r="J420" s="3">
        <f t="shared" si="84"/>
        <v>0.50206093717168321</v>
      </c>
      <c r="K420" s="3">
        <f t="shared" si="85"/>
        <v>0.99735323979831769</v>
      </c>
      <c r="L420" s="3">
        <f t="shared" si="90"/>
        <v>-2.6502690642442968E-3</v>
      </c>
      <c r="M420" s="9">
        <f t="shared" si="86"/>
        <v>0.62222222222222223</v>
      </c>
      <c r="N420" s="9">
        <f t="shared" si="87"/>
        <v>0.37777777777777777</v>
      </c>
      <c r="P420">
        <f t="shared" si="88"/>
        <v>287.5</v>
      </c>
      <c r="Q420">
        <f t="shared" si="89"/>
        <v>171.5</v>
      </c>
    </row>
    <row r="421" spans="1:17" x14ac:dyDescent="0.35">
      <c r="A421">
        <v>2025</v>
      </c>
      <c r="B421" s="6">
        <v>214</v>
      </c>
      <c r="C421" s="3">
        <v>29</v>
      </c>
      <c r="D421" s="3">
        <f t="shared" si="79"/>
        <v>26.75</v>
      </c>
      <c r="E421" s="10">
        <f t="shared" si="80"/>
        <v>0.53500000000000003</v>
      </c>
      <c r="F421" s="10">
        <f t="shared" si="81"/>
        <v>0.57999999999999996</v>
      </c>
      <c r="G421" s="3">
        <f t="shared" si="82"/>
        <v>55.75</v>
      </c>
      <c r="H421" s="3">
        <f t="shared" si="91"/>
        <v>1</v>
      </c>
      <c r="I421" s="3">
        <f t="shared" si="83"/>
        <v>1.1392572323430101</v>
      </c>
      <c r="J421" s="3">
        <f t="shared" si="84"/>
        <v>-0.26743092886425757</v>
      </c>
      <c r="K421" s="3">
        <f t="shared" si="85"/>
        <v>0.99745395866970255</v>
      </c>
      <c r="L421" s="3">
        <f t="shared" si="90"/>
        <v>-2.5492880054755187E-3</v>
      </c>
      <c r="M421" s="9">
        <f t="shared" si="86"/>
        <v>0.52017937219730936</v>
      </c>
      <c r="N421" s="9">
        <f t="shared" si="87"/>
        <v>0.47982062780269058</v>
      </c>
      <c r="P421">
        <f t="shared" si="88"/>
        <v>49</v>
      </c>
      <c r="Q421">
        <f t="shared" si="89"/>
        <v>272.5</v>
      </c>
    </row>
    <row r="422" spans="1:17" x14ac:dyDescent="0.35">
      <c r="A422">
        <v>2025</v>
      </c>
      <c r="B422" s="6">
        <v>227</v>
      </c>
      <c r="C422" s="3">
        <v>27</v>
      </c>
      <c r="D422" s="3">
        <f t="shared" si="79"/>
        <v>28.375</v>
      </c>
      <c r="E422" s="10">
        <f t="shared" si="80"/>
        <v>0.5675</v>
      </c>
      <c r="F422" s="10">
        <f t="shared" si="81"/>
        <v>0.54</v>
      </c>
      <c r="G422" s="3">
        <f t="shared" si="82"/>
        <v>55.375</v>
      </c>
      <c r="H422" s="3">
        <f t="shared" si="91"/>
        <v>1</v>
      </c>
      <c r="I422" s="3">
        <f t="shared" si="83"/>
        <v>1.6262402844590238</v>
      </c>
      <c r="J422" s="3">
        <f t="shared" si="84"/>
        <v>-0.52392821754290453</v>
      </c>
      <c r="K422" s="3">
        <f t="shared" si="85"/>
        <v>0.99687483892960871</v>
      </c>
      <c r="L422" s="3">
        <f t="shared" si="90"/>
        <v>-3.1300545842548612E-3</v>
      </c>
      <c r="M422" s="9">
        <f t="shared" si="86"/>
        <v>0.48758465011286684</v>
      </c>
      <c r="N422" s="9">
        <f t="shared" si="87"/>
        <v>0.51241534988713322</v>
      </c>
      <c r="P422">
        <f t="shared" si="88"/>
        <v>27.5</v>
      </c>
      <c r="Q422">
        <f t="shared" si="89"/>
        <v>294.5</v>
      </c>
    </row>
    <row r="423" spans="1:17" x14ac:dyDescent="0.35">
      <c r="A423">
        <v>2025</v>
      </c>
      <c r="B423" s="6">
        <v>154</v>
      </c>
      <c r="C423" s="3">
        <v>36</v>
      </c>
      <c r="D423" s="3">
        <f t="shared" si="79"/>
        <v>19.25</v>
      </c>
      <c r="E423" s="10">
        <f t="shared" si="80"/>
        <v>0.38500000000000001</v>
      </c>
      <c r="F423" s="10">
        <f t="shared" si="81"/>
        <v>0.72</v>
      </c>
      <c r="G423" s="3">
        <f t="shared" si="82"/>
        <v>55.25</v>
      </c>
      <c r="H423" s="3">
        <f t="shared" si="91"/>
        <v>1</v>
      </c>
      <c r="I423" s="3">
        <f t="shared" si="83"/>
        <v>-1.1083568543462832</v>
      </c>
      <c r="J423" s="3">
        <f t="shared" si="84"/>
        <v>0.63030958151100658</v>
      </c>
      <c r="K423" s="3">
        <f t="shared" si="85"/>
        <v>0.99174890169784546</v>
      </c>
      <c r="L423" s="3">
        <f t="shared" si="90"/>
        <v>-8.2853270268330882E-3</v>
      </c>
      <c r="M423" s="9">
        <f t="shared" si="86"/>
        <v>0.65158371040723984</v>
      </c>
      <c r="N423" s="9">
        <f t="shared" si="87"/>
        <v>0.34841628959276016</v>
      </c>
      <c r="P423">
        <f t="shared" si="88"/>
        <v>395.5</v>
      </c>
      <c r="Q423">
        <f t="shared" si="89"/>
        <v>152</v>
      </c>
    </row>
    <row r="424" spans="1:17" x14ac:dyDescent="0.35">
      <c r="A424">
        <v>2025</v>
      </c>
      <c r="B424" s="6">
        <v>140</v>
      </c>
      <c r="C424" s="3">
        <v>37</v>
      </c>
      <c r="D424" s="3">
        <f t="shared" si="79"/>
        <v>17.5</v>
      </c>
      <c r="E424" s="10">
        <f t="shared" si="80"/>
        <v>0.35</v>
      </c>
      <c r="F424" s="10">
        <f t="shared" si="81"/>
        <v>0.74</v>
      </c>
      <c r="G424" s="3">
        <f t="shared" si="82"/>
        <v>54.5</v>
      </c>
      <c r="H424" s="3">
        <f t="shared" si="91"/>
        <v>1</v>
      </c>
      <c r="I424" s="3">
        <f t="shared" si="83"/>
        <v>-1.6328001412404516</v>
      </c>
      <c r="J424" s="3">
        <f t="shared" si="84"/>
        <v>0.75855822585033006</v>
      </c>
      <c r="K424" s="3">
        <f t="shared" si="85"/>
        <v>0.98032759379051271</v>
      </c>
      <c r="L424" s="3">
        <f t="shared" si="90"/>
        <v>-1.9868483798348588E-2</v>
      </c>
      <c r="M424" s="9">
        <f t="shared" si="86"/>
        <v>0.67889908256880738</v>
      </c>
      <c r="N424" s="9">
        <f t="shared" si="87"/>
        <v>0.32110091743119268</v>
      </c>
      <c r="P424">
        <f t="shared" si="88"/>
        <v>430</v>
      </c>
      <c r="Q424">
        <f t="shared" si="89"/>
        <v>128</v>
      </c>
    </row>
    <row r="425" spans="1:17" x14ac:dyDescent="0.35">
      <c r="A425">
        <v>2025</v>
      </c>
      <c r="B425" s="6">
        <v>183</v>
      </c>
      <c r="C425" s="3">
        <v>30</v>
      </c>
      <c r="D425" s="3">
        <f t="shared" si="79"/>
        <v>22.875</v>
      </c>
      <c r="E425" s="10">
        <f t="shared" si="80"/>
        <v>0.45750000000000002</v>
      </c>
      <c r="F425" s="10">
        <f t="shared" si="81"/>
        <v>0.6</v>
      </c>
      <c r="G425" s="3">
        <f t="shared" si="82"/>
        <v>52.875</v>
      </c>
      <c r="H425" s="3">
        <f t="shared" si="91"/>
        <v>1</v>
      </c>
      <c r="I425" s="3">
        <f t="shared" si="83"/>
        <v>-2.2010045779791373E-2</v>
      </c>
      <c r="J425" s="3">
        <f t="shared" si="84"/>
        <v>-0.13918228452493411</v>
      </c>
      <c r="K425" s="3">
        <f t="shared" si="85"/>
        <v>0.94591453631697631</v>
      </c>
      <c r="L425" s="3">
        <f t="shared" si="90"/>
        <v>-5.5603056171001974E-2</v>
      </c>
      <c r="M425" s="9">
        <f t="shared" si="86"/>
        <v>0.56737588652482274</v>
      </c>
      <c r="N425" s="9">
        <f t="shared" si="87"/>
        <v>0.43262411347517732</v>
      </c>
      <c r="P425">
        <f t="shared" si="88"/>
        <v>197</v>
      </c>
      <c r="Q425">
        <f t="shared" si="89"/>
        <v>259</v>
      </c>
    </row>
    <row r="426" spans="1:17" x14ac:dyDescent="0.35">
      <c r="A426">
        <v>2025</v>
      </c>
      <c r="B426" s="6">
        <v>147</v>
      </c>
      <c r="C426" s="3">
        <v>34</v>
      </c>
      <c r="D426" s="3">
        <f t="shared" si="79"/>
        <v>18.375</v>
      </c>
      <c r="E426" s="10">
        <f t="shared" si="80"/>
        <v>0.36749999999999999</v>
      </c>
      <c r="F426" s="10">
        <f t="shared" si="81"/>
        <v>0.68</v>
      </c>
      <c r="G426" s="3">
        <f t="shared" si="82"/>
        <v>52.375</v>
      </c>
      <c r="H426" s="3">
        <f t="shared" si="91"/>
        <v>1</v>
      </c>
      <c r="I426" s="3">
        <f t="shared" si="83"/>
        <v>-1.3705784977933675</v>
      </c>
      <c r="J426" s="3">
        <f t="shared" si="84"/>
        <v>0.37381229283235973</v>
      </c>
      <c r="K426" s="3">
        <f t="shared" si="85"/>
        <v>0.87671510463009383</v>
      </c>
      <c r="L426" s="3">
        <f t="shared" si="90"/>
        <v>-0.13157319157503095</v>
      </c>
      <c r="M426" s="9">
        <f t="shared" si="86"/>
        <v>0.64916467780429599</v>
      </c>
      <c r="N426" s="9">
        <f t="shared" si="87"/>
        <v>0.35083532219570407</v>
      </c>
      <c r="P426">
        <f t="shared" si="88"/>
        <v>414.5</v>
      </c>
      <c r="Q426">
        <f t="shared" si="89"/>
        <v>189.5</v>
      </c>
    </row>
    <row r="427" spans="1:17" x14ac:dyDescent="0.35">
      <c r="A427">
        <v>2025</v>
      </c>
      <c r="B427" s="6">
        <v>169</v>
      </c>
      <c r="C427" s="3">
        <v>29</v>
      </c>
      <c r="D427" s="3">
        <f t="shared" si="79"/>
        <v>21.125</v>
      </c>
      <c r="E427" s="10">
        <f t="shared" si="80"/>
        <v>0.42249999999999999</v>
      </c>
      <c r="F427" s="10">
        <f t="shared" si="81"/>
        <v>0.57999999999999996</v>
      </c>
      <c r="G427" s="3">
        <f t="shared" si="82"/>
        <v>50.125</v>
      </c>
      <c r="H427" s="3">
        <f t="shared" si="91"/>
        <v>1</v>
      </c>
      <c r="I427" s="3">
        <f t="shared" si="83"/>
        <v>-0.54645333267395979</v>
      </c>
      <c r="J427" s="3">
        <f t="shared" si="84"/>
        <v>-0.26743092886425757</v>
      </c>
      <c r="K427" s="3">
        <f t="shared" si="85"/>
        <v>0.51783316631805942</v>
      </c>
      <c r="L427" s="3">
        <f t="shared" si="90"/>
        <v>-0.65810216134427857</v>
      </c>
      <c r="M427" s="9">
        <f t="shared" si="86"/>
        <v>0.5785536159600998</v>
      </c>
      <c r="N427" s="9">
        <f t="shared" si="87"/>
        <v>0.42144638403990026</v>
      </c>
      <c r="P427">
        <f t="shared" si="88"/>
        <v>299</v>
      </c>
      <c r="Q427">
        <f t="shared" si="89"/>
        <v>272.5</v>
      </c>
    </row>
    <row r="428" spans="1:17" x14ac:dyDescent="0.35">
      <c r="A428">
        <v>2025</v>
      </c>
      <c r="B428" s="6">
        <v>148</v>
      </c>
      <c r="C428" s="3">
        <v>31</v>
      </c>
      <c r="D428" s="3">
        <f t="shared" si="79"/>
        <v>18.5</v>
      </c>
      <c r="E428" s="10">
        <f t="shared" si="80"/>
        <v>0.37</v>
      </c>
      <c r="F428" s="10">
        <f t="shared" si="81"/>
        <v>0.62</v>
      </c>
      <c r="G428" s="3">
        <f t="shared" si="82"/>
        <v>49.5</v>
      </c>
      <c r="H428" s="3">
        <f t="shared" si="91"/>
        <v>0</v>
      </c>
      <c r="I428" s="3">
        <f t="shared" si="83"/>
        <v>-1.3331182630152125</v>
      </c>
      <c r="J428" s="3">
        <f t="shared" si="84"/>
        <v>-1.0933640185610671E-2</v>
      </c>
      <c r="K428" s="3">
        <f t="shared" si="85"/>
        <v>0.31607359343826202</v>
      </c>
      <c r="L428" s="3">
        <f>IF(K428=0, -1000, IF(K428=1, -1000, H428 * LN(K428) + (1 - H428) * LN(1 - K428)))</f>
        <v>-0.37990495989409839</v>
      </c>
      <c r="M428" s="9">
        <f t="shared" si="86"/>
        <v>0.6262626262626263</v>
      </c>
      <c r="N428" s="9">
        <f t="shared" si="87"/>
        <v>0.37373737373737376</v>
      </c>
      <c r="P428">
        <f t="shared" si="88"/>
        <v>412</v>
      </c>
      <c r="Q428">
        <f t="shared" si="89"/>
        <v>239.5</v>
      </c>
    </row>
    <row r="429" spans="1:17" x14ac:dyDescent="0.35">
      <c r="A429">
        <v>2025</v>
      </c>
      <c r="B429" s="6">
        <v>199</v>
      </c>
      <c r="C429" s="3">
        <v>20</v>
      </c>
      <c r="D429" s="3">
        <f t="shared" si="79"/>
        <v>24.875</v>
      </c>
      <c r="E429" s="10">
        <f t="shared" si="80"/>
        <v>0.4975</v>
      </c>
      <c r="F429" s="10">
        <f t="shared" si="81"/>
        <v>0.4</v>
      </c>
      <c r="G429" s="3">
        <f t="shared" si="82"/>
        <v>44.875</v>
      </c>
      <c r="H429" s="3">
        <f t="shared" si="91"/>
        <v>0</v>
      </c>
      <c r="I429" s="3">
        <f t="shared" si="83"/>
        <v>0.57735371067068686</v>
      </c>
      <c r="J429" s="3">
        <f t="shared" si="84"/>
        <v>-1.4216687279181688</v>
      </c>
      <c r="K429" s="3">
        <f t="shared" si="85"/>
        <v>1.0053467236422827E-2</v>
      </c>
      <c r="L429" s="3">
        <f t="shared" si="90"/>
        <v>-1.0104344621466737E-2</v>
      </c>
      <c r="M429" s="9">
        <f t="shared" si="86"/>
        <v>0.44568245125348188</v>
      </c>
      <c r="N429" s="9">
        <f t="shared" si="87"/>
        <v>0.55431754874651806</v>
      </c>
      <c r="P429">
        <f t="shared" si="88"/>
        <v>91.5</v>
      </c>
      <c r="Q429">
        <f t="shared" si="89"/>
        <v>386</v>
      </c>
    </row>
    <row r="430" spans="1:17" x14ac:dyDescent="0.35">
      <c r="A430">
        <v>2025</v>
      </c>
      <c r="B430" s="6">
        <v>178</v>
      </c>
      <c r="C430" s="3">
        <v>18</v>
      </c>
      <c r="D430" s="3">
        <f t="shared" si="79"/>
        <v>22.25</v>
      </c>
      <c r="E430" s="10">
        <f t="shared" si="80"/>
        <v>0.44500000000000001</v>
      </c>
      <c r="F430" s="10">
        <f t="shared" si="81"/>
        <v>0.36</v>
      </c>
      <c r="G430" s="3">
        <f t="shared" si="82"/>
        <v>40.25</v>
      </c>
      <c r="H430" s="3">
        <f t="shared" si="91"/>
        <v>0</v>
      </c>
      <c r="I430" s="3">
        <f t="shared" si="83"/>
        <v>-0.20931121967056582</v>
      </c>
      <c r="J430" s="3">
        <f t="shared" si="84"/>
        <v>-1.6781660165968155</v>
      </c>
      <c r="K430" s="3">
        <f t="shared" si="85"/>
        <v>9.5861369000746485E-5</v>
      </c>
      <c r="L430" s="3">
        <f t="shared" si="90"/>
        <v>-9.5865963995439942E-5</v>
      </c>
      <c r="M430" s="9">
        <f t="shared" si="86"/>
        <v>0.44720496894409939</v>
      </c>
      <c r="N430" s="9">
        <f t="shared" si="87"/>
        <v>0.55279503105590067</v>
      </c>
      <c r="P430">
        <f t="shared" si="88"/>
        <v>230.5</v>
      </c>
      <c r="Q430">
        <f t="shared" si="89"/>
        <v>409</v>
      </c>
    </row>
    <row r="431" spans="1:17" x14ac:dyDescent="0.35">
      <c r="A431">
        <v>2025</v>
      </c>
      <c r="B431" s="6">
        <v>160</v>
      </c>
      <c r="C431" s="3">
        <v>13</v>
      </c>
      <c r="D431" s="3">
        <f t="shared" si="79"/>
        <v>20</v>
      </c>
      <c r="E431" s="10">
        <f t="shared" si="80"/>
        <v>0.4</v>
      </c>
      <c r="F431" s="10">
        <f t="shared" si="81"/>
        <v>0.26</v>
      </c>
      <c r="G431" s="3">
        <f t="shared" si="82"/>
        <v>33</v>
      </c>
      <c r="H431" s="3">
        <f t="shared" si="91"/>
        <v>0</v>
      </c>
      <c r="I431" s="3">
        <f t="shared" si="83"/>
        <v>-0.88359544567735382</v>
      </c>
      <c r="J431" s="3">
        <f t="shared" si="84"/>
        <v>-2.3194092382934328</v>
      </c>
      <c r="K431" s="3">
        <f t="shared" si="85"/>
        <v>7.6447766433868403E-8</v>
      </c>
      <c r="L431" s="3">
        <f t="shared" si="90"/>
        <v>-7.6447769372679826E-8</v>
      </c>
      <c r="M431" s="9">
        <f t="shared" si="86"/>
        <v>0.39393939393939392</v>
      </c>
      <c r="N431" s="9">
        <f t="shared" si="87"/>
        <v>0.60606060606060608</v>
      </c>
      <c r="P431">
        <f t="shared" si="88"/>
        <v>374.5</v>
      </c>
      <c r="Q431">
        <f t="shared" si="89"/>
        <v>430.5</v>
      </c>
    </row>
    <row r="432" spans="1:17" x14ac:dyDescent="0.35">
      <c r="A432">
        <v>2025</v>
      </c>
      <c r="B432" s="6">
        <v>246</v>
      </c>
      <c r="C432" s="3">
        <v>19</v>
      </c>
      <c r="D432" s="3">
        <f t="shared" ref="D432:D435" si="92">B432 / 8</f>
        <v>30.75</v>
      </c>
      <c r="E432" s="10">
        <f t="shared" si="80"/>
        <v>0.61499999999999999</v>
      </c>
      <c r="F432" s="10">
        <f t="shared" si="81"/>
        <v>0.38</v>
      </c>
      <c r="G432" s="3">
        <f t="shared" si="82"/>
        <v>49.75</v>
      </c>
      <c r="H432" s="3">
        <f t="shared" si="91"/>
        <v>0</v>
      </c>
      <c r="I432" s="3">
        <f t="shared" si="83"/>
        <v>2.3379847452439666</v>
      </c>
      <c r="J432" s="3">
        <f t="shared" si="84"/>
        <v>-1.5499173722574922</v>
      </c>
      <c r="K432" s="3">
        <f t="shared" si="85"/>
        <v>0.64950775615380518</v>
      </c>
      <c r="L432" s="3">
        <f t="shared" si="90"/>
        <v>-1.0484167015791719</v>
      </c>
      <c r="M432" s="9">
        <f t="shared" si="86"/>
        <v>0.38190954773869346</v>
      </c>
      <c r="N432" s="9">
        <f t="shared" si="87"/>
        <v>0.61809045226130654</v>
      </c>
      <c r="P432">
        <f t="shared" si="88"/>
        <v>9.5</v>
      </c>
      <c r="Q432">
        <f t="shared" si="89"/>
        <v>397.5</v>
      </c>
    </row>
    <row r="433" spans="1:17" x14ac:dyDescent="0.35">
      <c r="A433">
        <v>2025</v>
      </c>
      <c r="B433" s="6">
        <v>235</v>
      </c>
      <c r="C433" s="3">
        <v>37</v>
      </c>
      <c r="D433" s="3">
        <f t="shared" si="92"/>
        <v>29.375</v>
      </c>
      <c r="E433" s="10">
        <f t="shared" si="80"/>
        <v>0.58750000000000002</v>
      </c>
      <c r="F433" s="10">
        <f t="shared" si="81"/>
        <v>0.74</v>
      </c>
      <c r="G433" s="3">
        <f t="shared" si="82"/>
        <v>66.375</v>
      </c>
      <c r="H433" s="3">
        <f t="shared" si="91"/>
        <v>1</v>
      </c>
      <c r="I433" s="3">
        <f t="shared" si="83"/>
        <v>1.9259221626842629</v>
      </c>
      <c r="J433" s="3">
        <f t="shared" si="84"/>
        <v>0.75855822585033006</v>
      </c>
      <c r="K433" s="3">
        <f t="shared" si="85"/>
        <v>0.99999992170285601</v>
      </c>
      <c r="L433" s="3">
        <f t="shared" si="90"/>
        <v>-7.8297147055768193E-8</v>
      </c>
      <c r="M433" s="9">
        <f t="shared" si="86"/>
        <v>0.55743879472693036</v>
      </c>
      <c r="N433" s="9">
        <f t="shared" si="87"/>
        <v>0.44256120527306969</v>
      </c>
      <c r="P433">
        <f t="shared" si="88"/>
        <v>17.5</v>
      </c>
      <c r="Q433">
        <f t="shared" si="89"/>
        <v>128</v>
      </c>
    </row>
    <row r="434" spans="1:17" x14ac:dyDescent="0.35">
      <c r="A434">
        <v>2025</v>
      </c>
      <c r="B434" s="6">
        <v>161</v>
      </c>
      <c r="C434" s="3">
        <v>31</v>
      </c>
      <c r="D434" s="3">
        <f t="shared" si="92"/>
        <v>20.125</v>
      </c>
      <c r="E434" s="10">
        <f t="shared" si="80"/>
        <v>0.40250000000000002</v>
      </c>
      <c r="F434" s="10">
        <f t="shared" si="81"/>
        <v>0.62</v>
      </c>
      <c r="G434" s="3">
        <f t="shared" si="82"/>
        <v>51.125</v>
      </c>
      <c r="H434" s="3">
        <f t="shared" si="91"/>
        <v>1</v>
      </c>
      <c r="I434" s="3">
        <f t="shared" si="83"/>
        <v>-0.84613521089919896</v>
      </c>
      <c r="J434" s="3">
        <f t="shared" si="84"/>
        <v>-1.0933640185610671E-2</v>
      </c>
      <c r="K434" s="3">
        <f t="shared" si="85"/>
        <v>0.71755544213486844</v>
      </c>
      <c r="L434" s="3">
        <f t="shared" si="90"/>
        <v>-0.3319050630655222</v>
      </c>
      <c r="M434" s="9">
        <f t="shared" si="86"/>
        <v>0.60635696821515894</v>
      </c>
      <c r="N434" s="9">
        <f t="shared" si="87"/>
        <v>0.39364303178484106</v>
      </c>
      <c r="P434">
        <f t="shared" si="88"/>
        <v>370</v>
      </c>
      <c r="Q434">
        <f t="shared" si="89"/>
        <v>239.5</v>
      </c>
    </row>
    <row r="435" spans="1:17" x14ac:dyDescent="0.35">
      <c r="A435">
        <v>2025</v>
      </c>
      <c r="B435" s="6">
        <v>183</v>
      </c>
      <c r="C435" s="3">
        <v>23</v>
      </c>
      <c r="D435" s="3">
        <f t="shared" si="92"/>
        <v>22.875</v>
      </c>
      <c r="E435" s="10">
        <f t="shared" si="80"/>
        <v>0.45750000000000002</v>
      </c>
      <c r="F435" s="10">
        <f t="shared" si="81"/>
        <v>0.46</v>
      </c>
      <c r="G435" s="3">
        <f t="shared" si="82"/>
        <v>45.875</v>
      </c>
      <c r="H435" s="3">
        <f t="shared" si="91"/>
        <v>0</v>
      </c>
      <c r="I435" s="3">
        <f t="shared" si="83"/>
        <v>-2.2010045779791373E-2</v>
      </c>
      <c r="J435" s="3">
        <f xml:space="preserve"> (D:D - AVERAGE(D:D)) / STDEV(D:D)</f>
        <v>-2.2010045779791373E-2</v>
      </c>
      <c r="K435" s="3">
        <f t="shared" si="85"/>
        <v>0.97666072047454777</v>
      </c>
      <c r="L435" s="3">
        <f t="shared" si="90"/>
        <v>-3.7576175212611753</v>
      </c>
      <c r="M435" s="9">
        <f t="shared" si="86"/>
        <v>0.50136239782016345</v>
      </c>
      <c r="N435" s="9">
        <f t="shared" si="87"/>
        <v>0.49863760217983649</v>
      </c>
      <c r="P435">
        <f t="shared" si="88"/>
        <v>197</v>
      </c>
      <c r="Q435">
        <f t="shared" si="89"/>
        <v>352.5</v>
      </c>
    </row>
    <row r="436" spans="1:17" x14ac:dyDescent="0.35">
      <c r="L436" s="13">
        <f>SUM(L2:L435)</f>
        <v>-27.440919293529241</v>
      </c>
    </row>
  </sheetData>
  <mergeCells count="5">
    <mergeCell ref="S1:Y1"/>
    <mergeCell ref="S2:W2"/>
    <mergeCell ref="T3:W3"/>
    <mergeCell ref="U4:W4"/>
    <mergeCell ref="AD6:AO6"/>
  </mergeCells>
  <conditionalFormatting sqref="E1:E104857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{09856286-A502-4C96-BCBE-2951BF6BCE09}</x14:id>
        </ext>
      </extLst>
    </cfRule>
  </conditionalFormatting>
  <conditionalFormatting sqref="F1:F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{5999550C-F80E-42A0-85F6-D3B88095688D}</x14:id>
        </ext>
      </extLst>
    </cfRule>
  </conditionalFormatting>
  <conditionalFormatting sqref="M1:M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{994F444F-A08E-49B6-914F-53F24EA53CA8}</x14:id>
        </ext>
      </extLst>
    </cfRule>
  </conditionalFormatting>
  <conditionalFormatting sqref="N1:N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{108B1148-AB58-4382-A308-E2CDA17CE204}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856286-A502-4C96-BCBE-2951BF6BCE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5999550C-F80E-42A0-85F6-D3B8809568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994F444F-A08E-49B6-914F-53F24EA53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108B1148-AB58-4382-A308-E2CDA17CE2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4388-280B-41D0-82DC-7128265DB5A4}">
  <dimension ref="A1:AO436"/>
  <sheetViews>
    <sheetView tabSelected="1" topLeftCell="G1" zoomScale="60" zoomScaleNormal="60" workbookViewId="0">
      <selection activeCell="T5" sqref="T5"/>
    </sheetView>
  </sheetViews>
  <sheetFormatPr defaultRowHeight="14.5" x14ac:dyDescent="0.35"/>
  <cols>
    <col min="2" max="2" width="27.54296875" customWidth="1"/>
    <col min="3" max="3" width="29.08984375" style="14" customWidth="1"/>
    <col min="4" max="4" width="35.1796875" customWidth="1"/>
    <col min="5" max="5" width="38.81640625" customWidth="1"/>
    <col min="6" max="6" width="39.90625" customWidth="1"/>
    <col min="7" max="7" width="40.1796875" customWidth="1"/>
    <col min="8" max="8" width="32.6328125" customWidth="1"/>
    <col min="9" max="9" width="40.453125" customWidth="1"/>
    <col min="10" max="10" width="40.1796875" customWidth="1"/>
    <col min="11" max="11" width="30.7265625" customWidth="1"/>
    <col min="12" max="12" width="29.6328125" customWidth="1"/>
    <col min="13" max="13" width="25.81640625" customWidth="1"/>
    <col min="14" max="14" width="24.08984375" customWidth="1"/>
    <col min="15" max="15" width="34.54296875" customWidth="1"/>
    <col min="16" max="17" width="30.26953125" customWidth="1"/>
    <col min="18" max="18" width="38.453125" customWidth="1"/>
    <col min="19" max="19" width="24.453125" customWidth="1"/>
    <col min="25" max="25" width="16.7265625" customWidth="1"/>
    <col min="26" max="26" width="15.81640625" customWidth="1"/>
    <col min="27" max="27" width="8.7265625" hidden="1" customWidth="1"/>
    <col min="28" max="28" width="2" customWidth="1"/>
    <col min="29" max="29" width="24.36328125" customWidth="1"/>
    <col min="30" max="30" width="13.6328125" customWidth="1"/>
    <col min="31" max="31" width="18.1796875" customWidth="1"/>
    <col min="32" max="32" width="33.54296875" customWidth="1"/>
    <col min="33" max="36" width="8.7265625" customWidth="1"/>
    <col min="37" max="37" width="53.36328125" customWidth="1"/>
    <col min="38" max="38" width="8.7265625" customWidth="1"/>
  </cols>
  <sheetData>
    <row r="1" spans="1:41" x14ac:dyDescent="0.35">
      <c r="A1" t="s">
        <v>27</v>
      </c>
      <c r="B1" s="2" t="s">
        <v>6</v>
      </c>
      <c r="C1" s="15" t="s">
        <v>4</v>
      </c>
      <c r="D1" s="2" t="s">
        <v>5</v>
      </c>
      <c r="E1" s="2" t="s">
        <v>2</v>
      </c>
      <c r="F1" s="2" t="s">
        <v>3</v>
      </c>
      <c r="G1" s="2" t="s">
        <v>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1" t="s">
        <v>7</v>
      </c>
      <c r="N1" s="1" t="s">
        <v>28</v>
      </c>
      <c r="O1" s="12" t="s">
        <v>29</v>
      </c>
      <c r="P1" s="12" t="s">
        <v>18</v>
      </c>
      <c r="Q1" s="12" t="s">
        <v>19</v>
      </c>
      <c r="R1" s="12" t="s">
        <v>30</v>
      </c>
      <c r="S1" s="19" t="s">
        <v>25</v>
      </c>
      <c r="T1" s="20"/>
      <c r="U1" s="20"/>
      <c r="V1" s="20"/>
      <c r="W1" s="20"/>
      <c r="X1" s="20"/>
      <c r="Y1" s="20"/>
    </row>
    <row r="2" spans="1:41" x14ac:dyDescent="0.35">
      <c r="A2">
        <v>2022</v>
      </c>
      <c r="B2" s="3">
        <v>178</v>
      </c>
      <c r="C2" s="7">
        <v>44</v>
      </c>
      <c r="D2" s="3">
        <f t="shared" ref="D2:D33" si="0">B2 / 8</f>
        <v>22.25</v>
      </c>
      <c r="E2" s="10">
        <f t="shared" ref="E2:E33" si="1">B2 / 400</f>
        <v>0.44500000000000001</v>
      </c>
      <c r="F2" s="10">
        <f t="shared" ref="F2:F33" si="2">C2 / 50</f>
        <v>0.88</v>
      </c>
      <c r="G2" s="3">
        <f t="shared" ref="G2:G33" si="3">SUM(D2 + C2)</f>
        <v>66.25</v>
      </c>
      <c r="H2" s="3">
        <f>IF(G2&gt;=50,1,0)</f>
        <v>1</v>
      </c>
      <c r="I2" s="3">
        <f t="shared" ref="I2:I65" si="4" xml:space="preserve"> (D:D - AVERAGE(D:D)) / STDEV(D:D)</f>
        <v>-0.20931121967056582</v>
      </c>
      <c r="J2" s="3">
        <f t="shared" ref="J2:J65" si="5" xml:space="preserve"> (C:C - AVERAGE(C:C)) / STDEV(C:C)</f>
        <v>1.6562987362255943</v>
      </c>
      <c r="K2" s="3">
        <f t="shared" ref="K2:K65" si="6">1/(1+EXP(-($AD$68 +$AD$69 * I2 +$AD$70 * J2 )))</f>
        <v>0.99999982778102658</v>
      </c>
      <c r="L2" s="3">
        <f>IF(K2=0, -1000, IF(K2=1, -1000, H2 * LN(K2) + (1 - H2) * LN(1 - K2)))</f>
        <v>-1.7221898824515021E-7</v>
      </c>
      <c r="M2" s="9">
        <f>IF(G2=0, 0,  C2  / G2 )</f>
        <v>0.66415094339622638</v>
      </c>
      <c r="N2" s="9">
        <f>IF(G2=0, 0,  D2  / G2 )</f>
        <v>0.33584905660377357</v>
      </c>
      <c r="O2">
        <f>CORREL(B2:B435, C2:C435)</f>
        <v>1.3183993925777836E-2</v>
      </c>
      <c r="P2">
        <f>_xlfn.RANK.AVG(B2,$B$2:$B$435)</f>
        <v>230.5</v>
      </c>
      <c r="Q2">
        <f>_xlfn.RANK.AVG(C2,$C$2:$C$435)</f>
        <v>2.5</v>
      </c>
      <c r="R2">
        <f>CORREL(P2:P435, Q2:Q435)</f>
        <v>-3.9539466982586445E-2</v>
      </c>
      <c r="S2" s="21" t="s">
        <v>8</v>
      </c>
      <c r="T2" s="21"/>
      <c r="U2" s="21"/>
      <c r="V2" s="21"/>
      <c r="W2" s="21"/>
    </row>
    <row r="3" spans="1:41" x14ac:dyDescent="0.35">
      <c r="A3">
        <v>2022</v>
      </c>
      <c r="B3" s="3">
        <v>169</v>
      </c>
      <c r="C3" s="7">
        <v>45</v>
      </c>
      <c r="D3" s="3">
        <f t="shared" si="0"/>
        <v>21.125</v>
      </c>
      <c r="E3" s="10">
        <f t="shared" si="1"/>
        <v>0.42249999999999999</v>
      </c>
      <c r="F3" s="10">
        <f t="shared" si="2"/>
        <v>0.9</v>
      </c>
      <c r="G3" s="3">
        <f t="shared" si="3"/>
        <v>66.125</v>
      </c>
      <c r="H3" s="3">
        <f t="shared" ref="H3:H66" si="7">IF(G3&gt;=50,1,0)</f>
        <v>1</v>
      </c>
      <c r="I3" s="3">
        <f t="shared" si="4"/>
        <v>-0.54645333267395979</v>
      </c>
      <c r="J3" s="3">
        <f t="shared" si="5"/>
        <v>1.7845473805649177</v>
      </c>
      <c r="K3" s="3">
        <f t="shared" si="6"/>
        <v>0.99999978433152947</v>
      </c>
      <c r="L3" s="3">
        <f>IF(K3=0, -1000, IF(K3=1, -1000, H3 * LN(K3) + (1 - H3) * LN(1 - K3)))</f>
        <v>-2.1566849378323433E-7</v>
      </c>
      <c r="M3" s="9">
        <f t="shared" ref="M3:M66" si="8">IF(G3=0, 0,  C3  / G3 )</f>
        <v>0.6805293005671077</v>
      </c>
      <c r="N3" s="9">
        <f t="shared" ref="N3:N66" si="9">IF(G3=0, 0,  D3  / G3 )</f>
        <v>0.31947069943289225</v>
      </c>
      <c r="P3">
        <f t="shared" ref="P3:P66" si="10">_xlfn.RANK.AVG(B3,$B$2:$B$435)</f>
        <v>299</v>
      </c>
      <c r="Q3">
        <f>_xlfn.RANK.AVG(C3,$C$2:$C$435)</f>
        <v>1</v>
      </c>
      <c r="S3" s="11" t="s">
        <v>9</v>
      </c>
      <c r="T3" s="22" t="s">
        <v>10</v>
      </c>
      <c r="U3" s="22"/>
      <c r="V3" s="22"/>
      <c r="W3" s="22"/>
    </row>
    <row r="4" spans="1:41" x14ac:dyDescent="0.35">
      <c r="A4">
        <v>2022</v>
      </c>
      <c r="B4" s="3">
        <v>205</v>
      </c>
      <c r="C4" s="7">
        <v>40</v>
      </c>
      <c r="D4" s="3">
        <f t="shared" si="0"/>
        <v>25.625</v>
      </c>
      <c r="E4" s="10">
        <f t="shared" si="1"/>
        <v>0.51249999999999996</v>
      </c>
      <c r="F4" s="10">
        <f t="shared" si="2"/>
        <v>0.8</v>
      </c>
      <c r="G4" s="3">
        <f t="shared" si="3"/>
        <v>65.625</v>
      </c>
      <c r="H4" s="3">
        <f t="shared" si="7"/>
        <v>1</v>
      </c>
      <c r="I4" s="3">
        <f t="shared" si="4"/>
        <v>0.80211511933961621</v>
      </c>
      <c r="J4" s="3">
        <f t="shared" si="5"/>
        <v>1.1433041588683004</v>
      </c>
      <c r="K4" s="3">
        <f t="shared" si="6"/>
        <v>0.99999977214150526</v>
      </c>
      <c r="L4" s="3">
        <f>IF(K4=0, -1000, IF(K4=1, -1000, H4 * LN(K4) + (1 - H4) * LN(1 - K4)))</f>
        <v>-2.2785852069880349E-7</v>
      </c>
      <c r="M4" s="9">
        <f t="shared" si="8"/>
        <v>0.60952380952380958</v>
      </c>
      <c r="N4" s="9">
        <f t="shared" si="9"/>
        <v>0.39047619047619048</v>
      </c>
      <c r="P4">
        <f t="shared" si="10"/>
        <v>65</v>
      </c>
      <c r="Q4">
        <f t="shared" ref="Q4:Q66" si="11">_xlfn.RANK.AVG(C4,$C$2:$C$435)</f>
        <v>50.5</v>
      </c>
      <c r="S4" s="11">
        <f xml:space="preserve"> AVERAGE(M:M)</f>
        <v>0.56734584765113982</v>
      </c>
      <c r="T4" s="11">
        <f xml:space="preserve"> AVERAGE(N2:N435)</f>
        <v>0.43265415234886034</v>
      </c>
      <c r="U4" s="22"/>
      <c r="V4" s="22"/>
      <c r="W4" s="22"/>
    </row>
    <row r="5" spans="1:41" ht="14.5" customHeight="1" x14ac:dyDescent="0.35">
      <c r="A5">
        <v>2022</v>
      </c>
      <c r="B5" s="3">
        <v>208</v>
      </c>
      <c r="C5" s="7">
        <v>38</v>
      </c>
      <c r="D5" s="3">
        <f t="shared" si="0"/>
        <v>26</v>
      </c>
      <c r="E5" s="10">
        <f t="shared" si="1"/>
        <v>0.52</v>
      </c>
      <c r="F5" s="10">
        <f t="shared" si="2"/>
        <v>0.76</v>
      </c>
      <c r="G5" s="3">
        <f t="shared" si="3"/>
        <v>64</v>
      </c>
      <c r="H5" s="3">
        <f t="shared" si="7"/>
        <v>1</v>
      </c>
      <c r="I5" s="3">
        <f t="shared" si="4"/>
        <v>0.91449582367408089</v>
      </c>
      <c r="J5" s="3">
        <f t="shared" si="5"/>
        <v>0.88680687018965354</v>
      </c>
      <c r="K5" s="3">
        <f t="shared" si="6"/>
        <v>0.99999896183798032</v>
      </c>
      <c r="L5" s="3">
        <f t="shared" ref="L5:L67" si="12">IF(K5=0, -1000, IF(K5=1, -1000, H5 * LN(K5) + (1 - H5) * LN(1 - K5)))</f>
        <v>-1.0381625585747703E-6</v>
      </c>
      <c r="M5" s="9">
        <f t="shared" si="8"/>
        <v>0.59375</v>
      </c>
      <c r="N5" s="9">
        <f t="shared" si="9"/>
        <v>0.40625</v>
      </c>
      <c r="P5">
        <f t="shared" si="10"/>
        <v>56</v>
      </c>
      <c r="Q5">
        <f t="shared" si="11"/>
        <v>103</v>
      </c>
    </row>
    <row r="6" spans="1:41" ht="21" customHeight="1" x14ac:dyDescent="0.5">
      <c r="A6">
        <v>2022</v>
      </c>
      <c r="B6" s="3">
        <v>208</v>
      </c>
      <c r="C6" s="7">
        <v>37</v>
      </c>
      <c r="D6" s="3">
        <f t="shared" si="0"/>
        <v>26</v>
      </c>
      <c r="E6" s="10">
        <f t="shared" si="1"/>
        <v>0.52</v>
      </c>
      <c r="F6" s="10">
        <f t="shared" si="2"/>
        <v>0.74</v>
      </c>
      <c r="G6" s="3">
        <f t="shared" si="3"/>
        <v>63</v>
      </c>
      <c r="H6" s="3">
        <f t="shared" si="7"/>
        <v>1</v>
      </c>
      <c r="I6" s="3">
        <f t="shared" si="4"/>
        <v>0.91449582367408089</v>
      </c>
      <c r="J6" s="3">
        <f t="shared" si="5"/>
        <v>0.75855822585033006</v>
      </c>
      <c r="K6" s="3">
        <f t="shared" si="6"/>
        <v>0.99999730247355578</v>
      </c>
      <c r="L6" s="3">
        <f t="shared" si="12"/>
        <v>-2.6975300825485035E-6</v>
      </c>
      <c r="M6" s="9">
        <f t="shared" si="8"/>
        <v>0.58730158730158732</v>
      </c>
      <c r="N6" s="9">
        <f t="shared" si="9"/>
        <v>0.41269841269841268</v>
      </c>
      <c r="P6">
        <f t="shared" si="10"/>
        <v>56</v>
      </c>
      <c r="Q6">
        <f t="shared" si="11"/>
        <v>128</v>
      </c>
      <c r="AD6" s="18" t="s">
        <v>26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spans="1:41" x14ac:dyDescent="0.35">
      <c r="A7">
        <v>2022</v>
      </c>
      <c r="B7" s="3">
        <v>180</v>
      </c>
      <c r="C7" s="7">
        <v>40</v>
      </c>
      <c r="D7" s="3">
        <f t="shared" si="0"/>
        <v>22.5</v>
      </c>
      <c r="E7" s="10">
        <f t="shared" si="1"/>
        <v>0.45</v>
      </c>
      <c r="F7" s="10">
        <f t="shared" si="2"/>
        <v>0.8</v>
      </c>
      <c r="G7" s="3">
        <f t="shared" si="3"/>
        <v>62.5</v>
      </c>
      <c r="H7" s="3">
        <f t="shared" si="7"/>
        <v>1</v>
      </c>
      <c r="I7" s="3">
        <f t="shared" si="4"/>
        <v>-0.13439075011425605</v>
      </c>
      <c r="J7" s="3">
        <f t="shared" si="5"/>
        <v>1.1433041588683004</v>
      </c>
      <c r="K7" s="3">
        <f t="shared" si="6"/>
        <v>0.99999396029939169</v>
      </c>
      <c r="L7" s="3">
        <f t="shared" si="12"/>
        <v>-6.0397188473719883E-6</v>
      </c>
      <c r="M7" s="9">
        <f t="shared" si="8"/>
        <v>0.64</v>
      </c>
      <c r="N7" s="9">
        <f t="shared" si="9"/>
        <v>0.36</v>
      </c>
      <c r="P7">
        <f t="shared" si="10"/>
        <v>216.5</v>
      </c>
      <c r="Q7">
        <f t="shared" si="11"/>
        <v>50.5</v>
      </c>
      <c r="AD7" s="4" t="s">
        <v>22</v>
      </c>
      <c r="AE7" s="4" t="s">
        <v>23</v>
      </c>
      <c r="AF7" s="4"/>
    </row>
    <row r="8" spans="1:41" x14ac:dyDescent="0.35">
      <c r="A8">
        <v>2022</v>
      </c>
      <c r="B8" s="3">
        <v>193</v>
      </c>
      <c r="C8" s="7">
        <v>38</v>
      </c>
      <c r="D8" s="3">
        <f t="shared" si="0"/>
        <v>24.125</v>
      </c>
      <c r="E8" s="10">
        <f t="shared" si="1"/>
        <v>0.48249999999999998</v>
      </c>
      <c r="F8" s="10">
        <f t="shared" si="2"/>
        <v>0.76</v>
      </c>
      <c r="G8" s="3">
        <f t="shared" si="3"/>
        <v>62.125</v>
      </c>
      <c r="H8" s="3">
        <f t="shared" si="7"/>
        <v>1</v>
      </c>
      <c r="I8" s="3">
        <f t="shared" si="4"/>
        <v>0.35259230200175751</v>
      </c>
      <c r="J8" s="3">
        <f t="shared" si="5"/>
        <v>0.88680687018965354</v>
      </c>
      <c r="K8" s="3">
        <f t="shared" si="6"/>
        <v>0.99999258221925114</v>
      </c>
      <c r="L8" s="3">
        <f t="shared" si="12"/>
        <v>-7.4178082607356823E-6</v>
      </c>
      <c r="M8" s="9">
        <f t="shared" si="8"/>
        <v>0.61167002012072436</v>
      </c>
      <c r="N8" s="9">
        <f t="shared" si="9"/>
        <v>0.38832997987927564</v>
      </c>
      <c r="P8">
        <f t="shared" si="10"/>
        <v>124</v>
      </c>
      <c r="Q8">
        <f t="shared" si="11"/>
        <v>103</v>
      </c>
      <c r="AD8" t="s">
        <v>1</v>
      </c>
      <c r="AE8" s="14">
        <f>AD69</f>
        <v>3.4995944407484498</v>
      </c>
    </row>
    <row r="9" spans="1:41" x14ac:dyDescent="0.35">
      <c r="A9">
        <v>2022</v>
      </c>
      <c r="B9" s="3">
        <v>168</v>
      </c>
      <c r="C9" s="7">
        <v>40</v>
      </c>
      <c r="D9" s="3">
        <f t="shared" si="0"/>
        <v>21</v>
      </c>
      <c r="E9" s="10">
        <f t="shared" si="1"/>
        <v>0.42</v>
      </c>
      <c r="F9" s="10">
        <f t="shared" si="2"/>
        <v>0.8</v>
      </c>
      <c r="G9" s="3">
        <f t="shared" si="3"/>
        <v>61</v>
      </c>
      <c r="H9" s="3">
        <f t="shared" si="7"/>
        <v>1</v>
      </c>
      <c r="I9" s="3">
        <f t="shared" si="4"/>
        <v>-0.58391356745211476</v>
      </c>
      <c r="J9" s="3">
        <f t="shared" si="5"/>
        <v>1.1433041588683004</v>
      </c>
      <c r="K9" s="3">
        <f t="shared" si="6"/>
        <v>0.99997087843652011</v>
      </c>
      <c r="L9" s="3">
        <f t="shared" si="12"/>
        <v>-2.9121987520856962E-5</v>
      </c>
      <c r="M9" s="9">
        <f t="shared" si="8"/>
        <v>0.65573770491803274</v>
      </c>
      <c r="N9" s="9">
        <f t="shared" si="9"/>
        <v>0.34426229508196721</v>
      </c>
      <c r="P9">
        <f t="shared" si="10"/>
        <v>311.5</v>
      </c>
      <c r="Q9">
        <f>_xlfn.RANK.AVG(C9,$C$2:$C$435)</f>
        <v>50.5</v>
      </c>
      <c r="AD9" t="s">
        <v>24</v>
      </c>
      <c r="AE9" s="14">
        <f>AD70</f>
        <v>7.4455759329809199</v>
      </c>
    </row>
    <row r="10" spans="1:41" x14ac:dyDescent="0.35">
      <c r="A10">
        <v>2022</v>
      </c>
      <c r="B10" s="3">
        <v>198</v>
      </c>
      <c r="C10" s="7">
        <v>36</v>
      </c>
      <c r="D10" s="3">
        <f t="shared" si="0"/>
        <v>24.75</v>
      </c>
      <c r="E10" s="10">
        <f t="shared" si="1"/>
        <v>0.495</v>
      </c>
      <c r="F10" s="10">
        <f t="shared" si="2"/>
        <v>0.72</v>
      </c>
      <c r="G10" s="3">
        <f t="shared" si="3"/>
        <v>60.75</v>
      </c>
      <c r="H10" s="3">
        <f t="shared" si="7"/>
        <v>1</v>
      </c>
      <c r="I10" s="3">
        <f t="shared" si="4"/>
        <v>0.539893475892532</v>
      </c>
      <c r="J10" s="3">
        <f t="shared" si="5"/>
        <v>0.63030958151100658</v>
      </c>
      <c r="K10" s="3">
        <f t="shared" si="6"/>
        <v>0.99997399852595248</v>
      </c>
      <c r="L10" s="3">
        <f t="shared" si="12"/>
        <v>-2.6001812091707276E-5</v>
      </c>
      <c r="M10" s="9">
        <f t="shared" si="8"/>
        <v>0.59259259259259256</v>
      </c>
      <c r="N10" s="9">
        <f t="shared" si="9"/>
        <v>0.40740740740740738</v>
      </c>
      <c r="P10">
        <f t="shared" si="10"/>
        <v>97.5</v>
      </c>
      <c r="Q10">
        <f t="shared" si="11"/>
        <v>152</v>
      </c>
    </row>
    <row r="11" spans="1:41" x14ac:dyDescent="0.35">
      <c r="A11">
        <v>2022</v>
      </c>
      <c r="B11" s="3">
        <v>196</v>
      </c>
      <c r="C11" s="7">
        <v>36</v>
      </c>
      <c r="D11" s="3">
        <f t="shared" si="0"/>
        <v>24.5</v>
      </c>
      <c r="E11" s="10">
        <f t="shared" si="1"/>
        <v>0.49</v>
      </c>
      <c r="F11" s="10">
        <f t="shared" si="2"/>
        <v>0.72</v>
      </c>
      <c r="G11" s="3">
        <f t="shared" si="3"/>
        <v>60.5</v>
      </c>
      <c r="H11" s="3">
        <f t="shared" si="7"/>
        <v>1</v>
      </c>
      <c r="I11" s="3">
        <f t="shared" si="4"/>
        <v>0.46497300633622218</v>
      </c>
      <c r="J11" s="3">
        <f t="shared" si="5"/>
        <v>0.63030958151100658</v>
      </c>
      <c r="K11" s="3">
        <f t="shared" si="6"/>
        <v>0.99996620419458149</v>
      </c>
      <c r="L11" s="3">
        <f t="shared" si="12"/>
        <v>-3.3796376509611764E-5</v>
      </c>
      <c r="M11" s="9">
        <f t="shared" si="8"/>
        <v>0.5950413223140496</v>
      </c>
      <c r="N11" s="9">
        <f t="shared" si="9"/>
        <v>0.4049586776859504</v>
      </c>
      <c r="P11">
        <f t="shared" si="10"/>
        <v>106.5</v>
      </c>
      <c r="Q11">
        <f t="shared" si="11"/>
        <v>152</v>
      </c>
    </row>
    <row r="12" spans="1:41" x14ac:dyDescent="0.35">
      <c r="A12">
        <v>2022</v>
      </c>
      <c r="B12" s="3">
        <v>210</v>
      </c>
      <c r="C12" s="7">
        <v>34</v>
      </c>
      <c r="D12" s="3">
        <f t="shared" si="0"/>
        <v>26.25</v>
      </c>
      <c r="E12" s="10">
        <f t="shared" si="1"/>
        <v>0.52500000000000002</v>
      </c>
      <c r="F12" s="10">
        <f t="shared" si="2"/>
        <v>0.68</v>
      </c>
      <c r="G12" s="3">
        <f t="shared" si="3"/>
        <v>60.25</v>
      </c>
      <c r="H12" s="3">
        <f t="shared" si="7"/>
        <v>1</v>
      </c>
      <c r="I12" s="3">
        <f t="shared" si="4"/>
        <v>0.9894162932303906</v>
      </c>
      <c r="J12" s="3">
        <f t="shared" si="5"/>
        <v>0.37381229283235973</v>
      </c>
      <c r="K12" s="3">
        <f t="shared" si="6"/>
        <v>0.99996359284535663</v>
      </c>
      <c r="L12" s="3">
        <f t="shared" si="12"/>
        <v>-3.6407817399910459E-5</v>
      </c>
      <c r="M12" s="9">
        <f t="shared" si="8"/>
        <v>0.56431535269709543</v>
      </c>
      <c r="N12" s="9">
        <f t="shared" si="9"/>
        <v>0.43568464730290457</v>
      </c>
      <c r="P12">
        <f t="shared" si="10"/>
        <v>52</v>
      </c>
      <c r="Q12">
        <f t="shared" si="11"/>
        <v>189.5</v>
      </c>
    </row>
    <row r="13" spans="1:41" x14ac:dyDescent="0.35">
      <c r="A13">
        <v>2022</v>
      </c>
      <c r="B13" s="3">
        <v>233</v>
      </c>
      <c r="C13" s="7">
        <v>31</v>
      </c>
      <c r="D13" s="3">
        <f t="shared" si="0"/>
        <v>29.125</v>
      </c>
      <c r="E13" s="10">
        <f t="shared" si="1"/>
        <v>0.58250000000000002</v>
      </c>
      <c r="F13" s="10">
        <f t="shared" si="2"/>
        <v>0.62</v>
      </c>
      <c r="G13" s="3">
        <f t="shared" si="3"/>
        <v>60.125</v>
      </c>
      <c r="H13" s="3">
        <f t="shared" si="7"/>
        <v>1</v>
      </c>
      <c r="I13" s="3">
        <f t="shared" si="4"/>
        <v>1.8510016931279532</v>
      </c>
      <c r="J13" s="3">
        <f t="shared" si="5"/>
        <v>-1.0933640185610671E-2</v>
      </c>
      <c r="K13" s="3">
        <f t="shared" si="6"/>
        <v>0.99996868096739366</v>
      </c>
      <c r="L13" s="3">
        <f t="shared" si="12"/>
        <v>-3.1319523057478199E-5</v>
      </c>
      <c r="M13" s="9">
        <f t="shared" si="8"/>
        <v>0.51559251559251562</v>
      </c>
      <c r="N13" s="9">
        <f t="shared" si="9"/>
        <v>0.48440748440748443</v>
      </c>
      <c r="P13">
        <f t="shared" si="10"/>
        <v>20</v>
      </c>
      <c r="Q13">
        <f t="shared" si="11"/>
        <v>239.5</v>
      </c>
    </row>
    <row r="14" spans="1:41" x14ac:dyDescent="0.35">
      <c r="A14">
        <v>2022</v>
      </c>
      <c r="B14" s="3">
        <v>183</v>
      </c>
      <c r="C14" s="7">
        <v>37</v>
      </c>
      <c r="D14" s="3">
        <f t="shared" si="0"/>
        <v>22.875</v>
      </c>
      <c r="E14" s="10">
        <f t="shared" si="1"/>
        <v>0.45750000000000002</v>
      </c>
      <c r="F14" s="10">
        <f t="shared" si="2"/>
        <v>0.74</v>
      </c>
      <c r="G14" s="3">
        <f t="shared" si="3"/>
        <v>59.875</v>
      </c>
      <c r="H14" s="3">
        <f t="shared" si="7"/>
        <v>1</v>
      </c>
      <c r="I14" s="3">
        <f t="shared" si="4"/>
        <v>-2.2010045779791373E-2</v>
      </c>
      <c r="J14" s="3">
        <f t="shared" si="5"/>
        <v>0.75855822585033006</v>
      </c>
      <c r="K14" s="3">
        <f t="shared" si="6"/>
        <v>0.99992850288111024</v>
      </c>
      <c r="L14" s="3">
        <f t="shared" si="12"/>
        <v>-7.1499674930601372E-5</v>
      </c>
      <c r="M14" s="9">
        <f t="shared" si="8"/>
        <v>0.6179540709812108</v>
      </c>
      <c r="N14" s="9">
        <f t="shared" si="9"/>
        <v>0.38204592901878914</v>
      </c>
      <c r="P14">
        <f t="shared" si="10"/>
        <v>197</v>
      </c>
      <c r="Q14">
        <f t="shared" si="11"/>
        <v>128</v>
      </c>
    </row>
    <row r="15" spans="1:41" x14ac:dyDescent="0.35">
      <c r="A15">
        <v>2022</v>
      </c>
      <c r="B15" s="3">
        <v>183</v>
      </c>
      <c r="C15" s="7">
        <v>37</v>
      </c>
      <c r="D15" s="3">
        <f t="shared" si="0"/>
        <v>22.875</v>
      </c>
      <c r="E15" s="10">
        <f t="shared" si="1"/>
        <v>0.45750000000000002</v>
      </c>
      <c r="F15" s="10">
        <f t="shared" si="2"/>
        <v>0.74</v>
      </c>
      <c r="G15" s="3">
        <f t="shared" si="3"/>
        <v>59.875</v>
      </c>
      <c r="H15" s="3">
        <f t="shared" si="7"/>
        <v>1</v>
      </c>
      <c r="I15" s="3">
        <f t="shared" si="4"/>
        <v>-2.2010045779791373E-2</v>
      </c>
      <c r="J15" s="3">
        <f t="shared" si="5"/>
        <v>0.75855822585033006</v>
      </c>
      <c r="K15" s="3">
        <f t="shared" si="6"/>
        <v>0.99992850288111024</v>
      </c>
      <c r="L15" s="3">
        <f t="shared" si="12"/>
        <v>-7.1499674930601372E-5</v>
      </c>
      <c r="M15" s="9">
        <f t="shared" si="8"/>
        <v>0.6179540709812108</v>
      </c>
      <c r="N15" s="9">
        <f t="shared" si="9"/>
        <v>0.38204592901878914</v>
      </c>
      <c r="P15">
        <f t="shared" si="10"/>
        <v>197</v>
      </c>
      <c r="Q15">
        <f t="shared" si="11"/>
        <v>128</v>
      </c>
    </row>
    <row r="16" spans="1:41" x14ac:dyDescent="0.35">
      <c r="A16">
        <v>2022</v>
      </c>
      <c r="B16" s="3">
        <v>182</v>
      </c>
      <c r="C16" s="7">
        <v>37</v>
      </c>
      <c r="D16" s="3">
        <f t="shared" si="0"/>
        <v>22.75</v>
      </c>
      <c r="E16" s="10">
        <f t="shared" si="1"/>
        <v>0.45500000000000002</v>
      </c>
      <c r="F16" s="10">
        <f t="shared" si="2"/>
        <v>0.74</v>
      </c>
      <c r="G16" s="3">
        <f t="shared" si="3"/>
        <v>59.75</v>
      </c>
      <c r="H16" s="3">
        <f t="shared" si="7"/>
        <v>1</v>
      </c>
      <c r="I16" s="3">
        <f t="shared" si="4"/>
        <v>-5.9470280557946266E-2</v>
      </c>
      <c r="J16" s="3">
        <f t="shared" si="5"/>
        <v>0.75855822585033006</v>
      </c>
      <c r="K16" s="3">
        <f t="shared" si="6"/>
        <v>0.99991848860976384</v>
      </c>
      <c r="L16" s="3">
        <f t="shared" si="12"/>
        <v>-8.1514712470058895E-5</v>
      </c>
      <c r="M16" s="9">
        <f t="shared" si="8"/>
        <v>0.61924686192468614</v>
      </c>
      <c r="N16" s="9">
        <f t="shared" si="9"/>
        <v>0.3807531380753138</v>
      </c>
      <c r="P16">
        <f t="shared" si="10"/>
        <v>204</v>
      </c>
      <c r="Q16">
        <f t="shared" si="11"/>
        <v>128</v>
      </c>
    </row>
    <row r="17" spans="1:17" x14ac:dyDescent="0.35">
      <c r="A17">
        <v>2022</v>
      </c>
      <c r="B17" s="3">
        <v>203</v>
      </c>
      <c r="C17" s="7">
        <v>34</v>
      </c>
      <c r="D17" s="3">
        <f t="shared" si="0"/>
        <v>25.375</v>
      </c>
      <c r="E17" s="10">
        <f t="shared" si="1"/>
        <v>0.50749999999999995</v>
      </c>
      <c r="F17" s="10">
        <f t="shared" si="2"/>
        <v>0.68</v>
      </c>
      <c r="G17" s="3">
        <f t="shared" si="3"/>
        <v>59.375</v>
      </c>
      <c r="H17" s="3">
        <f t="shared" si="7"/>
        <v>1</v>
      </c>
      <c r="I17" s="3">
        <f t="shared" si="4"/>
        <v>0.72719464978330639</v>
      </c>
      <c r="J17" s="3">
        <f t="shared" si="5"/>
        <v>0.37381229283235973</v>
      </c>
      <c r="K17" s="3">
        <f t="shared" si="6"/>
        <v>0.99990886153146064</v>
      </c>
      <c r="L17" s="3">
        <f t="shared" si="12"/>
        <v>-9.1142621901944414E-5</v>
      </c>
      <c r="M17" s="9">
        <f t="shared" si="8"/>
        <v>0.57263157894736838</v>
      </c>
      <c r="N17" s="9">
        <f t="shared" si="9"/>
        <v>0.42736842105263156</v>
      </c>
      <c r="P17">
        <f t="shared" si="10"/>
        <v>72</v>
      </c>
      <c r="Q17">
        <f t="shared" si="11"/>
        <v>189.5</v>
      </c>
    </row>
    <row r="18" spans="1:17" x14ac:dyDescent="0.35">
      <c r="A18">
        <v>2022</v>
      </c>
      <c r="B18" s="3">
        <v>195</v>
      </c>
      <c r="C18" s="7">
        <v>35</v>
      </c>
      <c r="D18" s="3">
        <f t="shared" si="0"/>
        <v>24.375</v>
      </c>
      <c r="E18" s="10">
        <f t="shared" si="1"/>
        <v>0.48749999999999999</v>
      </c>
      <c r="F18" s="10">
        <f t="shared" si="2"/>
        <v>0.7</v>
      </c>
      <c r="G18" s="3">
        <f t="shared" si="3"/>
        <v>59.375</v>
      </c>
      <c r="H18" s="3">
        <f t="shared" si="7"/>
        <v>1</v>
      </c>
      <c r="I18" s="3">
        <f t="shared" si="4"/>
        <v>0.42751277155806727</v>
      </c>
      <c r="J18" s="3">
        <f t="shared" si="5"/>
        <v>0.50206093717168321</v>
      </c>
      <c r="K18" s="3">
        <f t="shared" si="6"/>
        <v>0.99989989185745931</v>
      </c>
      <c r="L18" s="3">
        <f t="shared" si="12"/>
        <v>-1.0011315369523163E-4</v>
      </c>
      <c r="M18" s="9">
        <f t="shared" si="8"/>
        <v>0.58947368421052626</v>
      </c>
      <c r="N18" s="9">
        <f t="shared" si="9"/>
        <v>0.41052631578947368</v>
      </c>
      <c r="P18">
        <f t="shared" si="10"/>
        <v>113.5</v>
      </c>
      <c r="Q18">
        <f t="shared" si="11"/>
        <v>171.5</v>
      </c>
    </row>
    <row r="19" spans="1:17" x14ac:dyDescent="0.35">
      <c r="A19">
        <v>2022</v>
      </c>
      <c r="B19" s="3">
        <v>178</v>
      </c>
      <c r="C19" s="7">
        <v>37</v>
      </c>
      <c r="D19" s="3">
        <f t="shared" si="0"/>
        <v>22.25</v>
      </c>
      <c r="E19" s="10">
        <f t="shared" si="1"/>
        <v>0.44500000000000001</v>
      </c>
      <c r="F19" s="10">
        <f t="shared" si="2"/>
        <v>0.74</v>
      </c>
      <c r="G19" s="3">
        <f t="shared" si="3"/>
        <v>59.25</v>
      </c>
      <c r="H19" s="3">
        <f t="shared" si="7"/>
        <v>1</v>
      </c>
      <c r="I19" s="3">
        <f t="shared" si="4"/>
        <v>-0.20931121967056582</v>
      </c>
      <c r="J19" s="3">
        <f t="shared" si="5"/>
        <v>0.75855822585033006</v>
      </c>
      <c r="K19" s="3">
        <f t="shared" si="6"/>
        <v>0.99986230114481423</v>
      </c>
      <c r="L19" s="3">
        <f t="shared" si="12"/>
        <v>-1.377083365435261E-4</v>
      </c>
      <c r="M19" s="9">
        <f t="shared" si="8"/>
        <v>0.62447257383966248</v>
      </c>
      <c r="N19" s="9">
        <f t="shared" si="9"/>
        <v>0.37552742616033757</v>
      </c>
      <c r="P19">
        <f t="shared" si="10"/>
        <v>230.5</v>
      </c>
      <c r="Q19">
        <f t="shared" si="11"/>
        <v>128</v>
      </c>
    </row>
    <row r="20" spans="1:17" x14ac:dyDescent="0.35">
      <c r="A20">
        <v>2022</v>
      </c>
      <c r="B20" s="3">
        <v>210</v>
      </c>
      <c r="C20" s="7">
        <v>33</v>
      </c>
      <c r="D20" s="3">
        <f t="shared" si="0"/>
        <v>26.25</v>
      </c>
      <c r="E20" s="10">
        <f t="shared" si="1"/>
        <v>0.52500000000000002</v>
      </c>
      <c r="F20" s="10">
        <f t="shared" si="2"/>
        <v>0.66</v>
      </c>
      <c r="G20" s="3">
        <f t="shared" si="3"/>
        <v>59.25</v>
      </c>
      <c r="H20" s="3">
        <f t="shared" si="7"/>
        <v>1</v>
      </c>
      <c r="I20" s="3">
        <f t="shared" si="4"/>
        <v>0.9894162932303906</v>
      </c>
      <c r="J20" s="3">
        <f t="shared" si="5"/>
        <v>0.24556364849303625</v>
      </c>
      <c r="K20" s="3">
        <f t="shared" si="6"/>
        <v>0.99990540618052148</v>
      </c>
      <c r="L20" s="3">
        <f t="shared" si="12"/>
        <v>-9.459829375602007E-5</v>
      </c>
      <c r="M20" s="9">
        <f t="shared" si="8"/>
        <v>0.55696202531645567</v>
      </c>
      <c r="N20" s="9">
        <f t="shared" si="9"/>
        <v>0.44303797468354428</v>
      </c>
      <c r="P20">
        <f t="shared" si="10"/>
        <v>52</v>
      </c>
      <c r="Q20">
        <f t="shared" si="11"/>
        <v>208.5</v>
      </c>
    </row>
    <row r="21" spans="1:17" x14ac:dyDescent="0.35">
      <c r="A21">
        <v>2022</v>
      </c>
      <c r="B21" s="3">
        <v>194</v>
      </c>
      <c r="C21" s="7">
        <v>35</v>
      </c>
      <c r="D21" s="3">
        <f t="shared" si="0"/>
        <v>24.25</v>
      </c>
      <c r="E21" s="10">
        <f t="shared" si="1"/>
        <v>0.48499999999999999</v>
      </c>
      <c r="F21" s="10">
        <f t="shared" si="2"/>
        <v>0.7</v>
      </c>
      <c r="G21" s="3">
        <f t="shared" si="3"/>
        <v>59.25</v>
      </c>
      <c r="H21" s="3">
        <f t="shared" si="7"/>
        <v>1</v>
      </c>
      <c r="I21" s="3">
        <f t="shared" si="4"/>
        <v>0.39005253677991242</v>
      </c>
      <c r="J21" s="3">
        <f t="shared" si="5"/>
        <v>0.50206093717168321</v>
      </c>
      <c r="K21" s="3">
        <f t="shared" si="6"/>
        <v>0.99988587062952106</v>
      </c>
      <c r="L21" s="3">
        <f t="shared" si="12"/>
        <v>-1.1413588373112026E-4</v>
      </c>
      <c r="M21" s="9">
        <f t="shared" si="8"/>
        <v>0.59071729957805907</v>
      </c>
      <c r="N21" s="9">
        <f t="shared" si="9"/>
        <v>0.40928270042194093</v>
      </c>
      <c r="P21">
        <f t="shared" si="10"/>
        <v>120</v>
      </c>
      <c r="Q21">
        <f t="shared" si="11"/>
        <v>171.5</v>
      </c>
    </row>
    <row r="22" spans="1:17" x14ac:dyDescent="0.35">
      <c r="A22">
        <v>2022</v>
      </c>
      <c r="B22" s="3">
        <v>203</v>
      </c>
      <c r="C22" s="7">
        <v>33</v>
      </c>
      <c r="D22" s="3">
        <f t="shared" si="0"/>
        <v>25.375</v>
      </c>
      <c r="E22" s="10">
        <f t="shared" si="1"/>
        <v>0.50749999999999995</v>
      </c>
      <c r="F22" s="10">
        <f t="shared" si="2"/>
        <v>0.66</v>
      </c>
      <c r="G22" s="3">
        <f t="shared" si="3"/>
        <v>58.375</v>
      </c>
      <c r="H22" s="3">
        <f t="shared" si="7"/>
        <v>1</v>
      </c>
      <c r="I22" s="3">
        <f t="shared" si="4"/>
        <v>0.72719464978330639</v>
      </c>
      <c r="J22" s="3">
        <f t="shared" si="5"/>
        <v>0.24556364849303625</v>
      </c>
      <c r="K22" s="3">
        <f t="shared" si="6"/>
        <v>0.99976322286513764</v>
      </c>
      <c r="L22" s="3">
        <f t="shared" si="12"/>
        <v>-2.3680517099379224E-4</v>
      </c>
      <c r="M22" s="9">
        <f t="shared" si="8"/>
        <v>0.56531049250535337</v>
      </c>
      <c r="N22" s="9">
        <f t="shared" si="9"/>
        <v>0.43468950749464669</v>
      </c>
      <c r="P22">
        <f t="shared" si="10"/>
        <v>72</v>
      </c>
      <c r="Q22">
        <f t="shared" si="11"/>
        <v>208.5</v>
      </c>
    </row>
    <row r="23" spans="1:17" x14ac:dyDescent="0.35">
      <c r="A23">
        <v>2022</v>
      </c>
      <c r="B23" s="3">
        <v>163</v>
      </c>
      <c r="C23" s="7">
        <v>38</v>
      </c>
      <c r="D23" s="3">
        <f t="shared" si="0"/>
        <v>20.375</v>
      </c>
      <c r="E23" s="10">
        <f t="shared" si="1"/>
        <v>0.40749999999999997</v>
      </c>
      <c r="F23" s="10">
        <f t="shared" si="2"/>
        <v>0.76</v>
      </c>
      <c r="G23" s="3">
        <f t="shared" si="3"/>
        <v>58.375</v>
      </c>
      <c r="H23" s="3">
        <f t="shared" si="7"/>
        <v>1</v>
      </c>
      <c r="I23" s="3">
        <f t="shared" si="4"/>
        <v>-0.77121474134288914</v>
      </c>
      <c r="J23" s="3">
        <f t="shared" si="5"/>
        <v>0.88680687018965354</v>
      </c>
      <c r="K23" s="3">
        <f t="shared" si="6"/>
        <v>0.99962143886145705</v>
      </c>
      <c r="L23" s="3">
        <f>IF(K23=0, -1000, IF(K23=1, -1000, H23 * LN(K23) + (1 - H23) * LN(1 - K23)))</f>
        <v>-3.7863281089957855E-4</v>
      </c>
      <c r="M23" s="9">
        <f t="shared" si="8"/>
        <v>0.65096359743040688</v>
      </c>
      <c r="N23" s="9">
        <f t="shared" si="9"/>
        <v>0.34903640256959317</v>
      </c>
      <c r="P23">
        <f t="shared" si="10"/>
        <v>356.5</v>
      </c>
      <c r="Q23">
        <f t="shared" si="11"/>
        <v>103</v>
      </c>
    </row>
    <row r="24" spans="1:17" x14ac:dyDescent="0.35">
      <c r="A24">
        <v>2022</v>
      </c>
      <c r="B24" s="3">
        <v>177</v>
      </c>
      <c r="C24" s="7">
        <v>36</v>
      </c>
      <c r="D24" s="3">
        <f t="shared" si="0"/>
        <v>22.125</v>
      </c>
      <c r="E24" s="10">
        <f t="shared" si="1"/>
        <v>0.4425</v>
      </c>
      <c r="F24" s="10">
        <f t="shared" si="2"/>
        <v>0.72</v>
      </c>
      <c r="G24" s="3">
        <f t="shared" si="3"/>
        <v>58.125</v>
      </c>
      <c r="H24" s="3">
        <f t="shared" si="7"/>
        <v>1</v>
      </c>
      <c r="I24" s="3">
        <f t="shared" si="4"/>
        <v>-0.2467714544487207</v>
      </c>
      <c r="J24" s="3">
        <f t="shared" si="5"/>
        <v>0.63030958151100658</v>
      </c>
      <c r="K24" s="3">
        <f t="shared" si="6"/>
        <v>0.99959219889612483</v>
      </c>
      <c r="L24" s="3">
        <f t="shared" si="12"/>
        <v>-4.0788427735825996E-4</v>
      </c>
      <c r="M24" s="9">
        <f t="shared" si="8"/>
        <v>0.61935483870967745</v>
      </c>
      <c r="N24" s="9">
        <f t="shared" si="9"/>
        <v>0.38064516129032255</v>
      </c>
      <c r="P24">
        <f t="shared" si="10"/>
        <v>237.5</v>
      </c>
      <c r="Q24">
        <f t="shared" si="11"/>
        <v>152</v>
      </c>
    </row>
    <row r="25" spans="1:17" x14ac:dyDescent="0.35">
      <c r="A25">
        <v>2022</v>
      </c>
      <c r="B25" s="3">
        <v>164</v>
      </c>
      <c r="C25" s="7">
        <v>37</v>
      </c>
      <c r="D25" s="3">
        <f t="shared" si="0"/>
        <v>20.5</v>
      </c>
      <c r="E25" s="10">
        <f t="shared" si="1"/>
        <v>0.41</v>
      </c>
      <c r="F25" s="10">
        <f t="shared" si="2"/>
        <v>0.74</v>
      </c>
      <c r="G25" s="3">
        <f t="shared" si="3"/>
        <v>57.5</v>
      </c>
      <c r="H25" s="3">
        <f t="shared" si="7"/>
        <v>1</v>
      </c>
      <c r="I25" s="3">
        <f t="shared" si="4"/>
        <v>-0.73375450656473429</v>
      </c>
      <c r="J25" s="3">
        <f t="shared" si="5"/>
        <v>0.75855822585033006</v>
      </c>
      <c r="K25" s="3">
        <f t="shared" si="6"/>
        <v>0.99913763132987765</v>
      </c>
      <c r="L25" s="3">
        <f t="shared" si="12"/>
        <v>-8.6274072389767799E-4</v>
      </c>
      <c r="M25" s="9">
        <f t="shared" si="8"/>
        <v>0.64347826086956517</v>
      </c>
      <c r="N25" s="9">
        <f t="shared" si="9"/>
        <v>0.35652173913043478</v>
      </c>
      <c r="P25">
        <f t="shared" si="10"/>
        <v>348.5</v>
      </c>
      <c r="Q25">
        <f t="shared" si="11"/>
        <v>128</v>
      </c>
    </row>
    <row r="26" spans="1:17" x14ac:dyDescent="0.35">
      <c r="A26">
        <v>2022</v>
      </c>
      <c r="B26" s="3">
        <v>156</v>
      </c>
      <c r="C26" s="7">
        <v>38</v>
      </c>
      <c r="D26" s="3">
        <f t="shared" si="0"/>
        <v>19.5</v>
      </c>
      <c r="E26" s="10">
        <f t="shared" si="1"/>
        <v>0.39</v>
      </c>
      <c r="F26" s="10">
        <f t="shared" si="2"/>
        <v>0.76</v>
      </c>
      <c r="G26" s="3">
        <f t="shared" si="3"/>
        <v>57.5</v>
      </c>
      <c r="H26" s="3">
        <f t="shared" si="7"/>
        <v>1</v>
      </c>
      <c r="I26" s="3">
        <f t="shared" si="4"/>
        <v>-1.0334363847899735</v>
      </c>
      <c r="J26" s="3">
        <f t="shared" si="5"/>
        <v>0.88680687018965354</v>
      </c>
      <c r="K26" s="3">
        <f t="shared" si="6"/>
        <v>0.99905283055202632</v>
      </c>
      <c r="L26" s="3">
        <f t="shared" si="12"/>
        <v>-9.4761829640133144E-4</v>
      </c>
      <c r="M26" s="9">
        <f t="shared" si="8"/>
        <v>0.66086956521739126</v>
      </c>
      <c r="N26" s="9">
        <f t="shared" si="9"/>
        <v>0.33913043478260868</v>
      </c>
      <c r="P26">
        <f t="shared" si="10"/>
        <v>390</v>
      </c>
      <c r="Q26">
        <f t="shared" si="11"/>
        <v>103</v>
      </c>
    </row>
    <row r="27" spans="1:17" x14ac:dyDescent="0.35">
      <c r="A27">
        <v>2022</v>
      </c>
      <c r="B27" s="3">
        <v>179</v>
      </c>
      <c r="C27" s="7">
        <v>35</v>
      </c>
      <c r="D27" s="3">
        <f t="shared" si="0"/>
        <v>22.375</v>
      </c>
      <c r="E27" s="10">
        <f t="shared" si="1"/>
        <v>0.44750000000000001</v>
      </c>
      <c r="F27" s="10">
        <f t="shared" si="2"/>
        <v>0.7</v>
      </c>
      <c r="G27" s="3">
        <f t="shared" si="3"/>
        <v>57.375</v>
      </c>
      <c r="H27" s="3">
        <f t="shared" si="7"/>
        <v>1</v>
      </c>
      <c r="I27" s="3">
        <f t="shared" si="4"/>
        <v>-0.17185098489241094</v>
      </c>
      <c r="J27" s="3">
        <f t="shared" si="5"/>
        <v>0.50206093717168321</v>
      </c>
      <c r="K27" s="3">
        <f t="shared" si="6"/>
        <v>0.99918509953445867</v>
      </c>
      <c r="L27" s="3">
        <f t="shared" si="12"/>
        <v>-8.1523267741770791E-4</v>
      </c>
      <c r="M27" s="9">
        <f t="shared" si="8"/>
        <v>0.61002178649237471</v>
      </c>
      <c r="N27" s="9">
        <f t="shared" si="9"/>
        <v>0.38997821350762529</v>
      </c>
      <c r="P27">
        <f t="shared" si="10"/>
        <v>223.5</v>
      </c>
      <c r="Q27">
        <f t="shared" si="11"/>
        <v>171.5</v>
      </c>
    </row>
    <row r="28" spans="1:17" x14ac:dyDescent="0.35">
      <c r="A28">
        <v>2022</v>
      </c>
      <c r="B28" s="3">
        <v>170</v>
      </c>
      <c r="C28" s="7">
        <v>36</v>
      </c>
      <c r="D28" s="3">
        <f t="shared" si="0"/>
        <v>21.25</v>
      </c>
      <c r="E28" s="10">
        <f t="shared" si="1"/>
        <v>0.42499999999999999</v>
      </c>
      <c r="F28" s="10">
        <f t="shared" si="2"/>
        <v>0.72</v>
      </c>
      <c r="G28" s="3">
        <f t="shared" si="3"/>
        <v>57.25</v>
      </c>
      <c r="H28" s="3">
        <f t="shared" si="7"/>
        <v>1</v>
      </c>
      <c r="I28" s="3">
        <f t="shared" si="4"/>
        <v>-0.50899309789580494</v>
      </c>
      <c r="J28" s="3">
        <f t="shared" si="5"/>
        <v>0.63030958151100658</v>
      </c>
      <c r="K28" s="3">
        <f t="shared" si="6"/>
        <v>0.99897971625355864</v>
      </c>
      <c r="L28" s="3">
        <f t="shared" si="12"/>
        <v>-1.0208045902054127E-3</v>
      </c>
      <c r="M28" s="9">
        <f t="shared" si="8"/>
        <v>0.62882096069868998</v>
      </c>
      <c r="N28" s="9">
        <f t="shared" si="9"/>
        <v>0.37117903930131002</v>
      </c>
      <c r="P28">
        <f t="shared" si="10"/>
        <v>287.5</v>
      </c>
      <c r="Q28">
        <f t="shared" si="11"/>
        <v>152</v>
      </c>
    </row>
    <row r="29" spans="1:17" x14ac:dyDescent="0.35">
      <c r="A29">
        <v>2022</v>
      </c>
      <c r="B29" s="3">
        <v>169</v>
      </c>
      <c r="C29" s="7">
        <v>36</v>
      </c>
      <c r="D29" s="3">
        <f t="shared" si="0"/>
        <v>21.125</v>
      </c>
      <c r="E29" s="10">
        <f t="shared" si="1"/>
        <v>0.42249999999999999</v>
      </c>
      <c r="F29" s="10">
        <f t="shared" si="2"/>
        <v>0.72</v>
      </c>
      <c r="G29" s="3">
        <f t="shared" si="3"/>
        <v>57.125</v>
      </c>
      <c r="H29" s="3">
        <f t="shared" si="7"/>
        <v>1</v>
      </c>
      <c r="I29" s="3">
        <f t="shared" si="4"/>
        <v>-0.54645333267395979</v>
      </c>
      <c r="J29" s="3">
        <f t="shared" si="5"/>
        <v>0.63030958151100658</v>
      </c>
      <c r="K29" s="3">
        <f t="shared" si="6"/>
        <v>0.99883696438913105</v>
      </c>
      <c r="L29" s="3">
        <f t="shared" si="12"/>
        <v>-1.1637124616369462E-3</v>
      </c>
      <c r="M29" s="9">
        <f t="shared" si="8"/>
        <v>0.63019693654266962</v>
      </c>
      <c r="N29" s="9">
        <f t="shared" si="9"/>
        <v>0.36980306345733044</v>
      </c>
      <c r="P29">
        <f t="shared" si="10"/>
        <v>299</v>
      </c>
      <c r="Q29">
        <f t="shared" si="11"/>
        <v>152</v>
      </c>
    </row>
    <row r="30" spans="1:17" x14ac:dyDescent="0.35">
      <c r="A30">
        <v>2022</v>
      </c>
      <c r="B30" s="3">
        <v>184</v>
      </c>
      <c r="C30" s="7">
        <v>34</v>
      </c>
      <c r="D30" s="3">
        <f t="shared" si="0"/>
        <v>23</v>
      </c>
      <c r="E30" s="10">
        <f t="shared" si="1"/>
        <v>0.46</v>
      </c>
      <c r="F30" s="10">
        <f t="shared" si="2"/>
        <v>0.68</v>
      </c>
      <c r="G30" s="3">
        <f t="shared" si="3"/>
        <v>57</v>
      </c>
      <c r="H30" s="3">
        <f t="shared" si="7"/>
        <v>1</v>
      </c>
      <c r="I30" s="3">
        <f t="shared" si="4"/>
        <v>1.5450188998363515E-2</v>
      </c>
      <c r="J30" s="3">
        <f t="shared" si="5"/>
        <v>0.37381229283235973</v>
      </c>
      <c r="K30" s="3">
        <f t="shared" si="6"/>
        <v>0.99890096429441044</v>
      </c>
      <c r="L30" s="3">
        <f t="shared" si="12"/>
        <v>-1.0996400881965948E-3</v>
      </c>
      <c r="M30" s="9">
        <f t="shared" si="8"/>
        <v>0.59649122807017541</v>
      </c>
      <c r="N30" s="9">
        <f t="shared" si="9"/>
        <v>0.40350877192982454</v>
      </c>
      <c r="P30">
        <f t="shared" si="10"/>
        <v>188.5</v>
      </c>
      <c r="Q30">
        <f t="shared" si="11"/>
        <v>189.5</v>
      </c>
    </row>
    <row r="31" spans="1:17" x14ac:dyDescent="0.35">
      <c r="A31">
        <v>2022</v>
      </c>
      <c r="B31" s="3">
        <v>156</v>
      </c>
      <c r="C31" s="7">
        <v>37</v>
      </c>
      <c r="D31" s="3">
        <f t="shared" si="0"/>
        <v>19.5</v>
      </c>
      <c r="E31" s="10">
        <f t="shared" si="1"/>
        <v>0.39</v>
      </c>
      <c r="F31" s="10">
        <f t="shared" si="2"/>
        <v>0.74</v>
      </c>
      <c r="G31" s="3">
        <f t="shared" si="3"/>
        <v>56.5</v>
      </c>
      <c r="H31" s="3">
        <f t="shared" si="7"/>
        <v>1</v>
      </c>
      <c r="I31" s="3">
        <f t="shared" si="4"/>
        <v>-1.0334363847899735</v>
      </c>
      <c r="J31" s="3">
        <f t="shared" si="5"/>
        <v>0.75855822585033006</v>
      </c>
      <c r="K31" s="3">
        <f t="shared" si="6"/>
        <v>0.9975426219083442</v>
      </c>
      <c r="L31" s="3">
        <f t="shared" si="12"/>
        <v>-2.4604024007950985E-3</v>
      </c>
      <c r="M31" s="9">
        <f t="shared" si="8"/>
        <v>0.65486725663716816</v>
      </c>
      <c r="N31" s="9">
        <f t="shared" si="9"/>
        <v>0.34513274336283184</v>
      </c>
      <c r="P31">
        <f t="shared" si="10"/>
        <v>390</v>
      </c>
      <c r="Q31">
        <f t="shared" si="11"/>
        <v>128</v>
      </c>
    </row>
    <row r="32" spans="1:17" x14ac:dyDescent="0.35">
      <c r="A32">
        <v>2022</v>
      </c>
      <c r="B32" s="3">
        <v>195</v>
      </c>
      <c r="C32" s="7">
        <v>32</v>
      </c>
      <c r="D32" s="3">
        <f t="shared" si="0"/>
        <v>24.375</v>
      </c>
      <c r="E32" s="10">
        <f t="shared" si="1"/>
        <v>0.48749999999999999</v>
      </c>
      <c r="F32" s="10">
        <f t="shared" si="2"/>
        <v>0.64</v>
      </c>
      <c r="G32" s="3">
        <f t="shared" si="3"/>
        <v>56.375</v>
      </c>
      <c r="H32" s="3">
        <f t="shared" si="7"/>
        <v>1</v>
      </c>
      <c r="I32" s="3">
        <f t="shared" si="4"/>
        <v>0.42751277155806727</v>
      </c>
      <c r="J32" s="3">
        <f t="shared" si="5"/>
        <v>0.11731500415371279</v>
      </c>
      <c r="K32" s="3">
        <f t="shared" si="6"/>
        <v>0.9982467063793603</v>
      </c>
      <c r="L32" s="3">
        <f t="shared" si="12"/>
        <v>-1.7548324388295723E-3</v>
      </c>
      <c r="M32" s="9">
        <f t="shared" si="8"/>
        <v>0.56762749445676275</v>
      </c>
      <c r="N32" s="9">
        <f t="shared" si="9"/>
        <v>0.43237250554323725</v>
      </c>
      <c r="P32">
        <f t="shared" si="10"/>
        <v>113.5</v>
      </c>
      <c r="Q32">
        <f t="shared" si="11"/>
        <v>222</v>
      </c>
    </row>
    <row r="33" spans="1:17" x14ac:dyDescent="0.35">
      <c r="A33">
        <v>2022</v>
      </c>
      <c r="B33" s="3">
        <v>186</v>
      </c>
      <c r="C33" s="7">
        <v>33</v>
      </c>
      <c r="D33" s="3">
        <f t="shared" si="0"/>
        <v>23.25</v>
      </c>
      <c r="E33" s="10">
        <f t="shared" si="1"/>
        <v>0.46500000000000002</v>
      </c>
      <c r="F33" s="10">
        <f t="shared" si="2"/>
        <v>0.66</v>
      </c>
      <c r="G33" s="3">
        <f t="shared" si="3"/>
        <v>56.25</v>
      </c>
      <c r="H33" s="3">
        <f t="shared" si="7"/>
        <v>1</v>
      </c>
      <c r="I33" s="3">
        <f t="shared" si="4"/>
        <v>9.03706585546733E-2</v>
      </c>
      <c r="J33" s="3">
        <f t="shared" si="5"/>
        <v>0.24556364849303625</v>
      </c>
      <c r="K33" s="3">
        <f t="shared" si="6"/>
        <v>0.99780533484009548</v>
      </c>
      <c r="L33" s="3">
        <f t="shared" si="12"/>
        <v>-2.19707696687184E-3</v>
      </c>
      <c r="M33" s="9">
        <f t="shared" si="8"/>
        <v>0.58666666666666667</v>
      </c>
      <c r="N33" s="9">
        <f t="shared" si="9"/>
        <v>0.41333333333333333</v>
      </c>
      <c r="P33">
        <f t="shared" si="10"/>
        <v>171.5</v>
      </c>
      <c r="Q33">
        <f t="shared" si="11"/>
        <v>208.5</v>
      </c>
    </row>
    <row r="34" spans="1:17" x14ac:dyDescent="0.35">
      <c r="A34">
        <v>2022</v>
      </c>
      <c r="B34" s="3">
        <v>194</v>
      </c>
      <c r="C34" s="7">
        <v>32</v>
      </c>
      <c r="D34" s="3">
        <f t="shared" ref="D34:D55" si="13">B34 / 8</f>
        <v>24.25</v>
      </c>
      <c r="E34" s="10">
        <f t="shared" ref="E34:E65" si="14">B34 / 400</f>
        <v>0.48499999999999999</v>
      </c>
      <c r="F34" s="10">
        <f t="shared" ref="F34:F65" si="15">C34 / 50</f>
        <v>0.64</v>
      </c>
      <c r="G34" s="3">
        <f t="shared" ref="G34:G65" si="16">SUM(D34 + C34)</f>
        <v>56.25</v>
      </c>
      <c r="H34" s="3">
        <f t="shared" si="7"/>
        <v>1</v>
      </c>
      <c r="I34" s="3">
        <f t="shared" si="4"/>
        <v>0.39005253677991242</v>
      </c>
      <c r="J34" s="3">
        <f t="shared" si="5"/>
        <v>0.11731500415371279</v>
      </c>
      <c r="K34" s="3">
        <f t="shared" si="6"/>
        <v>0.99800160141610283</v>
      </c>
      <c r="L34" s="3">
        <f t="shared" si="12"/>
        <v>-2.0003980466069453E-3</v>
      </c>
      <c r="M34" s="9">
        <f t="shared" si="8"/>
        <v>0.56888888888888889</v>
      </c>
      <c r="N34" s="9">
        <f t="shared" si="9"/>
        <v>0.43111111111111111</v>
      </c>
      <c r="P34">
        <f t="shared" si="10"/>
        <v>120</v>
      </c>
      <c r="Q34">
        <f t="shared" si="11"/>
        <v>222</v>
      </c>
    </row>
    <row r="35" spans="1:17" x14ac:dyDescent="0.35">
      <c r="A35">
        <v>2022</v>
      </c>
      <c r="B35" s="3">
        <v>196</v>
      </c>
      <c r="C35" s="7">
        <v>31</v>
      </c>
      <c r="D35" s="3">
        <f t="shared" si="13"/>
        <v>24.5</v>
      </c>
      <c r="E35" s="10">
        <f t="shared" si="14"/>
        <v>0.49</v>
      </c>
      <c r="F35" s="10">
        <f t="shared" si="15"/>
        <v>0.62</v>
      </c>
      <c r="G35" s="3">
        <f t="shared" si="16"/>
        <v>55.5</v>
      </c>
      <c r="H35" s="3">
        <f t="shared" si="7"/>
        <v>1</v>
      </c>
      <c r="I35" s="3">
        <f t="shared" si="4"/>
        <v>0.46497300633622218</v>
      </c>
      <c r="J35" s="3">
        <f t="shared" si="5"/>
        <v>-1.0933640185610671E-2</v>
      </c>
      <c r="K35" s="3">
        <f t="shared" si="6"/>
        <v>0.99601297508872366</v>
      </c>
      <c r="L35" s="3">
        <f t="shared" si="12"/>
        <v>-3.9949942848783023E-3</v>
      </c>
      <c r="M35" s="9">
        <f t="shared" si="8"/>
        <v>0.55855855855855852</v>
      </c>
      <c r="N35" s="9">
        <f t="shared" si="9"/>
        <v>0.44144144144144143</v>
      </c>
      <c r="P35">
        <f t="shared" si="10"/>
        <v>106.5</v>
      </c>
      <c r="Q35">
        <f t="shared" si="11"/>
        <v>239.5</v>
      </c>
    </row>
    <row r="36" spans="1:17" x14ac:dyDescent="0.35">
      <c r="A36">
        <v>2022</v>
      </c>
      <c r="B36" s="3">
        <v>233</v>
      </c>
      <c r="C36" s="7">
        <v>26</v>
      </c>
      <c r="D36" s="3">
        <f t="shared" si="13"/>
        <v>29.125</v>
      </c>
      <c r="E36" s="10">
        <f t="shared" si="14"/>
        <v>0.58250000000000002</v>
      </c>
      <c r="F36" s="10">
        <f t="shared" si="15"/>
        <v>0.52</v>
      </c>
      <c r="G36" s="3">
        <f t="shared" si="16"/>
        <v>55.125</v>
      </c>
      <c r="H36" s="3">
        <f t="shared" si="7"/>
        <v>1</v>
      </c>
      <c r="I36" s="3">
        <f t="shared" si="4"/>
        <v>1.8510016931279532</v>
      </c>
      <c r="J36" s="3">
        <f t="shared" si="5"/>
        <v>-0.65217686188222801</v>
      </c>
      <c r="K36" s="3">
        <f t="shared" si="6"/>
        <v>0.99630409897421035</v>
      </c>
      <c r="L36" s="3">
        <f t="shared" si="12"/>
        <v>-3.7027477430514773E-3</v>
      </c>
      <c r="M36" s="9">
        <f t="shared" si="8"/>
        <v>0.47165532879818595</v>
      </c>
      <c r="N36" s="9">
        <f t="shared" si="9"/>
        <v>0.52834467120181405</v>
      </c>
      <c r="P36">
        <f t="shared" si="10"/>
        <v>20</v>
      </c>
      <c r="Q36">
        <f t="shared" si="11"/>
        <v>312.5</v>
      </c>
    </row>
    <row r="37" spans="1:17" x14ac:dyDescent="0.35">
      <c r="A37">
        <v>2022</v>
      </c>
      <c r="B37" s="3">
        <v>177</v>
      </c>
      <c r="C37" s="7">
        <v>33</v>
      </c>
      <c r="D37" s="3">
        <f t="shared" si="13"/>
        <v>22.125</v>
      </c>
      <c r="E37" s="10">
        <f t="shared" si="14"/>
        <v>0.4425</v>
      </c>
      <c r="F37" s="10">
        <f t="shared" si="15"/>
        <v>0.66</v>
      </c>
      <c r="G37" s="3">
        <f t="shared" si="16"/>
        <v>55.125</v>
      </c>
      <c r="H37" s="3">
        <f t="shared" si="7"/>
        <v>1</v>
      </c>
      <c r="I37" s="3">
        <f t="shared" si="4"/>
        <v>-0.2467714544487207</v>
      </c>
      <c r="J37" s="3">
        <f t="shared" si="5"/>
        <v>0.24556364849303625</v>
      </c>
      <c r="K37" s="3">
        <f t="shared" si="6"/>
        <v>0.99289388454235372</v>
      </c>
      <c r="L37" s="3">
        <f t="shared" si="12"/>
        <v>-7.1314841494367343E-3</v>
      </c>
      <c r="M37" s="9">
        <f t="shared" si="8"/>
        <v>0.59863945578231292</v>
      </c>
      <c r="N37" s="9">
        <f t="shared" si="9"/>
        <v>0.40136054421768708</v>
      </c>
      <c r="P37">
        <f t="shared" si="10"/>
        <v>237.5</v>
      </c>
      <c r="Q37">
        <f t="shared" si="11"/>
        <v>208.5</v>
      </c>
    </row>
    <row r="38" spans="1:17" x14ac:dyDescent="0.35">
      <c r="A38">
        <v>2022</v>
      </c>
      <c r="B38" s="3">
        <v>136</v>
      </c>
      <c r="C38" s="7">
        <v>38</v>
      </c>
      <c r="D38" s="3">
        <f t="shared" si="13"/>
        <v>17</v>
      </c>
      <c r="E38" s="10">
        <f t="shared" si="14"/>
        <v>0.34</v>
      </c>
      <c r="F38" s="10">
        <f t="shared" si="15"/>
        <v>0.76</v>
      </c>
      <c r="G38" s="3">
        <f t="shared" si="16"/>
        <v>55</v>
      </c>
      <c r="H38" s="3">
        <f t="shared" si="7"/>
        <v>1</v>
      </c>
      <c r="I38" s="3">
        <f t="shared" si="4"/>
        <v>-1.7826410803530712</v>
      </c>
      <c r="J38" s="3">
        <f t="shared" si="5"/>
        <v>0.88680687018965354</v>
      </c>
      <c r="K38" s="3">
        <f t="shared" si="6"/>
        <v>0.98712071771268517</v>
      </c>
      <c r="L38" s="3">
        <f t="shared" si="12"/>
        <v>-1.2962939314680408E-2</v>
      </c>
      <c r="M38" s="9">
        <f t="shared" si="8"/>
        <v>0.69090909090909092</v>
      </c>
      <c r="N38" s="9">
        <f t="shared" si="9"/>
        <v>0.30909090909090908</v>
      </c>
      <c r="P38">
        <f t="shared" si="10"/>
        <v>433.5</v>
      </c>
      <c r="Q38">
        <f t="shared" si="11"/>
        <v>103</v>
      </c>
    </row>
    <row r="39" spans="1:17" x14ac:dyDescent="0.35">
      <c r="A39">
        <v>2022</v>
      </c>
      <c r="B39" s="3">
        <v>238</v>
      </c>
      <c r="C39" s="7">
        <v>25</v>
      </c>
      <c r="D39" s="3">
        <f t="shared" si="13"/>
        <v>29.75</v>
      </c>
      <c r="E39" s="10">
        <f t="shared" si="14"/>
        <v>0.59499999999999997</v>
      </c>
      <c r="F39" s="10">
        <f t="shared" si="15"/>
        <v>0.5</v>
      </c>
      <c r="G39" s="3">
        <f t="shared" si="16"/>
        <v>54.75</v>
      </c>
      <c r="H39" s="3">
        <f t="shared" si="7"/>
        <v>1</v>
      </c>
      <c r="I39" s="3">
        <f t="shared" si="4"/>
        <v>2.0383028670187273</v>
      </c>
      <c r="J39" s="3">
        <f t="shared" si="5"/>
        <v>-0.78042550622155138</v>
      </c>
      <c r="K39" s="3">
        <f t="shared" si="6"/>
        <v>0.99502043770979209</v>
      </c>
      <c r="L39" s="3">
        <f t="shared" si="12"/>
        <v>-4.9920016226443027E-3</v>
      </c>
      <c r="M39" s="9">
        <f t="shared" si="8"/>
        <v>0.45662100456621002</v>
      </c>
      <c r="N39" s="9">
        <f t="shared" si="9"/>
        <v>0.54337899543378998</v>
      </c>
      <c r="P39">
        <f t="shared" si="10"/>
        <v>15</v>
      </c>
      <c r="Q39">
        <f t="shared" si="11"/>
        <v>326</v>
      </c>
    </row>
    <row r="40" spans="1:17" x14ac:dyDescent="0.35">
      <c r="A40">
        <v>2022</v>
      </c>
      <c r="B40" s="3">
        <v>222</v>
      </c>
      <c r="C40" s="7">
        <v>27</v>
      </c>
      <c r="D40" s="3">
        <f t="shared" si="13"/>
        <v>27.75</v>
      </c>
      <c r="E40" s="10">
        <f t="shared" si="14"/>
        <v>0.55500000000000005</v>
      </c>
      <c r="F40" s="10">
        <f t="shared" si="15"/>
        <v>0.54</v>
      </c>
      <c r="G40" s="3">
        <f t="shared" si="16"/>
        <v>54.75</v>
      </c>
      <c r="H40" s="3">
        <f t="shared" si="7"/>
        <v>1</v>
      </c>
      <c r="I40" s="3">
        <f t="shared" si="4"/>
        <v>1.4389391105682494</v>
      </c>
      <c r="J40" s="3">
        <f t="shared" si="5"/>
        <v>-0.52392821754290453</v>
      </c>
      <c r="K40" s="3">
        <f t="shared" si="6"/>
        <v>0.99399811219244616</v>
      </c>
      <c r="L40" s="3">
        <f t="shared" si="12"/>
        <v>-6.0199715301369671E-3</v>
      </c>
      <c r="M40" s="9">
        <f t="shared" si="8"/>
        <v>0.49315068493150682</v>
      </c>
      <c r="N40" s="9">
        <f t="shared" si="9"/>
        <v>0.50684931506849318</v>
      </c>
      <c r="P40">
        <f t="shared" si="10"/>
        <v>37</v>
      </c>
      <c r="Q40">
        <f t="shared" si="11"/>
        <v>294.5</v>
      </c>
    </row>
    <row r="41" spans="1:17" x14ac:dyDescent="0.35">
      <c r="A41">
        <v>2022</v>
      </c>
      <c r="B41" s="3">
        <v>181</v>
      </c>
      <c r="C41" s="7">
        <v>32</v>
      </c>
      <c r="D41" s="3">
        <f t="shared" si="13"/>
        <v>22.625</v>
      </c>
      <c r="E41" s="10">
        <f t="shared" si="14"/>
        <v>0.45250000000000001</v>
      </c>
      <c r="F41" s="10">
        <f t="shared" si="15"/>
        <v>0.64</v>
      </c>
      <c r="G41" s="3">
        <f t="shared" si="16"/>
        <v>54.625</v>
      </c>
      <c r="H41" s="3">
        <f t="shared" si="7"/>
        <v>1</v>
      </c>
      <c r="I41" s="3">
        <f t="shared" si="4"/>
        <v>-9.6930515336101156E-2</v>
      </c>
      <c r="J41" s="3">
        <f t="shared" si="5"/>
        <v>0.11731500415371279</v>
      </c>
      <c r="K41" s="3">
        <f t="shared" si="6"/>
        <v>0.98911220722035054</v>
      </c>
      <c r="L41" s="3">
        <f t="shared" si="12"/>
        <v>-1.0947498567125577E-2</v>
      </c>
      <c r="M41" s="9">
        <f t="shared" si="8"/>
        <v>0.58581235697940504</v>
      </c>
      <c r="N41" s="9">
        <f t="shared" si="9"/>
        <v>0.41418764302059496</v>
      </c>
      <c r="P41">
        <f t="shared" si="10"/>
        <v>209.5</v>
      </c>
      <c r="Q41">
        <f t="shared" si="11"/>
        <v>222</v>
      </c>
    </row>
    <row r="42" spans="1:17" x14ac:dyDescent="0.35">
      <c r="A42">
        <v>2022</v>
      </c>
      <c r="B42" s="3">
        <v>221</v>
      </c>
      <c r="C42" s="7">
        <v>27</v>
      </c>
      <c r="D42" s="3">
        <f t="shared" si="13"/>
        <v>27.625</v>
      </c>
      <c r="E42" s="10">
        <f t="shared" si="14"/>
        <v>0.55249999999999999</v>
      </c>
      <c r="F42" s="10">
        <f t="shared" si="15"/>
        <v>0.54</v>
      </c>
      <c r="G42" s="3">
        <f t="shared" si="16"/>
        <v>54.625</v>
      </c>
      <c r="H42" s="3">
        <f t="shared" si="7"/>
        <v>1</v>
      </c>
      <c r="I42" s="3">
        <f t="shared" si="4"/>
        <v>1.4014788757900944</v>
      </c>
      <c r="J42" s="3">
        <f t="shared" si="5"/>
        <v>-0.52392821754290453</v>
      </c>
      <c r="K42" s="3">
        <f t="shared" si="6"/>
        <v>0.99316313487388985</v>
      </c>
      <c r="L42" s="3">
        <f t="shared" si="12"/>
        <v>-6.8603435622799618E-3</v>
      </c>
      <c r="M42" s="9">
        <f t="shared" si="8"/>
        <v>0.49427917620137302</v>
      </c>
      <c r="N42" s="9">
        <f t="shared" si="9"/>
        <v>0.50572082379862704</v>
      </c>
      <c r="P42">
        <f t="shared" si="10"/>
        <v>39</v>
      </c>
      <c r="Q42">
        <f t="shared" si="11"/>
        <v>294.5</v>
      </c>
    </row>
    <row r="43" spans="1:17" x14ac:dyDescent="0.35">
      <c r="A43">
        <v>2022</v>
      </c>
      <c r="B43" s="3">
        <v>172</v>
      </c>
      <c r="C43" s="7">
        <v>33</v>
      </c>
      <c r="D43" s="3">
        <f t="shared" si="13"/>
        <v>21.5</v>
      </c>
      <c r="E43" s="10">
        <f t="shared" si="14"/>
        <v>0.43</v>
      </c>
      <c r="F43" s="10">
        <f t="shared" si="15"/>
        <v>0.66</v>
      </c>
      <c r="G43" s="3">
        <f t="shared" si="16"/>
        <v>54.5</v>
      </c>
      <c r="H43" s="3">
        <f t="shared" si="7"/>
        <v>1</v>
      </c>
      <c r="I43" s="3">
        <f t="shared" si="4"/>
        <v>-0.43407262833949517</v>
      </c>
      <c r="J43" s="3">
        <f t="shared" si="5"/>
        <v>0.24556364849303625</v>
      </c>
      <c r="K43" s="3">
        <f t="shared" si="6"/>
        <v>0.98640265248121761</v>
      </c>
      <c r="L43" s="3">
        <f t="shared" si="12"/>
        <v>-1.3690638083288714E-2</v>
      </c>
      <c r="M43" s="9">
        <f t="shared" si="8"/>
        <v>0.60550458715596334</v>
      </c>
      <c r="N43" s="9">
        <f t="shared" si="9"/>
        <v>0.39449541284403672</v>
      </c>
      <c r="P43">
        <f t="shared" si="10"/>
        <v>271</v>
      </c>
      <c r="Q43">
        <f t="shared" si="11"/>
        <v>208.5</v>
      </c>
    </row>
    <row r="44" spans="1:17" x14ac:dyDescent="0.35">
      <c r="A44">
        <v>2022</v>
      </c>
      <c r="B44" s="3">
        <v>219</v>
      </c>
      <c r="C44" s="7">
        <v>27</v>
      </c>
      <c r="D44" s="3">
        <f t="shared" si="13"/>
        <v>27.375</v>
      </c>
      <c r="E44" s="10">
        <f t="shared" si="14"/>
        <v>0.54749999999999999</v>
      </c>
      <c r="F44" s="10">
        <f t="shared" si="15"/>
        <v>0.54</v>
      </c>
      <c r="G44" s="3">
        <f t="shared" si="16"/>
        <v>54.375</v>
      </c>
      <c r="H44" s="3">
        <f t="shared" si="7"/>
        <v>1</v>
      </c>
      <c r="I44" s="3">
        <f t="shared" si="4"/>
        <v>1.3265584062337847</v>
      </c>
      <c r="J44" s="3">
        <f t="shared" si="5"/>
        <v>-0.52392821754290453</v>
      </c>
      <c r="K44" s="3">
        <f t="shared" si="6"/>
        <v>0.99113178845950289</v>
      </c>
      <c r="L44" s="3">
        <f t="shared" si="12"/>
        <v>-8.9077681664639034E-3</v>
      </c>
      <c r="M44" s="9">
        <f t="shared" si="8"/>
        <v>0.49655172413793103</v>
      </c>
      <c r="N44" s="9">
        <f t="shared" si="9"/>
        <v>0.50344827586206897</v>
      </c>
      <c r="P44">
        <f t="shared" si="10"/>
        <v>41.5</v>
      </c>
      <c r="Q44">
        <f t="shared" si="11"/>
        <v>294.5</v>
      </c>
    </row>
    <row r="45" spans="1:17" x14ac:dyDescent="0.35">
      <c r="A45">
        <v>2022</v>
      </c>
      <c r="B45" s="3">
        <v>187</v>
      </c>
      <c r="C45" s="7">
        <v>31</v>
      </c>
      <c r="D45" s="3">
        <f t="shared" si="13"/>
        <v>23.375</v>
      </c>
      <c r="E45" s="10">
        <f t="shared" si="14"/>
        <v>0.46750000000000003</v>
      </c>
      <c r="F45" s="10">
        <f t="shared" si="15"/>
        <v>0.62</v>
      </c>
      <c r="G45" s="3">
        <f t="shared" si="16"/>
        <v>54.375</v>
      </c>
      <c r="H45" s="3">
        <f t="shared" si="7"/>
        <v>1</v>
      </c>
      <c r="I45" s="3">
        <f t="shared" si="4"/>
        <v>0.12783089333282818</v>
      </c>
      <c r="J45" s="3">
        <f t="shared" si="5"/>
        <v>-1.0933640185610671E-2</v>
      </c>
      <c r="K45" s="3">
        <f t="shared" si="6"/>
        <v>0.9871420836457524</v>
      </c>
      <c r="L45" s="3">
        <f t="shared" si="12"/>
        <v>-1.2941294847638471E-2</v>
      </c>
      <c r="M45" s="9">
        <f t="shared" si="8"/>
        <v>0.57011494252873562</v>
      </c>
      <c r="N45" s="9">
        <f t="shared" si="9"/>
        <v>0.42988505747126438</v>
      </c>
      <c r="P45">
        <f t="shared" si="10"/>
        <v>163</v>
      </c>
      <c r="Q45">
        <f t="shared" si="11"/>
        <v>239.5</v>
      </c>
    </row>
    <row r="46" spans="1:17" x14ac:dyDescent="0.35">
      <c r="A46">
        <v>2022</v>
      </c>
      <c r="B46" s="3">
        <v>176</v>
      </c>
      <c r="C46" s="7">
        <v>32</v>
      </c>
      <c r="D46" s="3">
        <f t="shared" si="13"/>
        <v>22</v>
      </c>
      <c r="E46" s="10">
        <f t="shared" si="14"/>
        <v>0.44</v>
      </c>
      <c r="F46" s="10">
        <f t="shared" si="15"/>
        <v>0.64</v>
      </c>
      <c r="G46" s="3">
        <f t="shared" si="16"/>
        <v>54</v>
      </c>
      <c r="H46" s="3">
        <f t="shared" si="7"/>
        <v>1</v>
      </c>
      <c r="I46" s="3">
        <f t="shared" si="4"/>
        <v>-0.28423168922687558</v>
      </c>
      <c r="J46" s="3">
        <f t="shared" si="5"/>
        <v>0.11731500415371279</v>
      </c>
      <c r="K46" s="3">
        <f t="shared" si="6"/>
        <v>0.97923875375462976</v>
      </c>
      <c r="L46" s="3">
        <f t="shared" si="12"/>
        <v>-2.0979791051922443E-2</v>
      </c>
      <c r="M46" s="9">
        <f t="shared" si="8"/>
        <v>0.59259259259259256</v>
      </c>
      <c r="N46" s="9">
        <f t="shared" si="9"/>
        <v>0.40740740740740738</v>
      </c>
      <c r="P46">
        <f t="shared" si="10"/>
        <v>245.5</v>
      </c>
      <c r="Q46">
        <f t="shared" si="11"/>
        <v>222</v>
      </c>
    </row>
    <row r="47" spans="1:17" x14ac:dyDescent="0.35">
      <c r="A47">
        <v>2022</v>
      </c>
      <c r="B47" s="3">
        <v>208</v>
      </c>
      <c r="C47" s="7">
        <v>28</v>
      </c>
      <c r="D47" s="3">
        <f t="shared" si="13"/>
        <v>26</v>
      </c>
      <c r="E47" s="10">
        <f t="shared" si="14"/>
        <v>0.52</v>
      </c>
      <c r="F47" s="10">
        <f t="shared" si="15"/>
        <v>0.56000000000000005</v>
      </c>
      <c r="G47" s="3">
        <f t="shared" si="16"/>
        <v>54</v>
      </c>
      <c r="H47" s="3">
        <f t="shared" si="7"/>
        <v>1</v>
      </c>
      <c r="I47" s="3">
        <f t="shared" si="4"/>
        <v>0.91449582367408089</v>
      </c>
      <c r="J47" s="3">
        <f t="shared" si="5"/>
        <v>-0.39567957320358105</v>
      </c>
      <c r="K47" s="3">
        <f t="shared" si="6"/>
        <v>0.98564513478091664</v>
      </c>
      <c r="L47" s="3">
        <f t="shared" si="12"/>
        <v>-1.445889303375408E-2</v>
      </c>
      <c r="M47" s="9">
        <f t="shared" si="8"/>
        <v>0.51851851851851849</v>
      </c>
      <c r="N47" s="9">
        <f t="shared" si="9"/>
        <v>0.48148148148148145</v>
      </c>
      <c r="P47">
        <f t="shared" si="10"/>
        <v>56</v>
      </c>
      <c r="Q47">
        <f t="shared" si="11"/>
        <v>281.5</v>
      </c>
    </row>
    <row r="48" spans="1:17" x14ac:dyDescent="0.35">
      <c r="A48">
        <v>2022</v>
      </c>
      <c r="B48" s="3">
        <v>159</v>
      </c>
      <c r="C48" s="7">
        <v>34</v>
      </c>
      <c r="D48" s="3">
        <f t="shared" si="13"/>
        <v>19.875</v>
      </c>
      <c r="E48" s="10">
        <f t="shared" si="14"/>
        <v>0.39750000000000002</v>
      </c>
      <c r="F48" s="10">
        <f t="shared" si="15"/>
        <v>0.68</v>
      </c>
      <c r="G48" s="3">
        <f t="shared" si="16"/>
        <v>53.875</v>
      </c>
      <c r="H48" s="3">
        <f t="shared" si="7"/>
        <v>1</v>
      </c>
      <c r="I48" s="3">
        <f t="shared" si="4"/>
        <v>-0.92105568045550867</v>
      </c>
      <c r="J48" s="3">
        <f t="shared" si="5"/>
        <v>0.37381229283235973</v>
      </c>
      <c r="K48" s="3">
        <f t="shared" si="6"/>
        <v>0.97166275425948989</v>
      </c>
      <c r="L48" s="3">
        <f t="shared" si="12"/>
        <v>-2.8746495364851347E-2</v>
      </c>
      <c r="M48" s="9">
        <f t="shared" si="8"/>
        <v>0.63109048723897909</v>
      </c>
      <c r="N48" s="9">
        <f t="shared" si="9"/>
        <v>0.36890951276102091</v>
      </c>
      <c r="P48">
        <f t="shared" si="10"/>
        <v>378</v>
      </c>
      <c r="Q48">
        <f t="shared" si="11"/>
        <v>189.5</v>
      </c>
    </row>
    <row r="49" spans="1:17" x14ac:dyDescent="0.35">
      <c r="A49">
        <v>2022</v>
      </c>
      <c r="B49" s="3">
        <v>142</v>
      </c>
      <c r="C49" s="7">
        <v>36</v>
      </c>
      <c r="D49" s="3">
        <f t="shared" si="13"/>
        <v>17.75</v>
      </c>
      <c r="E49" s="10">
        <f t="shared" si="14"/>
        <v>0.35499999999999998</v>
      </c>
      <c r="F49" s="10">
        <f t="shared" si="15"/>
        <v>0.72</v>
      </c>
      <c r="G49" s="3">
        <f t="shared" si="16"/>
        <v>53.75</v>
      </c>
      <c r="H49" s="3">
        <f t="shared" si="7"/>
        <v>1</v>
      </c>
      <c r="I49" s="3">
        <f t="shared" si="4"/>
        <v>-1.5578796716841419</v>
      </c>
      <c r="J49" s="3">
        <f t="shared" si="5"/>
        <v>0.63030958151100658</v>
      </c>
      <c r="K49" s="3">
        <f t="shared" si="6"/>
        <v>0.9614310788278162</v>
      </c>
      <c r="L49" s="3">
        <f t="shared" si="12"/>
        <v>-3.9332397408806744E-2</v>
      </c>
      <c r="M49" s="9">
        <f t="shared" si="8"/>
        <v>0.66976744186046511</v>
      </c>
      <c r="N49" s="9">
        <f t="shared" si="9"/>
        <v>0.33023255813953489</v>
      </c>
      <c r="P49">
        <f t="shared" si="10"/>
        <v>428</v>
      </c>
      <c r="Q49">
        <f t="shared" si="11"/>
        <v>152</v>
      </c>
    </row>
    <row r="50" spans="1:17" x14ac:dyDescent="0.35">
      <c r="A50">
        <v>2022</v>
      </c>
      <c r="B50" s="3">
        <v>198</v>
      </c>
      <c r="C50" s="7">
        <v>29</v>
      </c>
      <c r="D50" s="3">
        <f t="shared" si="13"/>
        <v>24.75</v>
      </c>
      <c r="E50" s="10">
        <f t="shared" si="14"/>
        <v>0.495</v>
      </c>
      <c r="F50" s="10">
        <f t="shared" si="15"/>
        <v>0.57999999999999996</v>
      </c>
      <c r="G50" s="3">
        <f t="shared" si="16"/>
        <v>53.75</v>
      </c>
      <c r="H50" s="3">
        <f t="shared" si="7"/>
        <v>1</v>
      </c>
      <c r="I50" s="3">
        <f t="shared" si="4"/>
        <v>0.539893475892532</v>
      </c>
      <c r="J50" s="3">
        <f t="shared" si="5"/>
        <v>-0.26743092886425757</v>
      </c>
      <c r="K50" s="3">
        <f t="shared" si="6"/>
        <v>0.97963048826221377</v>
      </c>
      <c r="L50" s="3">
        <f t="shared" si="12"/>
        <v>-2.0579831213456905E-2</v>
      </c>
      <c r="M50" s="9">
        <f t="shared" si="8"/>
        <v>0.53953488372093028</v>
      </c>
      <c r="N50" s="9">
        <f t="shared" si="9"/>
        <v>0.46046511627906977</v>
      </c>
      <c r="P50">
        <f t="shared" si="10"/>
        <v>97.5</v>
      </c>
      <c r="Q50">
        <f t="shared" si="11"/>
        <v>272.5</v>
      </c>
    </row>
    <row r="51" spans="1:17" x14ac:dyDescent="0.35">
      <c r="A51">
        <v>2022</v>
      </c>
      <c r="B51" s="3">
        <v>205</v>
      </c>
      <c r="C51" s="7">
        <v>28</v>
      </c>
      <c r="D51" s="3">
        <f t="shared" si="13"/>
        <v>25.625</v>
      </c>
      <c r="E51" s="10">
        <f t="shared" si="14"/>
        <v>0.51249999999999996</v>
      </c>
      <c r="F51" s="10">
        <f t="shared" si="15"/>
        <v>0.56000000000000005</v>
      </c>
      <c r="G51" s="3">
        <f t="shared" si="16"/>
        <v>53.625</v>
      </c>
      <c r="H51" s="3">
        <f t="shared" si="7"/>
        <v>1</v>
      </c>
      <c r="I51" s="3">
        <f t="shared" si="4"/>
        <v>0.80211511933961621</v>
      </c>
      <c r="J51" s="3">
        <f t="shared" si="5"/>
        <v>-0.39567957320358105</v>
      </c>
      <c r="K51" s="3">
        <f t="shared" si="6"/>
        <v>0.97887445807764617</v>
      </c>
      <c r="L51" s="3">
        <f t="shared" si="12"/>
        <v>-2.1351879528712574E-2</v>
      </c>
      <c r="M51" s="9">
        <f t="shared" si="8"/>
        <v>0.52214452214452212</v>
      </c>
      <c r="N51" s="9">
        <f t="shared" si="9"/>
        <v>0.47785547785547783</v>
      </c>
      <c r="P51">
        <f t="shared" si="10"/>
        <v>65</v>
      </c>
      <c r="Q51">
        <f t="shared" si="11"/>
        <v>281.5</v>
      </c>
    </row>
    <row r="52" spans="1:17" x14ac:dyDescent="0.35">
      <c r="A52">
        <v>2022</v>
      </c>
      <c r="B52" s="3">
        <v>181</v>
      </c>
      <c r="C52" s="7">
        <v>31</v>
      </c>
      <c r="D52" s="3">
        <f t="shared" si="13"/>
        <v>22.625</v>
      </c>
      <c r="E52" s="10">
        <f t="shared" si="14"/>
        <v>0.45250000000000001</v>
      </c>
      <c r="F52" s="10">
        <f t="shared" si="15"/>
        <v>0.62</v>
      </c>
      <c r="G52" s="3">
        <f t="shared" si="16"/>
        <v>53.625</v>
      </c>
      <c r="H52" s="3">
        <f t="shared" si="7"/>
        <v>1</v>
      </c>
      <c r="I52" s="3">
        <f t="shared" si="4"/>
        <v>-9.6930515336101156E-2</v>
      </c>
      <c r="J52" s="3">
        <f t="shared" si="5"/>
        <v>-1.0933640185610671E-2</v>
      </c>
      <c r="K52" s="3">
        <f t="shared" si="6"/>
        <v>0.97219337767690062</v>
      </c>
      <c r="L52" s="3">
        <f t="shared" si="12"/>
        <v>-2.8200546082008109E-2</v>
      </c>
      <c r="M52" s="9">
        <f t="shared" si="8"/>
        <v>0.57808857808857805</v>
      </c>
      <c r="N52" s="9">
        <f t="shared" si="9"/>
        <v>0.42191142191142189</v>
      </c>
      <c r="P52">
        <f t="shared" si="10"/>
        <v>209.5</v>
      </c>
      <c r="Q52">
        <f t="shared" si="11"/>
        <v>239.5</v>
      </c>
    </row>
    <row r="53" spans="1:17" x14ac:dyDescent="0.35">
      <c r="A53">
        <v>2022</v>
      </c>
      <c r="B53" s="3">
        <v>188</v>
      </c>
      <c r="C53" s="7">
        <v>30</v>
      </c>
      <c r="D53" s="3">
        <f t="shared" si="13"/>
        <v>23.5</v>
      </c>
      <c r="E53" s="10">
        <f t="shared" si="14"/>
        <v>0.47</v>
      </c>
      <c r="F53" s="10">
        <f t="shared" si="15"/>
        <v>0.6</v>
      </c>
      <c r="G53" s="3">
        <f t="shared" si="16"/>
        <v>53.5</v>
      </c>
      <c r="H53" s="3">
        <f t="shared" si="7"/>
        <v>1</v>
      </c>
      <c r="I53" s="3">
        <f t="shared" si="4"/>
        <v>0.16529112811098307</v>
      </c>
      <c r="J53" s="3">
        <f t="shared" si="5"/>
        <v>-0.13918228452493411</v>
      </c>
      <c r="K53" s="3">
        <f t="shared" si="6"/>
        <v>0.97116943707466663</v>
      </c>
      <c r="L53" s="3">
        <f t="shared" si="12"/>
        <v>-2.9254328411499064E-2</v>
      </c>
      <c r="M53" s="9">
        <f t="shared" si="8"/>
        <v>0.56074766355140182</v>
      </c>
      <c r="N53" s="9">
        <f t="shared" si="9"/>
        <v>0.43925233644859812</v>
      </c>
      <c r="P53">
        <f t="shared" si="10"/>
        <v>155</v>
      </c>
      <c r="Q53">
        <f t="shared" si="11"/>
        <v>259</v>
      </c>
    </row>
    <row r="54" spans="1:17" x14ac:dyDescent="0.35">
      <c r="A54">
        <v>2022</v>
      </c>
      <c r="B54" s="3">
        <v>171</v>
      </c>
      <c r="C54" s="7">
        <v>32</v>
      </c>
      <c r="D54" s="3">
        <f t="shared" si="13"/>
        <v>21.375</v>
      </c>
      <c r="E54" s="10">
        <f t="shared" si="14"/>
        <v>0.42749999999999999</v>
      </c>
      <c r="F54" s="10">
        <f t="shared" si="15"/>
        <v>0.64</v>
      </c>
      <c r="G54" s="3">
        <f t="shared" si="16"/>
        <v>53.375</v>
      </c>
      <c r="H54" s="3">
        <f t="shared" si="7"/>
        <v>1</v>
      </c>
      <c r="I54" s="3">
        <f t="shared" si="4"/>
        <v>-0.47153286311765003</v>
      </c>
      <c r="J54" s="3">
        <f t="shared" si="5"/>
        <v>0.11731500415371279</v>
      </c>
      <c r="K54" s="3">
        <f t="shared" si="6"/>
        <v>0.96076683260315188</v>
      </c>
      <c r="L54" s="3">
        <f t="shared" si="12"/>
        <v>-4.0023529416759386E-2</v>
      </c>
      <c r="M54" s="9">
        <f t="shared" si="8"/>
        <v>0.59953161592505855</v>
      </c>
      <c r="N54" s="9">
        <f t="shared" si="9"/>
        <v>0.40046838407494145</v>
      </c>
      <c r="P54">
        <f t="shared" si="10"/>
        <v>278</v>
      </c>
      <c r="Q54">
        <f t="shared" si="11"/>
        <v>222</v>
      </c>
    </row>
    <row r="55" spans="1:17" x14ac:dyDescent="0.35">
      <c r="A55">
        <v>2022</v>
      </c>
      <c r="B55" s="3">
        <v>176</v>
      </c>
      <c r="C55" s="7">
        <v>31</v>
      </c>
      <c r="D55" s="3">
        <f t="shared" si="13"/>
        <v>22</v>
      </c>
      <c r="E55" s="10">
        <f t="shared" si="14"/>
        <v>0.44</v>
      </c>
      <c r="F55" s="10">
        <f t="shared" si="15"/>
        <v>0.62</v>
      </c>
      <c r="G55" s="3">
        <f t="shared" si="16"/>
        <v>53</v>
      </c>
      <c r="H55" s="3">
        <f t="shared" si="7"/>
        <v>1</v>
      </c>
      <c r="I55" s="3">
        <f t="shared" si="4"/>
        <v>-0.28423168922687558</v>
      </c>
      <c r="J55" s="3">
        <f t="shared" si="5"/>
        <v>-1.0933640185610671E-2</v>
      </c>
      <c r="K55" s="3">
        <f t="shared" si="6"/>
        <v>0.94778720255799842</v>
      </c>
      <c r="L55" s="3">
        <f t="shared" si="12"/>
        <v>-5.3625271799777587E-2</v>
      </c>
      <c r="M55" s="9">
        <f t="shared" si="8"/>
        <v>0.58490566037735847</v>
      </c>
      <c r="N55" s="9">
        <f t="shared" si="9"/>
        <v>0.41509433962264153</v>
      </c>
      <c r="P55">
        <f t="shared" si="10"/>
        <v>245.5</v>
      </c>
      <c r="Q55">
        <f t="shared" si="11"/>
        <v>239.5</v>
      </c>
    </row>
    <row r="56" spans="1:17" x14ac:dyDescent="0.35">
      <c r="A56">
        <v>2022</v>
      </c>
      <c r="B56" s="3">
        <v>143</v>
      </c>
      <c r="C56" s="7">
        <v>35</v>
      </c>
      <c r="D56" s="3">
        <f t="shared" ref="D56:D99" si="17">B56 / 8</f>
        <v>17.875</v>
      </c>
      <c r="E56" s="10">
        <f t="shared" si="14"/>
        <v>0.35749999999999998</v>
      </c>
      <c r="F56" s="10">
        <f t="shared" si="15"/>
        <v>0.7</v>
      </c>
      <c r="G56" s="3">
        <f t="shared" si="16"/>
        <v>52.875</v>
      </c>
      <c r="H56" s="3">
        <f t="shared" si="7"/>
        <v>1</v>
      </c>
      <c r="I56" s="3">
        <f t="shared" si="4"/>
        <v>-1.5204194369059869</v>
      </c>
      <c r="J56" s="3">
        <f t="shared" si="5"/>
        <v>0.50206093717168321</v>
      </c>
      <c r="K56" s="3">
        <f t="shared" si="6"/>
        <v>0.91622955585823607</v>
      </c>
      <c r="L56" s="3">
        <f t="shared" si="12"/>
        <v>-8.7488338872518126E-2</v>
      </c>
      <c r="M56" s="9">
        <f t="shared" si="8"/>
        <v>0.66193853427895977</v>
      </c>
      <c r="N56" s="9">
        <f t="shared" si="9"/>
        <v>0.33806146572104018</v>
      </c>
      <c r="P56">
        <f t="shared" si="10"/>
        <v>424</v>
      </c>
      <c r="Q56">
        <f t="shared" si="11"/>
        <v>171.5</v>
      </c>
    </row>
    <row r="57" spans="1:17" x14ac:dyDescent="0.35">
      <c r="A57">
        <v>2022</v>
      </c>
      <c r="B57" s="3">
        <v>142</v>
      </c>
      <c r="C57" s="7">
        <v>35</v>
      </c>
      <c r="D57" s="3">
        <f t="shared" si="17"/>
        <v>17.75</v>
      </c>
      <c r="E57" s="10">
        <f t="shared" si="14"/>
        <v>0.35499999999999998</v>
      </c>
      <c r="F57" s="10">
        <f t="shared" si="15"/>
        <v>0.7</v>
      </c>
      <c r="G57" s="3">
        <f t="shared" si="16"/>
        <v>52.75</v>
      </c>
      <c r="H57" s="3">
        <f t="shared" si="7"/>
        <v>1</v>
      </c>
      <c r="I57" s="3">
        <f t="shared" si="4"/>
        <v>-1.5578796716841419</v>
      </c>
      <c r="J57" s="3">
        <f t="shared" si="5"/>
        <v>0.50206093717168321</v>
      </c>
      <c r="K57" s="3">
        <f t="shared" si="6"/>
        <v>0.90560294302182587</v>
      </c>
      <c r="L57" s="3">
        <f t="shared" si="12"/>
        <v>-9.9154321735246215E-2</v>
      </c>
      <c r="M57" s="9">
        <f t="shared" si="8"/>
        <v>0.6635071090047393</v>
      </c>
      <c r="N57" s="9">
        <f t="shared" si="9"/>
        <v>0.33649289099526064</v>
      </c>
      <c r="P57">
        <f t="shared" si="10"/>
        <v>428</v>
      </c>
      <c r="Q57">
        <f t="shared" si="11"/>
        <v>171.5</v>
      </c>
    </row>
    <row r="58" spans="1:17" x14ac:dyDescent="0.35">
      <c r="A58">
        <v>2022</v>
      </c>
      <c r="B58" s="3">
        <v>173</v>
      </c>
      <c r="C58" s="7">
        <v>31</v>
      </c>
      <c r="D58" s="3">
        <f t="shared" si="17"/>
        <v>21.625</v>
      </c>
      <c r="E58" s="10">
        <f t="shared" si="14"/>
        <v>0.4325</v>
      </c>
      <c r="F58" s="10">
        <f t="shared" si="15"/>
        <v>0.62</v>
      </c>
      <c r="G58" s="3">
        <f t="shared" si="16"/>
        <v>52.625</v>
      </c>
      <c r="H58" s="3">
        <f t="shared" si="7"/>
        <v>1</v>
      </c>
      <c r="I58" s="3">
        <f t="shared" si="4"/>
        <v>-0.39661239356134026</v>
      </c>
      <c r="J58" s="3">
        <f t="shared" si="5"/>
        <v>-1.0933640185610671E-2</v>
      </c>
      <c r="K58" s="3">
        <f t="shared" si="6"/>
        <v>0.92452757311033251</v>
      </c>
      <c r="L58" s="3">
        <f t="shared" si="12"/>
        <v>-7.8472403710221766E-2</v>
      </c>
      <c r="M58" s="9">
        <f t="shared" si="8"/>
        <v>0.5890736342042755</v>
      </c>
      <c r="N58" s="9">
        <f t="shared" si="9"/>
        <v>0.41092636579572445</v>
      </c>
      <c r="P58">
        <f t="shared" si="10"/>
        <v>267</v>
      </c>
      <c r="Q58">
        <f t="shared" si="11"/>
        <v>239.5</v>
      </c>
    </row>
    <row r="59" spans="1:17" x14ac:dyDescent="0.35">
      <c r="A59">
        <v>2022</v>
      </c>
      <c r="B59" s="3">
        <v>235</v>
      </c>
      <c r="C59" s="7">
        <v>23</v>
      </c>
      <c r="D59" s="3">
        <f t="shared" si="17"/>
        <v>29.375</v>
      </c>
      <c r="E59" s="10">
        <f t="shared" si="14"/>
        <v>0.58750000000000002</v>
      </c>
      <c r="F59" s="10">
        <f t="shared" si="15"/>
        <v>0.46</v>
      </c>
      <c r="G59" s="3">
        <f t="shared" si="16"/>
        <v>52.375</v>
      </c>
      <c r="H59" s="3">
        <f t="shared" si="7"/>
        <v>1</v>
      </c>
      <c r="I59" s="3">
        <f t="shared" si="4"/>
        <v>1.9259221626842629</v>
      </c>
      <c r="J59" s="3">
        <f t="shared" si="5"/>
        <v>-1.0369227949001982</v>
      </c>
      <c r="K59" s="3">
        <f t="shared" si="6"/>
        <v>0.95231887690532846</v>
      </c>
      <c r="L59" s="3">
        <f t="shared" si="12"/>
        <v>-4.8855345543096701E-2</v>
      </c>
      <c r="M59" s="9">
        <f t="shared" si="8"/>
        <v>0.43914081145584727</v>
      </c>
      <c r="N59" s="9">
        <f t="shared" si="9"/>
        <v>0.56085918854415273</v>
      </c>
      <c r="P59">
        <f t="shared" si="10"/>
        <v>17.5</v>
      </c>
      <c r="Q59">
        <f t="shared" si="11"/>
        <v>352.5</v>
      </c>
    </row>
    <row r="60" spans="1:17" x14ac:dyDescent="0.35">
      <c r="A60">
        <v>2022</v>
      </c>
      <c r="B60" s="3">
        <v>195</v>
      </c>
      <c r="C60" s="7">
        <v>28</v>
      </c>
      <c r="D60" s="3">
        <f t="shared" si="17"/>
        <v>24.375</v>
      </c>
      <c r="E60" s="10">
        <f t="shared" si="14"/>
        <v>0.48749999999999999</v>
      </c>
      <c r="F60" s="10">
        <f t="shared" si="15"/>
        <v>0.56000000000000005</v>
      </c>
      <c r="G60" s="3">
        <f t="shared" si="16"/>
        <v>52.375</v>
      </c>
      <c r="H60" s="3">
        <f t="shared" si="7"/>
        <v>1</v>
      </c>
      <c r="I60" s="3">
        <f t="shared" si="4"/>
        <v>0.42751277155806727</v>
      </c>
      <c r="J60" s="3">
        <f t="shared" si="5"/>
        <v>-0.39567957320358105</v>
      </c>
      <c r="K60" s="3">
        <f t="shared" si="6"/>
        <v>0.92587348329366992</v>
      </c>
      <c r="L60" s="3">
        <f t="shared" si="12"/>
        <v>-7.7017680782959327E-2</v>
      </c>
      <c r="M60" s="9">
        <f t="shared" si="8"/>
        <v>0.53460620525059666</v>
      </c>
      <c r="N60" s="9">
        <f t="shared" si="9"/>
        <v>0.46539379474940334</v>
      </c>
      <c r="P60">
        <f t="shared" si="10"/>
        <v>113.5</v>
      </c>
      <c r="Q60">
        <f t="shared" si="11"/>
        <v>281.5</v>
      </c>
    </row>
    <row r="61" spans="1:17" x14ac:dyDescent="0.35">
      <c r="A61">
        <v>2022</v>
      </c>
      <c r="B61" s="3">
        <v>159</v>
      </c>
      <c r="C61" s="7">
        <v>32</v>
      </c>
      <c r="D61" s="3">
        <f t="shared" si="17"/>
        <v>19.875</v>
      </c>
      <c r="E61" s="10">
        <f t="shared" si="14"/>
        <v>0.39750000000000002</v>
      </c>
      <c r="F61" s="10">
        <f t="shared" si="15"/>
        <v>0.64</v>
      </c>
      <c r="G61" s="3">
        <f t="shared" si="16"/>
        <v>51.875</v>
      </c>
      <c r="H61" s="3">
        <f t="shared" si="7"/>
        <v>1</v>
      </c>
      <c r="I61" s="3">
        <f t="shared" si="4"/>
        <v>-0.92105568045550867</v>
      </c>
      <c r="J61" s="3">
        <f t="shared" si="5"/>
        <v>0.11731500415371279</v>
      </c>
      <c r="K61" s="3">
        <f t="shared" si="6"/>
        <v>0.83549201776684823</v>
      </c>
      <c r="L61" s="3">
        <f t="shared" si="12"/>
        <v>-0.17973448483212551</v>
      </c>
      <c r="M61" s="9">
        <f t="shared" si="8"/>
        <v>0.61686746987951813</v>
      </c>
      <c r="N61" s="9">
        <f t="shared" si="9"/>
        <v>0.38313253012048193</v>
      </c>
      <c r="P61">
        <f t="shared" si="10"/>
        <v>378</v>
      </c>
      <c r="Q61">
        <f t="shared" si="11"/>
        <v>222</v>
      </c>
    </row>
    <row r="62" spans="1:17" x14ac:dyDescent="0.35">
      <c r="A62">
        <v>2022</v>
      </c>
      <c r="B62" s="3">
        <v>165</v>
      </c>
      <c r="C62" s="7">
        <v>31</v>
      </c>
      <c r="D62" s="3">
        <f t="shared" si="17"/>
        <v>20.625</v>
      </c>
      <c r="E62" s="10">
        <f t="shared" si="14"/>
        <v>0.41249999999999998</v>
      </c>
      <c r="F62" s="10">
        <f t="shared" si="15"/>
        <v>0.62</v>
      </c>
      <c r="G62" s="3">
        <f t="shared" si="16"/>
        <v>51.625</v>
      </c>
      <c r="H62" s="3">
        <f t="shared" si="7"/>
        <v>1</v>
      </c>
      <c r="I62" s="3">
        <f t="shared" si="4"/>
        <v>-0.69629427178657943</v>
      </c>
      <c r="J62" s="3">
        <f t="shared" si="5"/>
        <v>-1.0933640185610671E-2</v>
      </c>
      <c r="K62" s="3">
        <f t="shared" si="6"/>
        <v>0.81103516251314733</v>
      </c>
      <c r="L62" s="3">
        <f t="shared" si="12"/>
        <v>-0.20944386882369193</v>
      </c>
      <c r="M62" s="9">
        <f t="shared" si="8"/>
        <v>0.6004842615012107</v>
      </c>
      <c r="N62" s="9">
        <f t="shared" si="9"/>
        <v>0.39951573849878935</v>
      </c>
      <c r="P62">
        <f t="shared" si="10"/>
        <v>342.5</v>
      </c>
      <c r="Q62">
        <f t="shared" si="11"/>
        <v>239.5</v>
      </c>
    </row>
    <row r="63" spans="1:17" x14ac:dyDescent="0.35">
      <c r="A63">
        <v>2022</v>
      </c>
      <c r="B63" s="3">
        <v>229</v>
      </c>
      <c r="C63" s="7">
        <v>23</v>
      </c>
      <c r="D63" s="3">
        <f t="shared" si="17"/>
        <v>28.625</v>
      </c>
      <c r="E63" s="10">
        <f t="shared" si="14"/>
        <v>0.57250000000000001</v>
      </c>
      <c r="F63" s="10">
        <f t="shared" si="15"/>
        <v>0.46</v>
      </c>
      <c r="G63" s="3">
        <f t="shared" si="16"/>
        <v>51.625</v>
      </c>
      <c r="H63" s="3">
        <f t="shared" si="7"/>
        <v>1</v>
      </c>
      <c r="I63" s="3">
        <f t="shared" si="4"/>
        <v>1.7011607540153335</v>
      </c>
      <c r="J63" s="3">
        <f t="shared" si="5"/>
        <v>-1.0369227949001982</v>
      </c>
      <c r="K63" s="3">
        <f t="shared" si="6"/>
        <v>0.90094692931352138</v>
      </c>
      <c r="L63" s="3">
        <f t="shared" si="12"/>
        <v>-0.10430892509136221</v>
      </c>
      <c r="M63" s="9">
        <f t="shared" si="8"/>
        <v>0.44552058111380144</v>
      </c>
      <c r="N63" s="9">
        <f t="shared" si="9"/>
        <v>0.55447941888619856</v>
      </c>
      <c r="P63">
        <f t="shared" si="10"/>
        <v>25.5</v>
      </c>
      <c r="Q63">
        <f t="shared" si="11"/>
        <v>352.5</v>
      </c>
    </row>
    <row r="64" spans="1:17" x14ac:dyDescent="0.35">
      <c r="A64">
        <v>2022</v>
      </c>
      <c r="B64" s="3">
        <v>192</v>
      </c>
      <c r="C64" s="7">
        <v>27</v>
      </c>
      <c r="D64" s="3">
        <f t="shared" si="17"/>
        <v>24</v>
      </c>
      <c r="E64" s="10">
        <f t="shared" si="14"/>
        <v>0.48</v>
      </c>
      <c r="F64" s="10">
        <f t="shared" si="15"/>
        <v>0.54</v>
      </c>
      <c r="G64" s="3">
        <f t="shared" si="16"/>
        <v>51</v>
      </c>
      <c r="H64" s="3">
        <f t="shared" si="7"/>
        <v>1</v>
      </c>
      <c r="I64" s="3">
        <f t="shared" si="4"/>
        <v>0.31513206722360265</v>
      </c>
      <c r="J64" s="3">
        <f t="shared" si="5"/>
        <v>-0.52392821754290453</v>
      </c>
      <c r="K64" s="3">
        <f t="shared" si="6"/>
        <v>0.7643705736025912</v>
      </c>
      <c r="L64" s="3">
        <f t="shared" si="12"/>
        <v>-0.26870256342897525</v>
      </c>
      <c r="M64" s="9">
        <f t="shared" si="8"/>
        <v>0.52941176470588236</v>
      </c>
      <c r="N64" s="9">
        <f t="shared" si="9"/>
        <v>0.47058823529411764</v>
      </c>
      <c r="P64">
        <f t="shared" si="10"/>
        <v>129.5</v>
      </c>
      <c r="Q64">
        <f t="shared" si="11"/>
        <v>294.5</v>
      </c>
    </row>
    <row r="65" spans="1:30" x14ac:dyDescent="0.35">
      <c r="A65">
        <v>2022</v>
      </c>
      <c r="B65" s="3">
        <v>191</v>
      </c>
      <c r="C65" s="7">
        <v>27</v>
      </c>
      <c r="D65" s="3">
        <f t="shared" si="17"/>
        <v>23.875</v>
      </c>
      <c r="E65" s="10">
        <f t="shared" si="14"/>
        <v>0.47749999999999998</v>
      </c>
      <c r="F65" s="10">
        <f t="shared" si="15"/>
        <v>0.54</v>
      </c>
      <c r="G65" s="3">
        <f t="shared" si="16"/>
        <v>50.875</v>
      </c>
      <c r="H65" s="3">
        <f t="shared" si="7"/>
        <v>1</v>
      </c>
      <c r="I65" s="3">
        <f t="shared" si="4"/>
        <v>0.27767183244544774</v>
      </c>
      <c r="J65" s="3">
        <f t="shared" si="5"/>
        <v>-0.52392821754290453</v>
      </c>
      <c r="K65" s="3">
        <f t="shared" si="6"/>
        <v>0.73994769980471564</v>
      </c>
      <c r="L65" s="3">
        <f t="shared" si="12"/>
        <v>-0.30117577122115696</v>
      </c>
      <c r="M65" s="9">
        <f t="shared" si="8"/>
        <v>0.53071253071253066</v>
      </c>
      <c r="N65" s="9">
        <f t="shared" si="9"/>
        <v>0.46928746928746928</v>
      </c>
      <c r="P65">
        <f t="shared" si="10"/>
        <v>137.5</v>
      </c>
      <c r="Q65">
        <f t="shared" si="11"/>
        <v>294.5</v>
      </c>
    </row>
    <row r="66" spans="1:30" x14ac:dyDescent="0.35">
      <c r="A66">
        <v>2022</v>
      </c>
      <c r="B66" s="3">
        <v>188</v>
      </c>
      <c r="C66" s="7">
        <v>27</v>
      </c>
      <c r="D66" s="3">
        <f t="shared" si="17"/>
        <v>23.5</v>
      </c>
      <c r="E66" s="10">
        <f t="shared" ref="E66:E97" si="18">B66 / 400</f>
        <v>0.47</v>
      </c>
      <c r="F66" s="10">
        <f t="shared" ref="F66:F97" si="19">C66 / 50</f>
        <v>0.54</v>
      </c>
      <c r="G66" s="3">
        <f t="shared" ref="G66:G97" si="20">SUM(D66 + C66)</f>
        <v>50.5</v>
      </c>
      <c r="H66" s="3">
        <f t="shared" si="7"/>
        <v>1</v>
      </c>
      <c r="I66" s="3">
        <f t="shared" ref="I66:I129" si="21" xml:space="preserve"> (D:D - AVERAGE(D:D)) / STDEV(D:D)</f>
        <v>0.16529112811098307</v>
      </c>
      <c r="J66" s="3">
        <f t="shared" ref="J66:J129" si="22" xml:space="preserve"> (C:C - AVERAGE(C:C)) / STDEV(C:C)</f>
        <v>-0.52392821754290453</v>
      </c>
      <c r="K66" s="3">
        <f t="shared" ref="K66:K129" si="23">1/(1+EXP(-($AD$68 +$AD$69 * I66 +$AD$70 * J66 )))</f>
        <v>0.65755331215727109</v>
      </c>
      <c r="L66" s="3">
        <f t="shared" si="12"/>
        <v>-0.41922943508834726</v>
      </c>
      <c r="M66" s="9">
        <f t="shared" si="8"/>
        <v>0.53465346534653468</v>
      </c>
      <c r="N66" s="9">
        <f t="shared" si="9"/>
        <v>0.46534653465346537</v>
      </c>
      <c r="P66">
        <f t="shared" si="10"/>
        <v>155</v>
      </c>
      <c r="Q66">
        <f t="shared" si="11"/>
        <v>294.5</v>
      </c>
    </row>
    <row r="67" spans="1:30" x14ac:dyDescent="0.35">
      <c r="A67">
        <v>2022</v>
      </c>
      <c r="B67" s="3">
        <v>196</v>
      </c>
      <c r="C67" s="7">
        <v>26</v>
      </c>
      <c r="D67" s="3">
        <f t="shared" si="17"/>
        <v>24.5</v>
      </c>
      <c r="E67" s="10">
        <f t="shared" si="18"/>
        <v>0.49</v>
      </c>
      <c r="F67" s="10">
        <f t="shared" si="19"/>
        <v>0.52</v>
      </c>
      <c r="G67" s="3">
        <f t="shared" si="20"/>
        <v>50.5</v>
      </c>
      <c r="H67" s="3">
        <f t="shared" ref="H67:H92" si="24">IF(G67&gt;=50,1,0)</f>
        <v>1</v>
      </c>
      <c r="I67" s="3">
        <f t="shared" si="21"/>
        <v>0.46497300633622218</v>
      </c>
      <c r="J67" s="3">
        <f t="shared" si="22"/>
        <v>-0.65217686188222801</v>
      </c>
      <c r="K67" s="3">
        <f t="shared" si="23"/>
        <v>0.67836974347541179</v>
      </c>
      <c r="L67" s="3">
        <f t="shared" si="12"/>
        <v>-0.38806279532892218</v>
      </c>
      <c r="M67" s="9">
        <f t="shared" ref="M67:M130" si="25">IF(G67=0, 0,  C67  / G67 )</f>
        <v>0.51485148514851486</v>
      </c>
      <c r="N67" s="9">
        <f t="shared" ref="N67:N130" si="26">IF(G67=0, 0,  D67  / G67 )</f>
        <v>0.48514851485148514</v>
      </c>
      <c r="P67">
        <f t="shared" ref="P67:P130" si="27">_xlfn.RANK.AVG(B67,$B$2:$B$435)</f>
        <v>106.5</v>
      </c>
      <c r="Q67">
        <f t="shared" ref="Q67:Q130" si="28">_xlfn.RANK.AVG(C67,$C$2:$C$435)</f>
        <v>312.5</v>
      </c>
      <c r="AC67" t="s">
        <v>16</v>
      </c>
      <c r="AD67" t="s">
        <v>20</v>
      </c>
    </row>
    <row r="68" spans="1:30" x14ac:dyDescent="0.35">
      <c r="A68">
        <v>2022</v>
      </c>
      <c r="B68" s="3">
        <v>195</v>
      </c>
      <c r="C68" s="7">
        <v>26</v>
      </c>
      <c r="D68" s="3">
        <f t="shared" si="17"/>
        <v>24.375</v>
      </c>
      <c r="E68" s="10">
        <f t="shared" si="18"/>
        <v>0.48749999999999999</v>
      </c>
      <c r="F68" s="10">
        <f t="shared" si="19"/>
        <v>0.52</v>
      </c>
      <c r="G68" s="3">
        <f t="shared" si="20"/>
        <v>50.375</v>
      </c>
      <c r="H68" s="3">
        <f t="shared" si="24"/>
        <v>1</v>
      </c>
      <c r="I68" s="3">
        <f t="shared" si="21"/>
        <v>0.42751277155806727</v>
      </c>
      <c r="J68" s="3">
        <f t="shared" si="22"/>
        <v>-0.65217686188222801</v>
      </c>
      <c r="K68" s="3">
        <f t="shared" si="23"/>
        <v>0.64912476601564117</v>
      </c>
      <c r="L68" s="3">
        <f t="shared" ref="L68:L131" si="29">IF(K68=0, -1000, IF(K68=1, -1000, H68 * LN(K68) + (1 - H68) * LN(1 - K68)))</f>
        <v>-0.43213033727889183</v>
      </c>
      <c r="M68" s="9">
        <f t="shared" si="25"/>
        <v>0.5161290322580645</v>
      </c>
      <c r="N68" s="9">
        <f t="shared" si="26"/>
        <v>0.4838709677419355</v>
      </c>
      <c r="P68">
        <f t="shared" si="27"/>
        <v>113.5</v>
      </c>
      <c r="Q68">
        <f t="shared" si="28"/>
        <v>312.5</v>
      </c>
      <c r="AC68" t="s">
        <v>17</v>
      </c>
      <c r="AD68">
        <v>3.9749052683455957</v>
      </c>
    </row>
    <row r="69" spans="1:30" x14ac:dyDescent="0.35">
      <c r="A69">
        <v>2022</v>
      </c>
      <c r="B69" s="3">
        <v>202</v>
      </c>
      <c r="C69" s="7">
        <v>25</v>
      </c>
      <c r="D69" s="3">
        <f t="shared" si="17"/>
        <v>25.25</v>
      </c>
      <c r="E69" s="10">
        <f t="shared" si="18"/>
        <v>0.505</v>
      </c>
      <c r="F69" s="10">
        <f t="shared" si="19"/>
        <v>0.5</v>
      </c>
      <c r="G69" s="3">
        <f t="shared" si="20"/>
        <v>50.25</v>
      </c>
      <c r="H69" s="3">
        <f t="shared" si="24"/>
        <v>1</v>
      </c>
      <c r="I69" s="3">
        <f t="shared" si="21"/>
        <v>0.68973441500515154</v>
      </c>
      <c r="J69" s="3">
        <f t="shared" si="22"/>
        <v>-0.78042550622155138</v>
      </c>
      <c r="K69" s="3">
        <f t="shared" si="23"/>
        <v>0.64060215571524004</v>
      </c>
      <c r="L69" s="3">
        <f t="shared" si="29"/>
        <v>-0.44534667666250716</v>
      </c>
      <c r="M69" s="9">
        <f t="shared" si="25"/>
        <v>0.49751243781094528</v>
      </c>
      <c r="N69" s="9">
        <f t="shared" si="26"/>
        <v>0.50248756218905477</v>
      </c>
      <c r="P69">
        <f t="shared" si="27"/>
        <v>74.5</v>
      </c>
      <c r="Q69">
        <f t="shared" si="28"/>
        <v>326</v>
      </c>
      <c r="AC69" t="s">
        <v>1</v>
      </c>
      <c r="AD69">
        <v>3.4995944407484498</v>
      </c>
    </row>
    <row r="70" spans="1:30" x14ac:dyDescent="0.35">
      <c r="A70">
        <v>2022</v>
      </c>
      <c r="B70" s="3">
        <v>193</v>
      </c>
      <c r="C70" s="7">
        <v>26</v>
      </c>
      <c r="D70" s="3">
        <f t="shared" si="17"/>
        <v>24.125</v>
      </c>
      <c r="E70" s="10">
        <f t="shared" si="18"/>
        <v>0.48249999999999998</v>
      </c>
      <c r="F70" s="10">
        <f t="shared" si="19"/>
        <v>0.52</v>
      </c>
      <c r="G70" s="3">
        <f t="shared" si="20"/>
        <v>50.125</v>
      </c>
      <c r="H70" s="3">
        <f t="shared" si="24"/>
        <v>1</v>
      </c>
      <c r="I70" s="3">
        <f t="shared" si="21"/>
        <v>0.35259230200175751</v>
      </c>
      <c r="J70" s="3">
        <f t="shared" si="22"/>
        <v>-0.65217686188222801</v>
      </c>
      <c r="K70" s="3">
        <f t="shared" si="23"/>
        <v>0.58734560417070925</v>
      </c>
      <c r="L70" s="3">
        <f t="shared" si="29"/>
        <v>-0.53214186891372395</v>
      </c>
      <c r="M70" s="9">
        <f t="shared" si="25"/>
        <v>0.51870324189526185</v>
      </c>
      <c r="N70" s="9">
        <f t="shared" si="26"/>
        <v>0.48129675810473815</v>
      </c>
      <c r="P70">
        <f t="shared" si="27"/>
        <v>124</v>
      </c>
      <c r="Q70">
        <f t="shared" si="28"/>
        <v>312.5</v>
      </c>
      <c r="AC70" t="s">
        <v>21</v>
      </c>
      <c r="AD70">
        <v>7.4455759329809199</v>
      </c>
    </row>
    <row r="71" spans="1:30" x14ac:dyDescent="0.35">
      <c r="A71">
        <v>2022</v>
      </c>
      <c r="B71" s="3">
        <v>143</v>
      </c>
      <c r="C71" s="7">
        <v>32</v>
      </c>
      <c r="D71" s="3">
        <f t="shared" si="17"/>
        <v>17.875</v>
      </c>
      <c r="E71" s="10">
        <f t="shared" si="18"/>
        <v>0.35749999999999998</v>
      </c>
      <c r="F71" s="10">
        <f t="shared" si="19"/>
        <v>0.64</v>
      </c>
      <c r="G71" s="3">
        <f t="shared" si="20"/>
        <v>49.875</v>
      </c>
      <c r="H71" s="3">
        <f t="shared" si="24"/>
        <v>0</v>
      </c>
      <c r="I71" s="3">
        <f t="shared" si="21"/>
        <v>-1.5204194369059869</v>
      </c>
      <c r="J71" s="3">
        <f t="shared" si="22"/>
        <v>0.11731500415371279</v>
      </c>
      <c r="K71" s="3">
        <f t="shared" si="23"/>
        <v>0.38403218037784453</v>
      </c>
      <c r="L71" s="3">
        <f t="shared" si="29"/>
        <v>-0.48456055768634354</v>
      </c>
      <c r="M71" s="9">
        <f t="shared" si="25"/>
        <v>0.64160401002506262</v>
      </c>
      <c r="N71" s="9">
        <f t="shared" si="26"/>
        <v>0.35839598997493732</v>
      </c>
      <c r="P71">
        <f t="shared" si="27"/>
        <v>424</v>
      </c>
      <c r="Q71">
        <f t="shared" si="28"/>
        <v>222</v>
      </c>
    </row>
    <row r="72" spans="1:30" x14ac:dyDescent="0.35">
      <c r="A72">
        <v>2022</v>
      </c>
      <c r="B72" s="3">
        <v>195</v>
      </c>
      <c r="C72" s="7">
        <v>25</v>
      </c>
      <c r="D72" s="3">
        <f t="shared" si="17"/>
        <v>24.375</v>
      </c>
      <c r="E72" s="10">
        <f t="shared" si="18"/>
        <v>0.48749999999999999</v>
      </c>
      <c r="F72" s="10">
        <f t="shared" si="19"/>
        <v>0.5</v>
      </c>
      <c r="G72" s="3">
        <f t="shared" si="20"/>
        <v>49.375</v>
      </c>
      <c r="H72" s="3">
        <f t="shared" si="24"/>
        <v>0</v>
      </c>
      <c r="I72" s="3">
        <f t="shared" si="21"/>
        <v>0.42751277155806727</v>
      </c>
      <c r="J72" s="3">
        <f t="shared" si="22"/>
        <v>-0.78042550622155138</v>
      </c>
      <c r="K72" s="3">
        <f t="shared" si="23"/>
        <v>0.41588459235931519</v>
      </c>
      <c r="L72" s="3">
        <f t="shared" si="29"/>
        <v>-0.53765669985425424</v>
      </c>
      <c r="M72" s="9">
        <f t="shared" si="25"/>
        <v>0.50632911392405067</v>
      </c>
      <c r="N72" s="9">
        <f t="shared" si="26"/>
        <v>0.49367088607594939</v>
      </c>
      <c r="P72">
        <f t="shared" si="27"/>
        <v>113.5</v>
      </c>
      <c r="Q72">
        <f t="shared" si="28"/>
        <v>326</v>
      </c>
    </row>
    <row r="73" spans="1:30" x14ac:dyDescent="0.35">
      <c r="A73">
        <v>2022</v>
      </c>
      <c r="B73" s="3">
        <v>185</v>
      </c>
      <c r="C73" s="7">
        <v>26</v>
      </c>
      <c r="D73" s="3">
        <f t="shared" si="17"/>
        <v>23.125</v>
      </c>
      <c r="E73" s="10">
        <f t="shared" si="18"/>
        <v>0.46250000000000002</v>
      </c>
      <c r="F73" s="10">
        <f t="shared" si="19"/>
        <v>0.52</v>
      </c>
      <c r="G73" s="3">
        <f t="shared" si="20"/>
        <v>49.125</v>
      </c>
      <c r="H73" s="3">
        <f t="shared" si="24"/>
        <v>0</v>
      </c>
      <c r="I73" s="3">
        <f t="shared" si="21"/>
        <v>5.2910423776518403E-2</v>
      </c>
      <c r="J73" s="3">
        <f t="shared" si="22"/>
        <v>-0.65217686188222801</v>
      </c>
      <c r="K73" s="3">
        <f t="shared" si="23"/>
        <v>0.33275250389330907</v>
      </c>
      <c r="L73" s="3">
        <f t="shared" si="29"/>
        <v>-0.404594243261021</v>
      </c>
      <c r="M73" s="9">
        <f t="shared" si="25"/>
        <v>0.52926208651399487</v>
      </c>
      <c r="N73" s="9">
        <f t="shared" si="26"/>
        <v>0.47073791348600508</v>
      </c>
      <c r="P73">
        <f t="shared" si="27"/>
        <v>179.5</v>
      </c>
      <c r="Q73">
        <f t="shared" si="28"/>
        <v>312.5</v>
      </c>
    </row>
    <row r="74" spans="1:30" x14ac:dyDescent="0.35">
      <c r="A74">
        <v>2022</v>
      </c>
      <c r="B74" s="3">
        <v>169</v>
      </c>
      <c r="C74" s="7">
        <v>28</v>
      </c>
      <c r="D74" s="3">
        <f t="shared" si="17"/>
        <v>21.125</v>
      </c>
      <c r="E74" s="10">
        <f t="shared" si="18"/>
        <v>0.42249999999999999</v>
      </c>
      <c r="F74" s="10">
        <f t="shared" si="19"/>
        <v>0.56000000000000005</v>
      </c>
      <c r="G74" s="3">
        <f t="shared" si="20"/>
        <v>49.125</v>
      </c>
      <c r="H74" s="3">
        <f t="shared" si="24"/>
        <v>0</v>
      </c>
      <c r="I74" s="3">
        <f t="shared" si="21"/>
        <v>-0.54645333267395979</v>
      </c>
      <c r="J74" s="3">
        <f t="shared" si="22"/>
        <v>-0.39567957320358105</v>
      </c>
      <c r="K74" s="3">
        <f t="shared" si="23"/>
        <v>0.29244844855253344</v>
      </c>
      <c r="L74" s="3">
        <f t="shared" si="29"/>
        <v>-0.34594478788251198</v>
      </c>
      <c r="M74" s="9">
        <f t="shared" si="25"/>
        <v>0.56997455470737912</v>
      </c>
      <c r="N74" s="9">
        <f t="shared" si="26"/>
        <v>0.43002544529262088</v>
      </c>
      <c r="P74">
        <f t="shared" si="27"/>
        <v>299</v>
      </c>
      <c r="Q74">
        <f t="shared" si="28"/>
        <v>281.5</v>
      </c>
    </row>
    <row r="75" spans="1:30" x14ac:dyDescent="0.35">
      <c r="A75">
        <v>2022</v>
      </c>
      <c r="B75" s="3">
        <v>207</v>
      </c>
      <c r="C75" s="7">
        <v>23</v>
      </c>
      <c r="D75" s="3">
        <f t="shared" si="17"/>
        <v>25.875</v>
      </c>
      <c r="E75" s="10">
        <f t="shared" si="18"/>
        <v>0.51749999999999996</v>
      </c>
      <c r="F75" s="10">
        <f t="shared" si="19"/>
        <v>0.46</v>
      </c>
      <c r="G75" s="3">
        <f t="shared" si="20"/>
        <v>48.875</v>
      </c>
      <c r="H75" s="3">
        <f t="shared" si="24"/>
        <v>0</v>
      </c>
      <c r="I75" s="3">
        <f t="shared" si="21"/>
        <v>0.87703558889592592</v>
      </c>
      <c r="J75" s="3">
        <f t="shared" si="22"/>
        <v>-1.0369227949001982</v>
      </c>
      <c r="K75" s="3">
        <f t="shared" si="23"/>
        <v>0.33708463940179867</v>
      </c>
      <c r="L75" s="3">
        <f t="shared" si="29"/>
        <v>-0.41110795818517948</v>
      </c>
      <c r="M75" s="9">
        <f t="shared" si="25"/>
        <v>0.47058823529411764</v>
      </c>
      <c r="N75" s="9">
        <f t="shared" si="26"/>
        <v>0.52941176470588236</v>
      </c>
      <c r="P75">
        <f t="shared" si="27"/>
        <v>58.5</v>
      </c>
      <c r="Q75">
        <f t="shared" si="28"/>
        <v>352.5</v>
      </c>
    </row>
    <row r="76" spans="1:30" x14ac:dyDescent="0.35">
      <c r="A76">
        <v>2022</v>
      </c>
      <c r="B76" s="3">
        <v>189</v>
      </c>
      <c r="C76" s="7">
        <v>25</v>
      </c>
      <c r="D76" s="3">
        <f t="shared" si="17"/>
        <v>23.625</v>
      </c>
      <c r="E76" s="10">
        <f t="shared" si="18"/>
        <v>0.47249999999999998</v>
      </c>
      <c r="F76" s="10">
        <f t="shared" si="19"/>
        <v>0.5</v>
      </c>
      <c r="G76" s="3">
        <f t="shared" si="20"/>
        <v>48.625</v>
      </c>
      <c r="H76" s="3">
        <f t="shared" si="24"/>
        <v>0</v>
      </c>
      <c r="I76" s="3">
        <f t="shared" si="21"/>
        <v>0.20275136288913795</v>
      </c>
      <c r="J76" s="3">
        <f t="shared" si="22"/>
        <v>-0.78042550622155138</v>
      </c>
      <c r="K76" s="3">
        <f t="shared" si="23"/>
        <v>0.2448511225246455</v>
      </c>
      <c r="L76" s="3">
        <f t="shared" si="29"/>
        <v>-0.28084036046317157</v>
      </c>
      <c r="M76" s="9">
        <f t="shared" si="25"/>
        <v>0.51413881748071977</v>
      </c>
      <c r="N76" s="9">
        <f t="shared" si="26"/>
        <v>0.48586118251928023</v>
      </c>
      <c r="P76">
        <f t="shared" si="27"/>
        <v>150</v>
      </c>
      <c r="Q76">
        <f t="shared" si="28"/>
        <v>326</v>
      </c>
    </row>
    <row r="77" spans="1:30" x14ac:dyDescent="0.35">
      <c r="A77">
        <v>2022</v>
      </c>
      <c r="B77" s="3">
        <v>164</v>
      </c>
      <c r="C77" s="7">
        <v>28</v>
      </c>
      <c r="D77" s="3">
        <f t="shared" si="17"/>
        <v>20.5</v>
      </c>
      <c r="E77" s="10">
        <f t="shared" si="18"/>
        <v>0.41</v>
      </c>
      <c r="F77" s="10">
        <f t="shared" si="19"/>
        <v>0.56000000000000005</v>
      </c>
      <c r="G77" s="3">
        <f t="shared" si="20"/>
        <v>48.5</v>
      </c>
      <c r="H77" s="3">
        <f t="shared" si="24"/>
        <v>0</v>
      </c>
      <c r="I77" s="3">
        <f t="shared" si="21"/>
        <v>-0.73375450656473429</v>
      </c>
      <c r="J77" s="3">
        <f t="shared" si="22"/>
        <v>-0.39567957320358105</v>
      </c>
      <c r="K77" s="3">
        <f t="shared" si="23"/>
        <v>0.17668065875633174</v>
      </c>
      <c r="L77" s="3">
        <f t="shared" si="29"/>
        <v>-0.1944111326135198</v>
      </c>
      <c r="M77" s="9">
        <f t="shared" si="25"/>
        <v>0.57731958762886593</v>
      </c>
      <c r="N77" s="9">
        <f t="shared" si="26"/>
        <v>0.42268041237113402</v>
      </c>
      <c r="P77">
        <f t="shared" si="27"/>
        <v>348.5</v>
      </c>
      <c r="Q77">
        <f t="shared" si="28"/>
        <v>281.5</v>
      </c>
    </row>
    <row r="78" spans="1:30" x14ac:dyDescent="0.35">
      <c r="A78">
        <v>2022</v>
      </c>
      <c r="B78" s="3">
        <v>155</v>
      </c>
      <c r="C78" s="7">
        <v>29</v>
      </c>
      <c r="D78" s="3">
        <f t="shared" si="17"/>
        <v>19.375</v>
      </c>
      <c r="E78" s="10">
        <f t="shared" si="18"/>
        <v>0.38750000000000001</v>
      </c>
      <c r="F78" s="10">
        <f t="shared" si="19"/>
        <v>0.57999999999999996</v>
      </c>
      <c r="G78" s="3">
        <f t="shared" si="20"/>
        <v>48.375</v>
      </c>
      <c r="H78" s="3">
        <f t="shared" si="24"/>
        <v>0</v>
      </c>
      <c r="I78" s="3">
        <f t="shared" si="21"/>
        <v>-1.0708966195681282</v>
      </c>
      <c r="J78" s="3">
        <f t="shared" si="22"/>
        <v>-0.26743092886425757</v>
      </c>
      <c r="K78" s="3">
        <f t="shared" si="23"/>
        <v>0.146293088397522</v>
      </c>
      <c r="L78" s="3">
        <f t="shared" si="29"/>
        <v>-0.15816733894326906</v>
      </c>
      <c r="M78" s="9">
        <f t="shared" si="25"/>
        <v>0.59948320413436695</v>
      </c>
      <c r="N78" s="9">
        <f t="shared" si="26"/>
        <v>0.4005167958656331</v>
      </c>
      <c r="P78">
        <f t="shared" si="27"/>
        <v>393.5</v>
      </c>
      <c r="Q78">
        <f t="shared" si="28"/>
        <v>272.5</v>
      </c>
    </row>
    <row r="79" spans="1:30" x14ac:dyDescent="0.35">
      <c r="A79">
        <v>2022</v>
      </c>
      <c r="B79" s="3">
        <v>146</v>
      </c>
      <c r="C79" s="7">
        <v>30</v>
      </c>
      <c r="D79" s="3">
        <f t="shared" si="17"/>
        <v>18.25</v>
      </c>
      <c r="E79" s="10">
        <f t="shared" si="18"/>
        <v>0.36499999999999999</v>
      </c>
      <c r="F79" s="10">
        <f t="shared" si="19"/>
        <v>0.6</v>
      </c>
      <c r="G79" s="3">
        <f t="shared" si="20"/>
        <v>48.25</v>
      </c>
      <c r="H79" s="3">
        <f t="shared" si="24"/>
        <v>0</v>
      </c>
      <c r="I79" s="3">
        <f t="shared" si="21"/>
        <v>-1.4080387325715222</v>
      </c>
      <c r="J79" s="3">
        <f t="shared" si="22"/>
        <v>-0.13918228452493411</v>
      </c>
      <c r="K79" s="3">
        <f t="shared" si="23"/>
        <v>0.12036783068785356</v>
      </c>
      <c r="L79" s="3">
        <f t="shared" si="29"/>
        <v>-0.12825144830982768</v>
      </c>
      <c r="M79" s="9">
        <f t="shared" si="25"/>
        <v>0.62176165803108807</v>
      </c>
      <c r="N79" s="9">
        <f t="shared" si="26"/>
        <v>0.37823834196891193</v>
      </c>
      <c r="P79">
        <f t="shared" si="27"/>
        <v>417</v>
      </c>
      <c r="Q79">
        <f t="shared" si="28"/>
        <v>259</v>
      </c>
    </row>
    <row r="80" spans="1:30" x14ac:dyDescent="0.35">
      <c r="A80">
        <v>2022</v>
      </c>
      <c r="B80" s="3">
        <v>168</v>
      </c>
      <c r="C80" s="7">
        <v>27</v>
      </c>
      <c r="D80" s="3">
        <f t="shared" si="17"/>
        <v>21</v>
      </c>
      <c r="E80" s="10">
        <f t="shared" si="18"/>
        <v>0.42</v>
      </c>
      <c r="F80" s="10">
        <f t="shared" si="19"/>
        <v>0.54</v>
      </c>
      <c r="G80" s="3">
        <f t="shared" si="20"/>
        <v>48</v>
      </c>
      <c r="H80" s="3">
        <f t="shared" si="24"/>
        <v>0</v>
      </c>
      <c r="I80" s="3">
        <f t="shared" si="21"/>
        <v>-0.58391356745211476</v>
      </c>
      <c r="J80" s="3">
        <f t="shared" si="22"/>
        <v>-0.52392821754290453</v>
      </c>
      <c r="K80" s="3">
        <f t="shared" si="23"/>
        <v>0.12244230818962645</v>
      </c>
      <c r="L80" s="3">
        <f t="shared" si="29"/>
        <v>-0.13061258015041952</v>
      </c>
      <c r="M80" s="9">
        <f t="shared" si="25"/>
        <v>0.5625</v>
      </c>
      <c r="N80" s="9">
        <f t="shared" si="26"/>
        <v>0.4375</v>
      </c>
      <c r="P80">
        <f t="shared" si="27"/>
        <v>311.5</v>
      </c>
      <c r="Q80">
        <f t="shared" si="28"/>
        <v>294.5</v>
      </c>
    </row>
    <row r="81" spans="1:17" x14ac:dyDescent="0.35">
      <c r="A81">
        <v>2022</v>
      </c>
      <c r="B81" s="3">
        <v>187</v>
      </c>
      <c r="C81" s="7">
        <v>24</v>
      </c>
      <c r="D81" s="3">
        <f t="shared" si="17"/>
        <v>23.375</v>
      </c>
      <c r="E81" s="10">
        <f t="shared" si="18"/>
        <v>0.46750000000000003</v>
      </c>
      <c r="F81" s="10">
        <f t="shared" si="19"/>
        <v>0.48</v>
      </c>
      <c r="G81" s="3">
        <f t="shared" si="20"/>
        <v>47.375</v>
      </c>
      <c r="H81" s="3">
        <f t="shared" si="24"/>
        <v>0</v>
      </c>
      <c r="I81" s="3">
        <f t="shared" si="21"/>
        <v>0.12783089333282818</v>
      </c>
      <c r="J81" s="3">
        <f t="shared" si="22"/>
        <v>-0.90867415056087486</v>
      </c>
      <c r="K81" s="3">
        <f t="shared" si="23"/>
        <v>8.7596535909936032E-2</v>
      </c>
      <c r="L81" s="3">
        <f t="shared" si="29"/>
        <v>-9.1672991899953177E-2</v>
      </c>
      <c r="M81" s="9">
        <f t="shared" si="25"/>
        <v>0.50659630606860162</v>
      </c>
      <c r="N81" s="9">
        <f t="shared" si="26"/>
        <v>0.49340369393139843</v>
      </c>
      <c r="P81">
        <f t="shared" si="27"/>
        <v>163</v>
      </c>
      <c r="Q81">
        <f t="shared" si="28"/>
        <v>335.5</v>
      </c>
    </row>
    <row r="82" spans="1:17" x14ac:dyDescent="0.35">
      <c r="A82">
        <v>2022</v>
      </c>
      <c r="B82" s="3">
        <v>191</v>
      </c>
      <c r="C82" s="7">
        <v>23</v>
      </c>
      <c r="D82" s="3">
        <f t="shared" si="17"/>
        <v>23.875</v>
      </c>
      <c r="E82" s="10">
        <f t="shared" si="18"/>
        <v>0.47749999999999998</v>
      </c>
      <c r="F82" s="10">
        <f t="shared" si="19"/>
        <v>0.46</v>
      </c>
      <c r="G82" s="3">
        <f t="shared" si="20"/>
        <v>46.875</v>
      </c>
      <c r="H82" s="3">
        <f t="shared" si="24"/>
        <v>0</v>
      </c>
      <c r="I82" s="3">
        <f t="shared" si="21"/>
        <v>0.27767183244544774</v>
      </c>
      <c r="J82" s="3">
        <f t="shared" si="22"/>
        <v>-1.0369227949001982</v>
      </c>
      <c r="K82" s="3">
        <f t="shared" si="23"/>
        <v>5.8754108230468345E-2</v>
      </c>
      <c r="L82" s="3">
        <f t="shared" si="29"/>
        <v>-6.0550864531442872E-2</v>
      </c>
      <c r="M82" s="9">
        <f t="shared" si="25"/>
        <v>0.49066666666666664</v>
      </c>
      <c r="N82" s="9">
        <f t="shared" si="26"/>
        <v>0.5093333333333333</v>
      </c>
      <c r="P82">
        <f t="shared" si="27"/>
        <v>137.5</v>
      </c>
      <c r="Q82">
        <f t="shared" si="28"/>
        <v>352.5</v>
      </c>
    </row>
    <row r="83" spans="1:17" x14ac:dyDescent="0.35">
      <c r="A83">
        <v>2022</v>
      </c>
      <c r="B83" s="3">
        <v>188</v>
      </c>
      <c r="C83" s="7">
        <v>23</v>
      </c>
      <c r="D83" s="3">
        <f t="shared" si="17"/>
        <v>23.5</v>
      </c>
      <c r="E83" s="10">
        <f t="shared" si="18"/>
        <v>0.47</v>
      </c>
      <c r="F83" s="10">
        <f t="shared" si="19"/>
        <v>0.46</v>
      </c>
      <c r="G83" s="3">
        <f t="shared" si="20"/>
        <v>46.5</v>
      </c>
      <c r="H83" s="3">
        <f t="shared" si="24"/>
        <v>0</v>
      </c>
      <c r="I83" s="3">
        <f t="shared" si="21"/>
        <v>0.16529112811098307</v>
      </c>
      <c r="J83" s="3">
        <f t="shared" si="22"/>
        <v>-1.0369227949001982</v>
      </c>
      <c r="K83" s="3">
        <f t="shared" si="23"/>
        <v>4.0421580648695249E-2</v>
      </c>
      <c r="L83" s="3">
        <f t="shared" si="29"/>
        <v>-4.1261237482379969E-2</v>
      </c>
      <c r="M83" s="9">
        <f t="shared" si="25"/>
        <v>0.4946236559139785</v>
      </c>
      <c r="N83" s="9">
        <f t="shared" si="26"/>
        <v>0.5053763440860215</v>
      </c>
      <c r="P83">
        <f t="shared" si="27"/>
        <v>155</v>
      </c>
      <c r="Q83">
        <f t="shared" si="28"/>
        <v>352.5</v>
      </c>
    </row>
    <row r="84" spans="1:17" x14ac:dyDescent="0.35">
      <c r="A84">
        <v>2022</v>
      </c>
      <c r="B84" s="3">
        <v>187</v>
      </c>
      <c r="C84" s="7">
        <v>23</v>
      </c>
      <c r="D84" s="3">
        <f t="shared" si="17"/>
        <v>23.375</v>
      </c>
      <c r="E84" s="10">
        <f t="shared" si="18"/>
        <v>0.46750000000000003</v>
      </c>
      <c r="F84" s="10">
        <f t="shared" si="19"/>
        <v>0.46</v>
      </c>
      <c r="G84" s="3">
        <f t="shared" si="20"/>
        <v>46.375</v>
      </c>
      <c r="H84" s="3">
        <f t="shared" si="24"/>
        <v>0</v>
      </c>
      <c r="I84" s="3">
        <f t="shared" si="21"/>
        <v>0.12783089333282818</v>
      </c>
      <c r="J84" s="3">
        <f t="shared" si="22"/>
        <v>-1.0369227949001982</v>
      </c>
      <c r="K84" s="3">
        <f t="shared" si="23"/>
        <v>3.5632103084811198E-2</v>
      </c>
      <c r="L84" s="3">
        <f t="shared" si="29"/>
        <v>-3.6282421371874624E-2</v>
      </c>
      <c r="M84" s="9">
        <f t="shared" si="25"/>
        <v>0.49595687331536387</v>
      </c>
      <c r="N84" s="9">
        <f t="shared" si="26"/>
        <v>0.50404312668463613</v>
      </c>
      <c r="P84">
        <f t="shared" si="27"/>
        <v>163</v>
      </c>
      <c r="Q84">
        <f t="shared" si="28"/>
        <v>352.5</v>
      </c>
    </row>
    <row r="85" spans="1:17" x14ac:dyDescent="0.35">
      <c r="A85">
        <v>2022</v>
      </c>
      <c r="B85" s="3">
        <v>170</v>
      </c>
      <c r="C85" s="7">
        <v>25</v>
      </c>
      <c r="D85" s="3">
        <f t="shared" si="17"/>
        <v>21.25</v>
      </c>
      <c r="E85" s="10">
        <f t="shared" si="18"/>
        <v>0.42499999999999999</v>
      </c>
      <c r="F85" s="10">
        <f t="shared" si="19"/>
        <v>0.5</v>
      </c>
      <c r="G85" s="3">
        <f t="shared" si="20"/>
        <v>46.25</v>
      </c>
      <c r="H85" s="3">
        <f t="shared" si="24"/>
        <v>0</v>
      </c>
      <c r="I85" s="3">
        <f t="shared" si="21"/>
        <v>-0.50899309789580494</v>
      </c>
      <c r="J85" s="3">
        <f t="shared" si="22"/>
        <v>-0.78042550622155138</v>
      </c>
      <c r="K85" s="3">
        <f t="shared" si="23"/>
        <v>2.6158318111057614E-2</v>
      </c>
      <c r="L85" s="3">
        <f t="shared" si="29"/>
        <v>-2.6506532813218308E-2</v>
      </c>
      <c r="M85" s="9">
        <f t="shared" si="25"/>
        <v>0.54054054054054057</v>
      </c>
      <c r="N85" s="9">
        <f t="shared" si="26"/>
        <v>0.45945945945945948</v>
      </c>
      <c r="P85">
        <f t="shared" si="27"/>
        <v>287.5</v>
      </c>
      <c r="Q85">
        <f t="shared" si="28"/>
        <v>326</v>
      </c>
    </row>
    <row r="86" spans="1:17" x14ac:dyDescent="0.35">
      <c r="A86">
        <v>2022</v>
      </c>
      <c r="B86" s="3">
        <v>152</v>
      </c>
      <c r="C86" s="7">
        <v>27</v>
      </c>
      <c r="D86" s="3">
        <f t="shared" si="17"/>
        <v>19</v>
      </c>
      <c r="E86" s="10">
        <f t="shared" si="18"/>
        <v>0.38</v>
      </c>
      <c r="F86" s="10">
        <f t="shared" si="19"/>
        <v>0.54</v>
      </c>
      <c r="G86" s="3">
        <f t="shared" si="20"/>
        <v>46</v>
      </c>
      <c r="H86" s="3">
        <f t="shared" si="24"/>
        <v>0</v>
      </c>
      <c r="I86" s="3">
        <f t="shared" si="21"/>
        <v>-1.1832773239025929</v>
      </c>
      <c r="J86" s="3">
        <f t="shared" si="22"/>
        <v>-0.52392821754290453</v>
      </c>
      <c r="K86" s="3">
        <f t="shared" si="23"/>
        <v>1.6839703009189987E-2</v>
      </c>
      <c r="L86" s="3">
        <f t="shared" si="29"/>
        <v>-1.6983102962658904E-2</v>
      </c>
      <c r="M86" s="9">
        <f t="shared" si="25"/>
        <v>0.58695652173913049</v>
      </c>
      <c r="N86" s="9">
        <f t="shared" si="26"/>
        <v>0.41304347826086957</v>
      </c>
      <c r="P86">
        <f t="shared" si="27"/>
        <v>398</v>
      </c>
      <c r="Q86">
        <f t="shared" si="28"/>
        <v>294.5</v>
      </c>
    </row>
    <row r="87" spans="1:17" x14ac:dyDescent="0.35">
      <c r="A87">
        <v>2022</v>
      </c>
      <c r="B87" s="3">
        <v>152</v>
      </c>
      <c r="C87" s="7">
        <v>27</v>
      </c>
      <c r="D87" s="3">
        <f t="shared" si="17"/>
        <v>19</v>
      </c>
      <c r="E87" s="10">
        <f t="shared" si="18"/>
        <v>0.38</v>
      </c>
      <c r="F87" s="10">
        <f t="shared" si="19"/>
        <v>0.54</v>
      </c>
      <c r="G87" s="3">
        <f t="shared" si="20"/>
        <v>46</v>
      </c>
      <c r="H87" s="3">
        <f t="shared" si="24"/>
        <v>0</v>
      </c>
      <c r="I87" s="3">
        <f t="shared" si="21"/>
        <v>-1.1832773239025929</v>
      </c>
      <c r="J87" s="3">
        <f t="shared" si="22"/>
        <v>-0.52392821754290453</v>
      </c>
      <c r="K87" s="3">
        <f t="shared" si="23"/>
        <v>1.6839703009189987E-2</v>
      </c>
      <c r="L87" s="3">
        <f t="shared" si="29"/>
        <v>-1.6983102962658904E-2</v>
      </c>
      <c r="M87" s="9">
        <f t="shared" si="25"/>
        <v>0.58695652173913049</v>
      </c>
      <c r="N87" s="9">
        <f t="shared" si="26"/>
        <v>0.41304347826086957</v>
      </c>
      <c r="P87">
        <f t="shared" si="27"/>
        <v>398</v>
      </c>
      <c r="Q87">
        <f t="shared" si="28"/>
        <v>294.5</v>
      </c>
    </row>
    <row r="88" spans="1:17" x14ac:dyDescent="0.35">
      <c r="A88">
        <v>2022</v>
      </c>
      <c r="B88" s="3">
        <v>197</v>
      </c>
      <c r="C88" s="7">
        <v>21</v>
      </c>
      <c r="D88" s="3">
        <f t="shared" si="17"/>
        <v>24.625</v>
      </c>
      <c r="E88" s="10">
        <f t="shared" si="18"/>
        <v>0.49249999999999999</v>
      </c>
      <c r="F88" s="10">
        <f t="shared" si="19"/>
        <v>0.42</v>
      </c>
      <c r="G88" s="3">
        <f t="shared" si="20"/>
        <v>45.625</v>
      </c>
      <c r="H88" s="3">
        <f t="shared" si="24"/>
        <v>0</v>
      </c>
      <c r="I88" s="3">
        <f t="shared" si="21"/>
        <v>0.50243324111437704</v>
      </c>
      <c r="J88" s="3">
        <f t="shared" si="22"/>
        <v>-1.2934200835788452</v>
      </c>
      <c r="K88" s="3">
        <f t="shared" si="23"/>
        <v>1.9897957563187137E-2</v>
      </c>
      <c r="L88" s="3">
        <f t="shared" si="29"/>
        <v>-2.0098587802620933E-2</v>
      </c>
      <c r="M88" s="9">
        <f t="shared" si="25"/>
        <v>0.46027397260273972</v>
      </c>
      <c r="N88" s="9">
        <f t="shared" si="26"/>
        <v>0.53972602739726028</v>
      </c>
      <c r="P88">
        <f t="shared" si="27"/>
        <v>102.5</v>
      </c>
      <c r="Q88">
        <f t="shared" si="28"/>
        <v>378.5</v>
      </c>
    </row>
    <row r="89" spans="1:17" x14ac:dyDescent="0.35">
      <c r="A89">
        <v>2022</v>
      </c>
      <c r="B89" s="3">
        <v>189</v>
      </c>
      <c r="C89" s="7">
        <v>22</v>
      </c>
      <c r="D89" s="3">
        <f t="shared" si="17"/>
        <v>23.625</v>
      </c>
      <c r="E89" s="10">
        <f t="shared" si="18"/>
        <v>0.47249999999999998</v>
      </c>
      <c r="F89" s="10">
        <f t="shared" si="19"/>
        <v>0.44</v>
      </c>
      <c r="G89" s="3">
        <f t="shared" si="20"/>
        <v>45.625</v>
      </c>
      <c r="H89" s="3">
        <f t="shared" si="24"/>
        <v>0</v>
      </c>
      <c r="I89" s="3">
        <f t="shared" si="21"/>
        <v>0.20275136288913795</v>
      </c>
      <c r="J89" s="3">
        <f t="shared" si="22"/>
        <v>-1.1651714392395218</v>
      </c>
      <c r="K89" s="3">
        <f t="shared" si="23"/>
        <v>1.8147298089147751E-2</v>
      </c>
      <c r="L89" s="3">
        <f t="shared" si="29"/>
        <v>-1.8313979932626283E-2</v>
      </c>
      <c r="M89" s="9">
        <f t="shared" si="25"/>
        <v>0.48219178082191783</v>
      </c>
      <c r="N89" s="9">
        <f t="shared" si="26"/>
        <v>0.51780821917808217</v>
      </c>
      <c r="P89">
        <f t="shared" si="27"/>
        <v>150</v>
      </c>
      <c r="Q89">
        <f t="shared" si="28"/>
        <v>370</v>
      </c>
    </row>
    <row r="90" spans="1:17" x14ac:dyDescent="0.35">
      <c r="A90">
        <v>2022</v>
      </c>
      <c r="B90" s="3">
        <v>186</v>
      </c>
      <c r="C90" s="7">
        <v>22</v>
      </c>
      <c r="D90" s="3">
        <f t="shared" si="17"/>
        <v>23.25</v>
      </c>
      <c r="E90" s="10">
        <f t="shared" si="18"/>
        <v>0.46500000000000002</v>
      </c>
      <c r="F90" s="10">
        <f t="shared" si="19"/>
        <v>0.44</v>
      </c>
      <c r="G90" s="3">
        <f t="shared" si="20"/>
        <v>45.25</v>
      </c>
      <c r="H90" s="3">
        <f t="shared" si="24"/>
        <v>0</v>
      </c>
      <c r="I90" s="3">
        <f t="shared" si="21"/>
        <v>9.03706585546733E-2</v>
      </c>
      <c r="J90" s="3">
        <f t="shared" si="22"/>
        <v>-1.1651714392395218</v>
      </c>
      <c r="K90" s="3">
        <f t="shared" si="23"/>
        <v>1.2319127537328525E-2</v>
      </c>
      <c r="L90" s="3">
        <f t="shared" si="29"/>
        <v>-1.2395636991453589E-2</v>
      </c>
      <c r="M90" s="9">
        <f t="shared" si="25"/>
        <v>0.48618784530386738</v>
      </c>
      <c r="N90" s="9">
        <f t="shared" si="26"/>
        <v>0.51381215469613262</v>
      </c>
      <c r="P90">
        <f t="shared" si="27"/>
        <v>171.5</v>
      </c>
      <c r="Q90">
        <f t="shared" si="28"/>
        <v>370</v>
      </c>
    </row>
    <row r="91" spans="1:17" x14ac:dyDescent="0.35">
      <c r="A91">
        <v>2022</v>
      </c>
      <c r="B91" s="3">
        <v>169</v>
      </c>
      <c r="C91" s="7">
        <v>24</v>
      </c>
      <c r="D91" s="3">
        <f t="shared" si="17"/>
        <v>21.125</v>
      </c>
      <c r="E91" s="10">
        <f t="shared" si="18"/>
        <v>0.42249999999999999</v>
      </c>
      <c r="F91" s="10">
        <f t="shared" si="19"/>
        <v>0.48</v>
      </c>
      <c r="G91" s="3">
        <f t="shared" si="20"/>
        <v>45.125</v>
      </c>
      <c r="H91" s="3">
        <f t="shared" si="24"/>
        <v>0</v>
      </c>
      <c r="I91" s="3">
        <f t="shared" si="21"/>
        <v>-0.54645333267395979</v>
      </c>
      <c r="J91" s="3">
        <f t="shared" si="22"/>
        <v>-0.90867415056087486</v>
      </c>
      <c r="K91" s="3">
        <f t="shared" si="23"/>
        <v>8.9859883125764563E-3</v>
      </c>
      <c r="L91" s="3">
        <f t="shared" si="29"/>
        <v>-9.0266058142385881E-3</v>
      </c>
      <c r="M91" s="9">
        <f t="shared" si="25"/>
        <v>0.53185595567867039</v>
      </c>
      <c r="N91" s="9">
        <f t="shared" si="26"/>
        <v>0.46814404432132967</v>
      </c>
      <c r="P91">
        <f t="shared" si="27"/>
        <v>299</v>
      </c>
      <c r="Q91">
        <f t="shared" si="28"/>
        <v>335.5</v>
      </c>
    </row>
    <row r="92" spans="1:17" x14ac:dyDescent="0.35">
      <c r="A92">
        <v>2022</v>
      </c>
      <c r="B92" s="3">
        <v>201</v>
      </c>
      <c r="C92" s="7">
        <v>20</v>
      </c>
      <c r="D92" s="3">
        <f t="shared" si="17"/>
        <v>25.125</v>
      </c>
      <c r="E92" s="10">
        <f t="shared" si="18"/>
        <v>0.50249999999999995</v>
      </c>
      <c r="F92" s="10">
        <f t="shared" si="19"/>
        <v>0.4</v>
      </c>
      <c r="G92" s="3">
        <f t="shared" si="20"/>
        <v>45.125</v>
      </c>
      <c r="H92" s="3">
        <f t="shared" si="24"/>
        <v>0</v>
      </c>
      <c r="I92" s="3">
        <f t="shared" si="21"/>
        <v>0.65227418022699668</v>
      </c>
      <c r="J92" s="3">
        <f t="shared" si="22"/>
        <v>-1.4216687279181688</v>
      </c>
      <c r="K92" s="3">
        <f t="shared" si="23"/>
        <v>1.3027983038348942E-2</v>
      </c>
      <c r="L92" s="3">
        <f t="shared" si="29"/>
        <v>-1.3113591559839398E-2</v>
      </c>
      <c r="M92" s="9">
        <f t="shared" si="25"/>
        <v>0.44321329639889195</v>
      </c>
      <c r="N92" s="9">
        <f t="shared" si="26"/>
        <v>0.55678670360110805</v>
      </c>
      <c r="P92">
        <f t="shared" si="27"/>
        <v>78.5</v>
      </c>
      <c r="Q92">
        <f t="shared" si="28"/>
        <v>386</v>
      </c>
    </row>
    <row r="93" spans="1:17" x14ac:dyDescent="0.35">
      <c r="A93">
        <v>2022</v>
      </c>
      <c r="B93" s="3">
        <v>204</v>
      </c>
      <c r="C93" s="7">
        <v>19</v>
      </c>
      <c r="D93" s="3">
        <f t="shared" si="17"/>
        <v>25.5</v>
      </c>
      <c r="E93" s="10">
        <f t="shared" si="18"/>
        <v>0.51</v>
      </c>
      <c r="F93" s="10">
        <f t="shared" si="19"/>
        <v>0.38</v>
      </c>
      <c r="G93" s="3">
        <f t="shared" si="20"/>
        <v>44.5</v>
      </c>
      <c r="H93" s="3">
        <f>IF(G93&gt;=50,1,0)</f>
        <v>0</v>
      </c>
      <c r="I93" s="3">
        <f t="shared" si="21"/>
        <v>0.76465488456146125</v>
      </c>
      <c r="J93" s="3">
        <f t="shared" si="22"/>
        <v>-1.5499173722574922</v>
      </c>
      <c r="K93" s="3">
        <f t="shared" si="23"/>
        <v>7.4716461775592583E-3</v>
      </c>
      <c r="L93" s="3">
        <f t="shared" si="29"/>
        <v>-7.4996987457877527E-3</v>
      </c>
      <c r="M93" s="9">
        <f t="shared" si="25"/>
        <v>0.42696629213483145</v>
      </c>
      <c r="N93" s="9">
        <f t="shared" si="26"/>
        <v>0.5730337078651685</v>
      </c>
      <c r="P93">
        <f t="shared" si="27"/>
        <v>68.5</v>
      </c>
      <c r="Q93">
        <f t="shared" si="28"/>
        <v>397.5</v>
      </c>
    </row>
    <row r="94" spans="1:17" x14ac:dyDescent="0.35">
      <c r="A94">
        <v>2022</v>
      </c>
      <c r="B94" s="3">
        <v>178</v>
      </c>
      <c r="C94" s="7">
        <v>22</v>
      </c>
      <c r="D94" s="3">
        <f t="shared" si="17"/>
        <v>22.25</v>
      </c>
      <c r="E94" s="10">
        <f t="shared" si="18"/>
        <v>0.44500000000000001</v>
      </c>
      <c r="F94" s="10">
        <f t="shared" si="19"/>
        <v>0.44</v>
      </c>
      <c r="G94" s="3">
        <f t="shared" si="20"/>
        <v>44.25</v>
      </c>
      <c r="H94" s="3">
        <f t="shared" ref="H94:H157" si="30">IF(G94&gt;=50,1,0)</f>
        <v>0</v>
      </c>
      <c r="I94" s="3">
        <f t="shared" si="21"/>
        <v>-0.20931121967056582</v>
      </c>
      <c r="J94" s="3">
        <f t="shared" si="22"/>
        <v>-1.1651714392395218</v>
      </c>
      <c r="K94" s="3">
        <f t="shared" si="23"/>
        <v>4.3510760020353751E-3</v>
      </c>
      <c r="L94" s="3">
        <f t="shared" si="29"/>
        <v>-4.3605694811306413E-3</v>
      </c>
      <c r="M94" s="9">
        <f t="shared" si="25"/>
        <v>0.49717514124293788</v>
      </c>
      <c r="N94" s="9">
        <f t="shared" si="26"/>
        <v>0.50282485875706218</v>
      </c>
      <c r="P94">
        <f t="shared" si="27"/>
        <v>230.5</v>
      </c>
      <c r="Q94">
        <f t="shared" si="28"/>
        <v>370</v>
      </c>
    </row>
    <row r="95" spans="1:17" x14ac:dyDescent="0.35">
      <c r="A95">
        <v>2022</v>
      </c>
      <c r="B95" s="3">
        <v>169</v>
      </c>
      <c r="C95" s="7">
        <v>23</v>
      </c>
      <c r="D95" s="3">
        <f t="shared" si="17"/>
        <v>21.125</v>
      </c>
      <c r="E95" s="10">
        <f t="shared" si="18"/>
        <v>0.42249999999999999</v>
      </c>
      <c r="F95" s="10">
        <f t="shared" si="19"/>
        <v>0.46</v>
      </c>
      <c r="G95" s="3">
        <f t="shared" si="20"/>
        <v>44.125</v>
      </c>
      <c r="H95" s="3">
        <f t="shared" si="30"/>
        <v>0</v>
      </c>
      <c r="I95" s="3">
        <f t="shared" si="21"/>
        <v>-0.54645333267395979</v>
      </c>
      <c r="J95" s="3">
        <f t="shared" si="22"/>
        <v>-1.0369227949001982</v>
      </c>
      <c r="K95" s="3">
        <f t="shared" si="23"/>
        <v>3.477537741023602E-3</v>
      </c>
      <c r="L95" s="3">
        <f t="shared" si="29"/>
        <v>-3.4835984303236236E-3</v>
      </c>
      <c r="M95" s="9">
        <f t="shared" si="25"/>
        <v>0.52124645892351273</v>
      </c>
      <c r="N95" s="9">
        <f t="shared" si="26"/>
        <v>0.47875354107648727</v>
      </c>
      <c r="P95">
        <f t="shared" si="27"/>
        <v>299</v>
      </c>
      <c r="Q95">
        <f t="shared" si="28"/>
        <v>352.5</v>
      </c>
    </row>
    <row r="96" spans="1:17" x14ac:dyDescent="0.35">
      <c r="A96">
        <v>2022</v>
      </c>
      <c r="B96" s="3">
        <v>136</v>
      </c>
      <c r="C96" s="7">
        <v>27</v>
      </c>
      <c r="D96" s="3">
        <f t="shared" si="17"/>
        <v>17</v>
      </c>
      <c r="E96" s="10">
        <f t="shared" si="18"/>
        <v>0.34</v>
      </c>
      <c r="F96" s="10">
        <f t="shared" si="19"/>
        <v>0.54</v>
      </c>
      <c r="G96" s="3">
        <f t="shared" si="20"/>
        <v>44</v>
      </c>
      <c r="H96" s="3">
        <f t="shared" si="30"/>
        <v>0</v>
      </c>
      <c r="I96" s="3">
        <f t="shared" si="21"/>
        <v>-1.7826410803530712</v>
      </c>
      <c r="J96" s="3">
        <f t="shared" si="22"/>
        <v>-0.52392821754290453</v>
      </c>
      <c r="K96" s="3">
        <f t="shared" si="23"/>
        <v>2.0982254751933911E-3</v>
      </c>
      <c r="L96" s="3">
        <f t="shared" si="29"/>
        <v>-2.10042983430043E-3</v>
      </c>
      <c r="M96" s="9">
        <f t="shared" si="25"/>
        <v>0.61363636363636365</v>
      </c>
      <c r="N96" s="9">
        <f t="shared" si="26"/>
        <v>0.38636363636363635</v>
      </c>
      <c r="P96">
        <f t="shared" si="27"/>
        <v>433.5</v>
      </c>
      <c r="Q96">
        <f t="shared" si="28"/>
        <v>294.5</v>
      </c>
    </row>
    <row r="97" spans="1:17" x14ac:dyDescent="0.35">
      <c r="A97">
        <v>2022</v>
      </c>
      <c r="B97" s="3">
        <v>168</v>
      </c>
      <c r="C97" s="7">
        <v>23</v>
      </c>
      <c r="D97" s="3">
        <f t="shared" si="17"/>
        <v>21</v>
      </c>
      <c r="E97" s="10">
        <f t="shared" si="18"/>
        <v>0.42</v>
      </c>
      <c r="F97" s="10">
        <f t="shared" si="19"/>
        <v>0.46</v>
      </c>
      <c r="G97" s="3">
        <f t="shared" si="20"/>
        <v>44</v>
      </c>
      <c r="H97" s="3">
        <f t="shared" si="30"/>
        <v>0</v>
      </c>
      <c r="I97" s="3">
        <f t="shared" si="21"/>
        <v>-0.58391356745211476</v>
      </c>
      <c r="J97" s="3">
        <f t="shared" si="22"/>
        <v>-1.0369227949001982</v>
      </c>
      <c r="K97" s="3">
        <f t="shared" si="23"/>
        <v>3.0515700575462412E-3</v>
      </c>
      <c r="L97" s="3">
        <f t="shared" si="29"/>
        <v>-3.0562355913406622E-3</v>
      </c>
      <c r="M97" s="9">
        <f t="shared" si="25"/>
        <v>0.52272727272727271</v>
      </c>
      <c r="N97" s="9">
        <f t="shared" si="26"/>
        <v>0.47727272727272729</v>
      </c>
      <c r="P97">
        <f t="shared" si="27"/>
        <v>311.5</v>
      </c>
      <c r="Q97">
        <f t="shared" si="28"/>
        <v>352.5</v>
      </c>
    </row>
    <row r="98" spans="1:17" x14ac:dyDescent="0.35">
      <c r="A98">
        <v>2022</v>
      </c>
      <c r="B98" s="3">
        <v>176</v>
      </c>
      <c r="C98" s="7">
        <v>22</v>
      </c>
      <c r="D98" s="3">
        <f t="shared" si="17"/>
        <v>22</v>
      </c>
      <c r="E98" s="10">
        <f t="shared" ref="E98:E114" si="31">B98 / 400</f>
        <v>0.44</v>
      </c>
      <c r="F98" s="10">
        <f t="shared" ref="F98:F113" si="32">C98 / 50</f>
        <v>0.44</v>
      </c>
      <c r="G98" s="3">
        <f t="shared" ref="G98:G111" si="33">SUM(D98 + C98)</f>
        <v>44</v>
      </c>
      <c r="H98" s="3">
        <f t="shared" si="30"/>
        <v>0</v>
      </c>
      <c r="I98" s="3">
        <f t="shared" si="21"/>
        <v>-0.28423168922687558</v>
      </c>
      <c r="J98" s="3">
        <f t="shared" si="22"/>
        <v>-1.1651714392395218</v>
      </c>
      <c r="K98" s="3">
        <f t="shared" si="23"/>
        <v>3.3509233400956075E-3</v>
      </c>
      <c r="L98" s="3">
        <f t="shared" si="29"/>
        <v>-3.3565502574734642E-3</v>
      </c>
      <c r="M98" s="9">
        <f t="shared" si="25"/>
        <v>0.5</v>
      </c>
      <c r="N98" s="9">
        <f t="shared" si="26"/>
        <v>0.5</v>
      </c>
      <c r="P98">
        <f t="shared" si="27"/>
        <v>245.5</v>
      </c>
      <c r="Q98">
        <f t="shared" si="28"/>
        <v>370</v>
      </c>
    </row>
    <row r="99" spans="1:17" x14ac:dyDescent="0.35">
      <c r="A99">
        <v>2022</v>
      </c>
      <c r="B99" s="3">
        <v>191</v>
      </c>
      <c r="C99" s="7">
        <v>20</v>
      </c>
      <c r="D99" s="3">
        <f t="shared" si="17"/>
        <v>23.875</v>
      </c>
      <c r="E99" s="10">
        <f t="shared" si="31"/>
        <v>0.47749999999999998</v>
      </c>
      <c r="F99" s="10">
        <f t="shared" si="32"/>
        <v>0.4</v>
      </c>
      <c r="G99" s="3">
        <f t="shared" si="33"/>
        <v>43.875</v>
      </c>
      <c r="H99" s="3">
        <f t="shared" si="30"/>
        <v>0</v>
      </c>
      <c r="I99" s="3">
        <f t="shared" si="21"/>
        <v>0.27767183244544774</v>
      </c>
      <c r="J99" s="3">
        <f t="shared" si="22"/>
        <v>-1.4216687279181688</v>
      </c>
      <c r="K99" s="3">
        <f t="shared" si="23"/>
        <v>3.5455914662601935E-3</v>
      </c>
      <c r="L99" s="3">
        <f t="shared" si="29"/>
        <v>-3.5518919727730571E-3</v>
      </c>
      <c r="M99" s="9">
        <f t="shared" si="25"/>
        <v>0.45584045584045585</v>
      </c>
      <c r="N99" s="9">
        <f t="shared" si="26"/>
        <v>0.54415954415954415</v>
      </c>
      <c r="P99">
        <f t="shared" si="27"/>
        <v>137.5</v>
      </c>
      <c r="Q99">
        <f t="shared" si="28"/>
        <v>386</v>
      </c>
    </row>
    <row r="100" spans="1:17" x14ac:dyDescent="0.35">
      <c r="A100">
        <v>2022</v>
      </c>
      <c r="B100" s="3">
        <v>167</v>
      </c>
      <c r="C100" s="7">
        <v>23</v>
      </c>
      <c r="D100" s="3">
        <f t="shared" ref="D100:D110" si="34">B100 / 8</f>
        <v>20.875</v>
      </c>
      <c r="E100" s="10">
        <f t="shared" si="31"/>
        <v>0.41749999999999998</v>
      </c>
      <c r="F100" s="10">
        <f t="shared" si="32"/>
        <v>0.46</v>
      </c>
      <c r="G100" s="3">
        <f t="shared" si="33"/>
        <v>43.875</v>
      </c>
      <c r="H100" s="3">
        <f t="shared" si="30"/>
        <v>0</v>
      </c>
      <c r="I100" s="3">
        <f t="shared" si="21"/>
        <v>-0.62137380223026961</v>
      </c>
      <c r="J100" s="3">
        <f t="shared" si="22"/>
        <v>-1.0369227949001982</v>
      </c>
      <c r="K100" s="3">
        <f t="shared" si="23"/>
        <v>2.677639456567384E-3</v>
      </c>
      <c r="L100" s="3">
        <f t="shared" si="29"/>
        <v>-2.6812307453139132E-3</v>
      </c>
      <c r="M100" s="9">
        <f t="shared" si="25"/>
        <v>0.5242165242165242</v>
      </c>
      <c r="N100" s="9">
        <f t="shared" si="26"/>
        <v>0.4757834757834758</v>
      </c>
      <c r="P100">
        <f t="shared" si="27"/>
        <v>323</v>
      </c>
      <c r="Q100">
        <f t="shared" si="28"/>
        <v>352.5</v>
      </c>
    </row>
    <row r="101" spans="1:17" x14ac:dyDescent="0.35">
      <c r="A101">
        <v>2022</v>
      </c>
      <c r="B101" s="3">
        <v>151</v>
      </c>
      <c r="C101" s="7">
        <v>25</v>
      </c>
      <c r="D101" s="3">
        <f t="shared" si="34"/>
        <v>18.875</v>
      </c>
      <c r="E101" s="10">
        <f t="shared" si="31"/>
        <v>0.3775</v>
      </c>
      <c r="F101" s="10">
        <f t="shared" si="32"/>
        <v>0.5</v>
      </c>
      <c r="G101" s="3">
        <f t="shared" si="33"/>
        <v>43.875</v>
      </c>
      <c r="H101" s="3">
        <f t="shared" si="30"/>
        <v>0</v>
      </c>
      <c r="I101" s="3">
        <f t="shared" si="21"/>
        <v>-1.2207375586807478</v>
      </c>
      <c r="J101" s="3">
        <f t="shared" si="22"/>
        <v>-0.78042550622155138</v>
      </c>
      <c r="K101" s="3">
        <f t="shared" si="23"/>
        <v>2.2202816486973876E-3</v>
      </c>
      <c r="L101" s="3">
        <f t="shared" si="29"/>
        <v>-2.2227501284875638E-3</v>
      </c>
      <c r="M101" s="9">
        <f t="shared" si="25"/>
        <v>0.56980056980056981</v>
      </c>
      <c r="N101" s="9">
        <f t="shared" si="26"/>
        <v>0.43019943019943019</v>
      </c>
      <c r="P101">
        <f t="shared" si="27"/>
        <v>402.5</v>
      </c>
      <c r="Q101">
        <f t="shared" si="28"/>
        <v>326</v>
      </c>
    </row>
    <row r="102" spans="1:17" x14ac:dyDescent="0.35">
      <c r="A102">
        <v>2022</v>
      </c>
      <c r="B102" s="3">
        <v>173</v>
      </c>
      <c r="C102" s="7">
        <v>22</v>
      </c>
      <c r="D102" s="3">
        <f t="shared" si="34"/>
        <v>21.625</v>
      </c>
      <c r="E102" s="10">
        <f t="shared" si="31"/>
        <v>0.4325</v>
      </c>
      <c r="F102" s="10">
        <f t="shared" si="32"/>
        <v>0.44</v>
      </c>
      <c r="G102" s="3">
        <f t="shared" si="33"/>
        <v>43.625</v>
      </c>
      <c r="H102" s="3">
        <f t="shared" si="30"/>
        <v>0</v>
      </c>
      <c r="I102" s="3">
        <f t="shared" si="21"/>
        <v>-0.39661239356134026</v>
      </c>
      <c r="J102" s="3">
        <f t="shared" si="22"/>
        <v>-1.1651714392395218</v>
      </c>
      <c r="K102" s="3">
        <f t="shared" si="23"/>
        <v>2.263787374955147E-3</v>
      </c>
      <c r="L102" s="3">
        <f t="shared" si="29"/>
        <v>-2.2663536152744443E-3</v>
      </c>
      <c r="M102" s="9">
        <f t="shared" si="25"/>
        <v>0.50429799426934097</v>
      </c>
      <c r="N102" s="9">
        <f t="shared" si="26"/>
        <v>0.49570200573065903</v>
      </c>
      <c r="P102">
        <f t="shared" si="27"/>
        <v>267</v>
      </c>
      <c r="Q102">
        <f t="shared" si="28"/>
        <v>370</v>
      </c>
    </row>
    <row r="103" spans="1:17" x14ac:dyDescent="0.35">
      <c r="A103">
        <v>2022</v>
      </c>
      <c r="B103" s="3">
        <v>180</v>
      </c>
      <c r="C103" s="7">
        <v>21</v>
      </c>
      <c r="D103" s="3">
        <f t="shared" si="34"/>
        <v>22.5</v>
      </c>
      <c r="E103" s="10">
        <f t="shared" si="31"/>
        <v>0.45</v>
      </c>
      <c r="F103" s="10">
        <f t="shared" si="32"/>
        <v>0.42</v>
      </c>
      <c r="G103" s="3">
        <f t="shared" si="33"/>
        <v>43.5</v>
      </c>
      <c r="H103" s="3">
        <f t="shared" si="30"/>
        <v>0</v>
      </c>
      <c r="I103" s="3">
        <f t="shared" si="21"/>
        <v>-0.13439075011425605</v>
      </c>
      <c r="J103" s="3">
        <f t="shared" si="22"/>
        <v>-1.2934200835788452</v>
      </c>
      <c r="K103" s="3">
        <f t="shared" si="23"/>
        <v>2.1812679353518764E-3</v>
      </c>
      <c r="L103" s="3">
        <f t="shared" si="29"/>
        <v>-2.1836503653640668E-3</v>
      </c>
      <c r="M103" s="9">
        <f t="shared" si="25"/>
        <v>0.48275862068965519</v>
      </c>
      <c r="N103" s="9">
        <f t="shared" si="26"/>
        <v>0.51724137931034486</v>
      </c>
      <c r="P103">
        <f t="shared" si="27"/>
        <v>216.5</v>
      </c>
      <c r="Q103">
        <f t="shared" si="28"/>
        <v>378.5</v>
      </c>
    </row>
    <row r="104" spans="1:17" x14ac:dyDescent="0.35">
      <c r="A104">
        <v>2022</v>
      </c>
      <c r="B104" s="3">
        <v>163</v>
      </c>
      <c r="C104" s="7">
        <v>23</v>
      </c>
      <c r="D104" s="3">
        <f t="shared" si="34"/>
        <v>20.375</v>
      </c>
      <c r="E104" s="10">
        <f t="shared" si="31"/>
        <v>0.40749999999999997</v>
      </c>
      <c r="F104" s="10">
        <f t="shared" si="32"/>
        <v>0.46</v>
      </c>
      <c r="G104" s="3">
        <f t="shared" si="33"/>
        <v>43.375</v>
      </c>
      <c r="H104" s="3">
        <f t="shared" si="30"/>
        <v>0</v>
      </c>
      <c r="I104" s="3">
        <f t="shared" si="21"/>
        <v>-0.77121474134288914</v>
      </c>
      <c r="J104" s="3">
        <f t="shared" si="22"/>
        <v>-1.0369227949001982</v>
      </c>
      <c r="K104" s="3">
        <f t="shared" si="23"/>
        <v>1.5866841137925955E-3</v>
      </c>
      <c r="L104" s="3">
        <f t="shared" si="29"/>
        <v>-1.5879442301451995E-3</v>
      </c>
      <c r="M104" s="9">
        <f t="shared" si="25"/>
        <v>0.53025936599423629</v>
      </c>
      <c r="N104" s="9">
        <f t="shared" si="26"/>
        <v>0.46974063400576371</v>
      </c>
      <c r="P104">
        <f t="shared" si="27"/>
        <v>356.5</v>
      </c>
      <c r="Q104">
        <f t="shared" si="28"/>
        <v>352.5</v>
      </c>
    </row>
    <row r="105" spans="1:17" x14ac:dyDescent="0.35">
      <c r="A105">
        <v>2022</v>
      </c>
      <c r="B105" s="3">
        <v>169</v>
      </c>
      <c r="C105" s="7">
        <v>22</v>
      </c>
      <c r="D105" s="3">
        <f t="shared" si="34"/>
        <v>21.125</v>
      </c>
      <c r="E105" s="10">
        <f t="shared" si="31"/>
        <v>0.42249999999999999</v>
      </c>
      <c r="F105" s="10">
        <f t="shared" si="32"/>
        <v>0.44</v>
      </c>
      <c r="G105" s="3">
        <f t="shared" si="33"/>
        <v>43.125</v>
      </c>
      <c r="H105" s="3">
        <f t="shared" si="30"/>
        <v>0</v>
      </c>
      <c r="I105" s="3">
        <f t="shared" si="21"/>
        <v>-0.54645333267395979</v>
      </c>
      <c r="J105" s="3">
        <f t="shared" si="22"/>
        <v>-1.1651714392395218</v>
      </c>
      <c r="K105" s="3">
        <f t="shared" si="23"/>
        <v>1.3412217527897781E-3</v>
      </c>
      <c r="L105" s="3">
        <f t="shared" si="29"/>
        <v>-1.3421219957251054E-3</v>
      </c>
      <c r="M105" s="9">
        <f t="shared" si="25"/>
        <v>0.51014492753623186</v>
      </c>
      <c r="N105" s="9">
        <f t="shared" si="26"/>
        <v>0.48985507246376814</v>
      </c>
      <c r="P105">
        <f t="shared" si="27"/>
        <v>299</v>
      </c>
      <c r="Q105">
        <f t="shared" si="28"/>
        <v>370</v>
      </c>
    </row>
    <row r="106" spans="1:17" x14ac:dyDescent="0.35">
      <c r="A106">
        <v>2022</v>
      </c>
      <c r="B106" s="3">
        <v>166</v>
      </c>
      <c r="C106" s="7">
        <v>22</v>
      </c>
      <c r="D106" s="3">
        <f t="shared" si="34"/>
        <v>20.75</v>
      </c>
      <c r="E106" s="10">
        <f t="shared" si="31"/>
        <v>0.41499999999999998</v>
      </c>
      <c r="F106" s="10">
        <f t="shared" si="32"/>
        <v>0.44</v>
      </c>
      <c r="G106" s="3">
        <f t="shared" si="33"/>
        <v>42.75</v>
      </c>
      <c r="H106" s="3">
        <f t="shared" si="30"/>
        <v>0</v>
      </c>
      <c r="I106" s="3">
        <f t="shared" si="21"/>
        <v>-0.65883403700842447</v>
      </c>
      <c r="J106" s="3">
        <f t="shared" si="22"/>
        <v>-1.1651714392395218</v>
      </c>
      <c r="K106" s="3">
        <f t="shared" si="23"/>
        <v>9.0549844366624483E-4</v>
      </c>
      <c r="L106" s="3">
        <f t="shared" si="29"/>
        <v>-9.059086550312124E-4</v>
      </c>
      <c r="M106" s="9">
        <f t="shared" si="25"/>
        <v>0.51461988304093564</v>
      </c>
      <c r="N106" s="9">
        <f t="shared" si="26"/>
        <v>0.4853801169590643</v>
      </c>
      <c r="P106">
        <f t="shared" si="27"/>
        <v>334.5</v>
      </c>
      <c r="Q106">
        <f t="shared" si="28"/>
        <v>370</v>
      </c>
    </row>
    <row r="107" spans="1:17" x14ac:dyDescent="0.35">
      <c r="A107">
        <v>2022</v>
      </c>
      <c r="B107" s="3">
        <v>149</v>
      </c>
      <c r="C107" s="7">
        <v>24</v>
      </c>
      <c r="D107" s="3">
        <f t="shared" si="34"/>
        <v>18.625</v>
      </c>
      <c r="E107" s="10">
        <f t="shared" si="31"/>
        <v>0.3725</v>
      </c>
      <c r="F107" s="10">
        <f t="shared" si="32"/>
        <v>0.48</v>
      </c>
      <c r="G107" s="3">
        <f t="shared" si="33"/>
        <v>42.625</v>
      </c>
      <c r="H107" s="3">
        <f t="shared" si="30"/>
        <v>0</v>
      </c>
      <c r="I107" s="3">
        <f t="shared" si="21"/>
        <v>-1.2956580282370576</v>
      </c>
      <c r="J107" s="3">
        <f t="shared" si="22"/>
        <v>-0.90867415056087486</v>
      </c>
      <c r="K107" s="3">
        <f t="shared" si="23"/>
        <v>6.58442467210839E-4</v>
      </c>
      <c r="L107" s="3">
        <f t="shared" si="29"/>
        <v>-6.5865933565427415E-4</v>
      </c>
      <c r="M107" s="9">
        <f t="shared" si="25"/>
        <v>0.56304985337243407</v>
      </c>
      <c r="N107" s="9">
        <f t="shared" si="26"/>
        <v>0.43695014662756598</v>
      </c>
      <c r="P107">
        <f t="shared" si="27"/>
        <v>409</v>
      </c>
      <c r="Q107">
        <f t="shared" si="28"/>
        <v>335.5</v>
      </c>
    </row>
    <row r="108" spans="1:17" x14ac:dyDescent="0.35">
      <c r="A108">
        <v>2022</v>
      </c>
      <c r="B108" s="3">
        <v>145</v>
      </c>
      <c r="C108" s="7">
        <v>24</v>
      </c>
      <c r="D108" s="3">
        <f t="shared" si="34"/>
        <v>18.125</v>
      </c>
      <c r="E108" s="10">
        <f t="shared" si="31"/>
        <v>0.36249999999999999</v>
      </c>
      <c r="F108" s="10">
        <f t="shared" si="32"/>
        <v>0.48</v>
      </c>
      <c r="G108" s="3">
        <f t="shared" si="33"/>
        <v>42.125</v>
      </c>
      <c r="H108" s="3">
        <f t="shared" si="30"/>
        <v>0</v>
      </c>
      <c r="I108" s="3">
        <f t="shared" si="21"/>
        <v>-1.4454989673496772</v>
      </c>
      <c r="J108" s="3">
        <f t="shared" si="22"/>
        <v>-0.90867415056087486</v>
      </c>
      <c r="K108" s="3">
        <f t="shared" si="23"/>
        <v>3.898505120481405E-4</v>
      </c>
      <c r="L108" s="3">
        <f t="shared" si="29"/>
        <v>-3.8992652351501576E-4</v>
      </c>
      <c r="M108" s="9">
        <f t="shared" si="25"/>
        <v>0.56973293768545996</v>
      </c>
      <c r="N108" s="9">
        <f t="shared" si="26"/>
        <v>0.43026706231454004</v>
      </c>
      <c r="P108">
        <f t="shared" si="27"/>
        <v>419.5</v>
      </c>
      <c r="Q108">
        <f t="shared" si="28"/>
        <v>335.5</v>
      </c>
    </row>
    <row r="109" spans="1:17" x14ac:dyDescent="0.35">
      <c r="A109">
        <v>2022</v>
      </c>
      <c r="B109" s="3">
        <v>169</v>
      </c>
      <c r="C109" s="7">
        <v>21</v>
      </c>
      <c r="D109" s="3">
        <f t="shared" si="34"/>
        <v>21.125</v>
      </c>
      <c r="E109" s="10">
        <f t="shared" si="31"/>
        <v>0.42249999999999999</v>
      </c>
      <c r="F109" s="10">
        <f t="shared" si="32"/>
        <v>0.42</v>
      </c>
      <c r="G109" s="3">
        <f t="shared" si="33"/>
        <v>42.125</v>
      </c>
      <c r="H109" s="3">
        <f t="shared" si="30"/>
        <v>0</v>
      </c>
      <c r="I109" s="3">
        <f t="shared" si="21"/>
        <v>-0.54645333267395979</v>
      </c>
      <c r="J109" s="3">
        <f t="shared" si="22"/>
        <v>-1.2934200835788452</v>
      </c>
      <c r="K109" s="3">
        <f t="shared" si="23"/>
        <v>5.1660398687194324E-4</v>
      </c>
      <c r="L109" s="3">
        <f t="shared" si="29"/>
        <v>-5.1673747268639683E-4</v>
      </c>
      <c r="M109" s="9">
        <f t="shared" si="25"/>
        <v>0.49851632047477745</v>
      </c>
      <c r="N109" s="9">
        <f t="shared" si="26"/>
        <v>0.50148367952522255</v>
      </c>
      <c r="P109">
        <f t="shared" si="27"/>
        <v>299</v>
      </c>
      <c r="Q109">
        <f t="shared" si="28"/>
        <v>378.5</v>
      </c>
    </row>
    <row r="110" spans="1:17" x14ac:dyDescent="0.35">
      <c r="A110">
        <v>2022</v>
      </c>
      <c r="B110" s="3">
        <v>176</v>
      </c>
      <c r="C110" s="7">
        <v>20</v>
      </c>
      <c r="D110" s="3">
        <f t="shared" si="34"/>
        <v>22</v>
      </c>
      <c r="E110" s="10">
        <f t="shared" si="31"/>
        <v>0.44</v>
      </c>
      <c r="F110" s="10">
        <f t="shared" si="32"/>
        <v>0.4</v>
      </c>
      <c r="G110" s="3">
        <f t="shared" si="33"/>
        <v>42</v>
      </c>
      <c r="H110" s="3">
        <f t="shared" si="30"/>
        <v>0</v>
      </c>
      <c r="I110" s="3">
        <f t="shared" si="21"/>
        <v>-0.28423168922687558</v>
      </c>
      <c r="J110" s="3">
        <f t="shared" si="22"/>
        <v>-1.4216687279181688</v>
      </c>
      <c r="K110" s="3">
        <f t="shared" si="23"/>
        <v>4.9774099762147392E-4</v>
      </c>
      <c r="L110" s="3">
        <f t="shared" si="29"/>
        <v>-4.9786491179162516E-4</v>
      </c>
      <c r="M110" s="9">
        <f t="shared" si="25"/>
        <v>0.47619047619047616</v>
      </c>
      <c r="N110" s="9">
        <f t="shared" si="26"/>
        <v>0.52380952380952384</v>
      </c>
      <c r="P110">
        <f t="shared" si="27"/>
        <v>245.5</v>
      </c>
      <c r="Q110">
        <f t="shared" si="28"/>
        <v>386</v>
      </c>
    </row>
    <row r="111" spans="1:17" x14ac:dyDescent="0.35">
      <c r="A111">
        <v>2022</v>
      </c>
      <c r="B111" s="3">
        <v>183</v>
      </c>
      <c r="C111" s="7">
        <v>19</v>
      </c>
      <c r="D111" s="3">
        <f>B111 / 8</f>
        <v>22.875</v>
      </c>
      <c r="E111" s="10">
        <f t="shared" si="31"/>
        <v>0.45750000000000002</v>
      </c>
      <c r="F111" s="10">
        <f t="shared" si="32"/>
        <v>0.38</v>
      </c>
      <c r="G111" s="3">
        <f t="shared" si="33"/>
        <v>41.875</v>
      </c>
      <c r="H111" s="3">
        <f t="shared" si="30"/>
        <v>0</v>
      </c>
      <c r="I111" s="3">
        <f t="shared" si="21"/>
        <v>-2.2010045779791373E-2</v>
      </c>
      <c r="J111" s="3">
        <f t="shared" si="22"/>
        <v>-1.5499173722574922</v>
      </c>
      <c r="K111" s="3">
        <f t="shared" si="23"/>
        <v>4.7956643054473908E-4</v>
      </c>
      <c r="L111" s="3">
        <f t="shared" si="29"/>
        <v>-4.7968145930277456E-4</v>
      </c>
      <c r="M111" s="9">
        <f t="shared" si="25"/>
        <v>0.45373134328358211</v>
      </c>
      <c r="N111" s="9">
        <f t="shared" si="26"/>
        <v>0.54626865671641789</v>
      </c>
      <c r="P111">
        <f t="shared" si="27"/>
        <v>197</v>
      </c>
      <c r="Q111">
        <f t="shared" si="28"/>
        <v>397.5</v>
      </c>
    </row>
    <row r="112" spans="1:17" x14ac:dyDescent="0.35">
      <c r="A112">
        <v>2022</v>
      </c>
      <c r="B112" s="3">
        <v>171</v>
      </c>
      <c r="C112" s="7">
        <v>20</v>
      </c>
      <c r="D112" s="3">
        <f>B112 / 8</f>
        <v>21.375</v>
      </c>
      <c r="E112" s="10">
        <f t="shared" si="31"/>
        <v>0.42749999999999999</v>
      </c>
      <c r="F112" s="10">
        <f t="shared" si="32"/>
        <v>0.4</v>
      </c>
      <c r="G112" s="3">
        <f t="shared" ref="G112:G175" si="35">SUM(D112 + C112)</f>
        <v>41.375</v>
      </c>
      <c r="H112" s="3">
        <f t="shared" si="30"/>
        <v>0</v>
      </c>
      <c r="I112" s="3">
        <f t="shared" si="21"/>
        <v>-0.47153286311765003</v>
      </c>
      <c r="J112" s="3">
        <f t="shared" si="22"/>
        <v>-1.4216687279181688</v>
      </c>
      <c r="K112" s="3">
        <f t="shared" si="23"/>
        <v>2.5848587631188783E-4</v>
      </c>
      <c r="L112" s="3">
        <f t="shared" si="29"/>
        <v>-2.585192895440919E-4</v>
      </c>
      <c r="M112" s="9">
        <f t="shared" si="25"/>
        <v>0.48338368580060426</v>
      </c>
      <c r="N112" s="9">
        <f t="shared" si="26"/>
        <v>0.5166163141993958</v>
      </c>
      <c r="P112">
        <f t="shared" si="27"/>
        <v>278</v>
      </c>
      <c r="Q112">
        <f t="shared" si="28"/>
        <v>386</v>
      </c>
    </row>
    <row r="113" spans="1:17" x14ac:dyDescent="0.35">
      <c r="A113">
        <v>2022</v>
      </c>
      <c r="B113" s="3">
        <v>171</v>
      </c>
      <c r="C113" s="7">
        <v>19</v>
      </c>
      <c r="D113" s="3">
        <f>B113 / 8</f>
        <v>21.375</v>
      </c>
      <c r="E113" s="10">
        <f t="shared" si="31"/>
        <v>0.42749999999999999</v>
      </c>
      <c r="F113" s="10">
        <f t="shared" si="32"/>
        <v>0.38</v>
      </c>
      <c r="G113" s="3">
        <f t="shared" si="35"/>
        <v>40.375</v>
      </c>
      <c r="H113" s="3">
        <f t="shared" si="30"/>
        <v>0</v>
      </c>
      <c r="I113" s="3">
        <f t="shared" si="21"/>
        <v>-0.47153286311765003</v>
      </c>
      <c r="J113" s="3">
        <f t="shared" si="22"/>
        <v>-1.5499173722574922</v>
      </c>
      <c r="K113" s="3">
        <f t="shared" si="23"/>
        <v>9.9495762389893182E-5</v>
      </c>
      <c r="L113" s="3">
        <f>IF(K113=0, -1000, IF(K113=1, -1000, H113 * LN(K113) + (1 - H113) * LN(1 - K113)))</f>
        <v>-9.9500712421586059E-5</v>
      </c>
      <c r="M113" s="9">
        <f t="shared" si="25"/>
        <v>0.47058823529411764</v>
      </c>
      <c r="N113" s="9">
        <f t="shared" si="26"/>
        <v>0.52941176470588236</v>
      </c>
      <c r="P113">
        <f t="shared" si="27"/>
        <v>278</v>
      </c>
      <c r="Q113">
        <f t="shared" si="28"/>
        <v>397.5</v>
      </c>
    </row>
    <row r="114" spans="1:17" x14ac:dyDescent="0.35">
      <c r="A114">
        <v>2023</v>
      </c>
      <c r="B114" s="3">
        <v>286</v>
      </c>
      <c r="C114" s="7">
        <v>37</v>
      </c>
      <c r="D114" s="3">
        <f t="shared" ref="D114:D177" si="36">B114 / 8</f>
        <v>35.75</v>
      </c>
      <c r="E114" s="10">
        <f t="shared" si="31"/>
        <v>0.71499999999999997</v>
      </c>
      <c r="F114" s="10">
        <f t="shared" ref="F114:F177" si="37">C114 / 50</f>
        <v>0.74</v>
      </c>
      <c r="G114" s="3">
        <f t="shared" si="35"/>
        <v>72.75</v>
      </c>
      <c r="H114" s="3">
        <f t="shared" si="30"/>
        <v>1</v>
      </c>
      <c r="I114" s="3">
        <f t="shared" si="21"/>
        <v>3.8363941363701621</v>
      </c>
      <c r="J114" s="3">
        <f t="shared" si="22"/>
        <v>0.75855822585033006</v>
      </c>
      <c r="K114" s="3">
        <f t="shared" si="23"/>
        <v>0.99999999990225241</v>
      </c>
      <c r="L114" s="3">
        <f t="shared" si="29"/>
        <v>-9.7747587806454873E-11</v>
      </c>
      <c r="M114" s="9">
        <f t="shared" si="25"/>
        <v>0.50859106529209619</v>
      </c>
      <c r="N114" s="9">
        <f t="shared" si="26"/>
        <v>0.49140893470790376</v>
      </c>
      <c r="P114">
        <f t="shared" si="27"/>
        <v>5</v>
      </c>
      <c r="Q114">
        <f t="shared" si="28"/>
        <v>128</v>
      </c>
    </row>
    <row r="115" spans="1:17" x14ac:dyDescent="0.35">
      <c r="A115">
        <v>2023</v>
      </c>
      <c r="B115" s="3">
        <v>206</v>
      </c>
      <c r="C115" s="7">
        <v>44</v>
      </c>
      <c r="D115" s="3">
        <f t="shared" si="36"/>
        <v>25.75</v>
      </c>
      <c r="E115" s="10">
        <f t="shared" ref="E115:E116" si="38">B115 / 400</f>
        <v>0.51500000000000001</v>
      </c>
      <c r="F115" s="10">
        <f t="shared" si="37"/>
        <v>0.88</v>
      </c>
      <c r="G115" s="3">
        <f t="shared" si="35"/>
        <v>69.75</v>
      </c>
      <c r="H115" s="3">
        <f t="shared" si="30"/>
        <v>1</v>
      </c>
      <c r="I115" s="3">
        <f t="shared" si="21"/>
        <v>0.83957535411777107</v>
      </c>
      <c r="J115" s="3">
        <f t="shared" si="22"/>
        <v>1.6562987362255943</v>
      </c>
      <c r="K115" s="3">
        <f t="shared" si="23"/>
        <v>0.99999999561543973</v>
      </c>
      <c r="L115" s="3">
        <f t="shared" si="29"/>
        <v>-4.3845602800217499E-9</v>
      </c>
      <c r="M115" s="9">
        <f t="shared" si="25"/>
        <v>0.63082437275985659</v>
      </c>
      <c r="N115" s="9">
        <f t="shared" si="26"/>
        <v>0.36917562724014336</v>
      </c>
      <c r="P115">
        <f t="shared" si="27"/>
        <v>61.5</v>
      </c>
      <c r="Q115">
        <f t="shared" si="28"/>
        <v>2.5</v>
      </c>
    </row>
    <row r="116" spans="1:17" x14ac:dyDescent="0.35">
      <c r="A116">
        <v>2023</v>
      </c>
      <c r="B116" s="3">
        <v>200</v>
      </c>
      <c r="C116" s="7">
        <v>39</v>
      </c>
      <c r="D116" s="3">
        <f t="shared" si="36"/>
        <v>25</v>
      </c>
      <c r="E116" s="10">
        <f t="shared" si="38"/>
        <v>0.5</v>
      </c>
      <c r="F116" s="10">
        <f t="shared" si="37"/>
        <v>0.78</v>
      </c>
      <c r="G116" s="3">
        <f t="shared" si="35"/>
        <v>64</v>
      </c>
      <c r="H116" s="3">
        <f t="shared" si="30"/>
        <v>1</v>
      </c>
      <c r="I116" s="3">
        <f t="shared" si="21"/>
        <v>0.61481394544884171</v>
      </c>
      <c r="J116" s="3">
        <f t="shared" si="22"/>
        <v>1.015055514528977</v>
      </c>
      <c r="K116" s="3">
        <f t="shared" si="23"/>
        <v>0.99999885965394431</v>
      </c>
      <c r="L116" s="3">
        <f t="shared" si="29"/>
        <v>-1.1403467058897431E-6</v>
      </c>
      <c r="M116" s="9">
        <f t="shared" si="25"/>
        <v>0.609375</v>
      </c>
      <c r="N116" s="9">
        <f t="shared" si="26"/>
        <v>0.390625</v>
      </c>
      <c r="P116">
        <f t="shared" si="27"/>
        <v>85</v>
      </c>
      <c r="Q116">
        <f t="shared" si="28"/>
        <v>76.5</v>
      </c>
    </row>
    <row r="117" spans="1:17" x14ac:dyDescent="0.35">
      <c r="A117">
        <v>2023</v>
      </c>
      <c r="B117" s="3">
        <v>179</v>
      </c>
      <c r="C117" s="7">
        <v>41</v>
      </c>
      <c r="D117" s="3">
        <f t="shared" si="36"/>
        <v>22.375</v>
      </c>
      <c r="E117" s="10">
        <f>B117 / 400</f>
        <v>0.44750000000000001</v>
      </c>
      <c r="F117" s="10">
        <f t="shared" si="37"/>
        <v>0.82</v>
      </c>
      <c r="G117" s="3">
        <f t="shared" si="35"/>
        <v>63.375</v>
      </c>
      <c r="H117" s="3">
        <f t="shared" si="30"/>
        <v>1</v>
      </c>
      <c r="I117" s="3">
        <f t="shared" si="21"/>
        <v>-0.17185098489241094</v>
      </c>
      <c r="J117" s="3">
        <f t="shared" si="22"/>
        <v>1.271552803207624</v>
      </c>
      <c r="K117" s="3">
        <f t="shared" si="23"/>
        <v>0.99999734997667478</v>
      </c>
      <c r="L117" s="3">
        <f t="shared" si="29"/>
        <v>-2.6500268365415873E-6</v>
      </c>
      <c r="M117" s="9">
        <f t="shared" si="25"/>
        <v>0.64694280078895461</v>
      </c>
      <c r="N117" s="9">
        <f t="shared" si="26"/>
        <v>0.35305719921104539</v>
      </c>
      <c r="P117">
        <f t="shared" si="27"/>
        <v>223.5</v>
      </c>
      <c r="Q117">
        <f t="shared" si="28"/>
        <v>27</v>
      </c>
    </row>
    <row r="118" spans="1:17" x14ac:dyDescent="0.35">
      <c r="A118">
        <v>2023</v>
      </c>
      <c r="B118" s="3">
        <v>185</v>
      </c>
      <c r="C118" s="7">
        <v>40</v>
      </c>
      <c r="D118" s="3">
        <f t="shared" si="36"/>
        <v>23.125</v>
      </c>
      <c r="E118" s="10">
        <f t="shared" ref="E118:E181" si="39">B118 / 400</f>
        <v>0.46250000000000002</v>
      </c>
      <c r="F118" s="10">
        <f t="shared" si="37"/>
        <v>0.8</v>
      </c>
      <c r="G118" s="3">
        <f t="shared" si="35"/>
        <v>63.125</v>
      </c>
      <c r="H118" s="3">
        <f t="shared" si="30"/>
        <v>1</v>
      </c>
      <c r="I118" s="3">
        <f t="shared" si="21"/>
        <v>5.2910423776518403E-2</v>
      </c>
      <c r="J118" s="3">
        <f t="shared" si="22"/>
        <v>1.1433041588683004</v>
      </c>
      <c r="K118" s="3">
        <f t="shared" si="23"/>
        <v>0.99999686421607203</v>
      </c>
      <c r="L118" s="3">
        <f t="shared" si="29"/>
        <v>-3.1357888445462404E-6</v>
      </c>
      <c r="M118" s="9">
        <f t="shared" si="25"/>
        <v>0.63366336633663367</v>
      </c>
      <c r="N118" s="9">
        <f t="shared" si="26"/>
        <v>0.36633663366336633</v>
      </c>
      <c r="P118">
        <f t="shared" si="27"/>
        <v>179.5</v>
      </c>
      <c r="Q118">
        <f t="shared" si="28"/>
        <v>50.5</v>
      </c>
    </row>
    <row r="119" spans="1:17" x14ac:dyDescent="0.35">
      <c r="A119">
        <v>2023</v>
      </c>
      <c r="B119" s="3">
        <v>177</v>
      </c>
      <c r="C119" s="7">
        <v>41</v>
      </c>
      <c r="D119" s="3">
        <f t="shared" si="36"/>
        <v>22.125</v>
      </c>
      <c r="E119" s="10">
        <f t="shared" si="39"/>
        <v>0.4425</v>
      </c>
      <c r="F119" s="10">
        <f t="shared" si="37"/>
        <v>0.82</v>
      </c>
      <c r="G119" s="3">
        <f t="shared" si="35"/>
        <v>63.125</v>
      </c>
      <c r="H119" s="3">
        <f t="shared" si="30"/>
        <v>1</v>
      </c>
      <c r="I119" s="3">
        <f t="shared" si="21"/>
        <v>-0.2467714544487207</v>
      </c>
      <c r="J119" s="3">
        <f t="shared" si="22"/>
        <v>1.271552803207624</v>
      </c>
      <c r="K119" s="3">
        <f t="shared" si="23"/>
        <v>0.99999655556837197</v>
      </c>
      <c r="L119" s="3">
        <f t="shared" si="29"/>
        <v>-3.4444375600984509E-6</v>
      </c>
      <c r="M119" s="9">
        <f t="shared" si="25"/>
        <v>0.64950495049504953</v>
      </c>
      <c r="N119" s="9">
        <f t="shared" si="26"/>
        <v>0.35049504950495047</v>
      </c>
      <c r="P119">
        <f t="shared" si="27"/>
        <v>237.5</v>
      </c>
      <c r="Q119">
        <f t="shared" si="28"/>
        <v>27</v>
      </c>
    </row>
    <row r="120" spans="1:17" x14ac:dyDescent="0.35">
      <c r="A120">
        <v>2023</v>
      </c>
      <c r="B120" s="3">
        <v>201</v>
      </c>
      <c r="C120" s="7">
        <v>38</v>
      </c>
      <c r="D120" s="3">
        <f t="shared" si="36"/>
        <v>25.125</v>
      </c>
      <c r="E120" s="10">
        <f t="shared" si="39"/>
        <v>0.50249999999999995</v>
      </c>
      <c r="F120" s="10">
        <f t="shared" si="37"/>
        <v>0.76</v>
      </c>
      <c r="G120" s="3">
        <f t="shared" si="35"/>
        <v>63.125</v>
      </c>
      <c r="H120" s="3">
        <f t="shared" si="30"/>
        <v>1</v>
      </c>
      <c r="I120" s="3">
        <f t="shared" si="21"/>
        <v>0.65227418022699668</v>
      </c>
      <c r="J120" s="3">
        <f t="shared" si="22"/>
        <v>0.88680687018965354</v>
      </c>
      <c r="K120" s="3">
        <f t="shared" si="23"/>
        <v>0.99999740101832246</v>
      </c>
      <c r="L120" s="3">
        <f t="shared" si="29"/>
        <v>-2.5989850548960916E-6</v>
      </c>
      <c r="M120" s="9">
        <f t="shared" si="25"/>
        <v>0.60198019801980196</v>
      </c>
      <c r="N120" s="9">
        <f t="shared" si="26"/>
        <v>0.39801980198019804</v>
      </c>
      <c r="P120">
        <f t="shared" si="27"/>
        <v>78.5</v>
      </c>
      <c r="Q120">
        <f t="shared" si="28"/>
        <v>103</v>
      </c>
    </row>
    <row r="121" spans="1:17" x14ac:dyDescent="0.35">
      <c r="A121">
        <v>2023</v>
      </c>
      <c r="B121" s="3">
        <v>176</v>
      </c>
      <c r="C121" s="7">
        <v>41</v>
      </c>
      <c r="D121" s="3">
        <f t="shared" si="36"/>
        <v>22</v>
      </c>
      <c r="E121" s="10">
        <f t="shared" si="39"/>
        <v>0.44</v>
      </c>
      <c r="F121" s="10">
        <f t="shared" si="37"/>
        <v>0.82</v>
      </c>
      <c r="G121" s="3">
        <f t="shared" si="35"/>
        <v>63</v>
      </c>
      <c r="H121" s="3">
        <f t="shared" si="30"/>
        <v>1</v>
      </c>
      <c r="I121" s="3">
        <f t="shared" si="21"/>
        <v>-0.28423168922687558</v>
      </c>
      <c r="J121" s="3">
        <f t="shared" si="22"/>
        <v>1.271552803207624</v>
      </c>
      <c r="K121" s="3">
        <f t="shared" si="23"/>
        <v>0.99999607308530314</v>
      </c>
      <c r="L121" s="3">
        <f t="shared" si="29"/>
        <v>-3.9269224072109427E-6</v>
      </c>
      <c r="M121" s="9">
        <f t="shared" si="25"/>
        <v>0.65079365079365081</v>
      </c>
      <c r="N121" s="9">
        <f t="shared" si="26"/>
        <v>0.34920634920634919</v>
      </c>
      <c r="P121">
        <f t="shared" si="27"/>
        <v>245.5</v>
      </c>
      <c r="Q121">
        <f t="shared" si="28"/>
        <v>27</v>
      </c>
    </row>
    <row r="122" spans="1:17" x14ac:dyDescent="0.35">
      <c r="A122">
        <v>2023</v>
      </c>
      <c r="B122" s="3">
        <v>185</v>
      </c>
      <c r="C122" s="7">
        <v>39</v>
      </c>
      <c r="D122" s="3">
        <f t="shared" si="36"/>
        <v>23.125</v>
      </c>
      <c r="E122" s="10">
        <f t="shared" si="39"/>
        <v>0.46250000000000002</v>
      </c>
      <c r="F122" s="10">
        <f t="shared" si="37"/>
        <v>0.78</v>
      </c>
      <c r="G122" s="3">
        <f t="shared" si="35"/>
        <v>62.125</v>
      </c>
      <c r="H122" s="3">
        <f t="shared" si="30"/>
        <v>1</v>
      </c>
      <c r="I122" s="3">
        <f t="shared" si="21"/>
        <v>5.2910423776518403E-2</v>
      </c>
      <c r="J122" s="3">
        <f t="shared" si="22"/>
        <v>1.015055514528977</v>
      </c>
      <c r="K122" s="3">
        <f t="shared" si="23"/>
        <v>0.999991852108296</v>
      </c>
      <c r="L122" s="3">
        <f t="shared" si="29"/>
        <v>-8.1479248982522378E-6</v>
      </c>
      <c r="M122" s="9">
        <f t="shared" si="25"/>
        <v>0.62776659959758552</v>
      </c>
      <c r="N122" s="9">
        <f t="shared" si="26"/>
        <v>0.37223340040241448</v>
      </c>
      <c r="P122">
        <f t="shared" si="27"/>
        <v>179.5</v>
      </c>
      <c r="Q122">
        <f t="shared" si="28"/>
        <v>76.5</v>
      </c>
    </row>
    <row r="123" spans="1:17" x14ac:dyDescent="0.35">
      <c r="A123">
        <v>2023</v>
      </c>
      <c r="B123" s="3">
        <v>184</v>
      </c>
      <c r="C123" s="7">
        <v>39</v>
      </c>
      <c r="D123" s="3">
        <f t="shared" si="36"/>
        <v>23</v>
      </c>
      <c r="E123" s="10">
        <f t="shared" si="39"/>
        <v>0.46</v>
      </c>
      <c r="F123" s="10">
        <f t="shared" si="37"/>
        <v>0.78</v>
      </c>
      <c r="G123" s="3">
        <f t="shared" si="35"/>
        <v>62</v>
      </c>
      <c r="H123" s="3">
        <f t="shared" si="30"/>
        <v>1</v>
      </c>
      <c r="I123" s="3">
        <f t="shared" si="21"/>
        <v>1.5450188998363515E-2</v>
      </c>
      <c r="J123" s="3">
        <f t="shared" si="22"/>
        <v>1.015055514528977</v>
      </c>
      <c r="K123" s="3">
        <f t="shared" si="23"/>
        <v>0.99999071078829371</v>
      </c>
      <c r="L123" s="3">
        <f t="shared" si="29"/>
        <v>-9.2892548512812988E-6</v>
      </c>
      <c r="M123" s="9">
        <f t="shared" si="25"/>
        <v>0.62903225806451613</v>
      </c>
      <c r="N123" s="9">
        <f t="shared" si="26"/>
        <v>0.37096774193548387</v>
      </c>
      <c r="P123">
        <f t="shared" si="27"/>
        <v>188.5</v>
      </c>
      <c r="Q123">
        <f t="shared" si="28"/>
        <v>76.5</v>
      </c>
    </row>
    <row r="124" spans="1:17" x14ac:dyDescent="0.35">
      <c r="A124">
        <v>2023</v>
      </c>
      <c r="B124" s="3">
        <v>183</v>
      </c>
      <c r="C124" s="7">
        <v>39</v>
      </c>
      <c r="D124" s="3">
        <f t="shared" si="36"/>
        <v>22.875</v>
      </c>
      <c r="E124" s="10">
        <f t="shared" si="39"/>
        <v>0.45750000000000002</v>
      </c>
      <c r="F124" s="10">
        <f t="shared" si="37"/>
        <v>0.78</v>
      </c>
      <c r="G124" s="3">
        <f t="shared" si="35"/>
        <v>61.875</v>
      </c>
      <c r="H124" s="3">
        <f t="shared" si="30"/>
        <v>1</v>
      </c>
      <c r="I124" s="3">
        <f t="shared" si="21"/>
        <v>-2.2010045779791373E-2</v>
      </c>
      <c r="J124" s="3">
        <f t="shared" si="22"/>
        <v>1.015055514528977</v>
      </c>
      <c r="K124" s="3">
        <f t="shared" si="23"/>
        <v>0.99998940959901483</v>
      </c>
      <c r="L124" s="3">
        <f t="shared" si="29"/>
        <v>-1.0590457063858948E-5</v>
      </c>
      <c r="M124" s="9">
        <f t="shared" si="25"/>
        <v>0.63030303030303025</v>
      </c>
      <c r="N124" s="9">
        <f t="shared" si="26"/>
        <v>0.36969696969696969</v>
      </c>
      <c r="P124">
        <f t="shared" si="27"/>
        <v>197</v>
      </c>
      <c r="Q124">
        <f t="shared" si="28"/>
        <v>76.5</v>
      </c>
    </row>
    <row r="125" spans="1:17" x14ac:dyDescent="0.35">
      <c r="A125">
        <v>2023</v>
      </c>
      <c r="B125" s="3">
        <v>182</v>
      </c>
      <c r="C125" s="7">
        <v>39</v>
      </c>
      <c r="D125" s="3">
        <f t="shared" si="36"/>
        <v>22.75</v>
      </c>
      <c r="E125" s="10">
        <f t="shared" si="39"/>
        <v>0.45500000000000002</v>
      </c>
      <c r="F125" s="10">
        <f t="shared" si="37"/>
        <v>0.78</v>
      </c>
      <c r="G125" s="3">
        <f t="shared" si="35"/>
        <v>61.75</v>
      </c>
      <c r="H125" s="3">
        <f t="shared" si="30"/>
        <v>1</v>
      </c>
      <c r="I125" s="3">
        <f t="shared" si="21"/>
        <v>-5.9470280557946266E-2</v>
      </c>
      <c r="J125" s="3">
        <f t="shared" si="22"/>
        <v>1.015055514528977</v>
      </c>
      <c r="K125" s="3">
        <f t="shared" si="23"/>
        <v>0.99998792614743548</v>
      </c>
      <c r="L125" s="3">
        <f t="shared" si="29"/>
        <v>-1.2073925454064896E-5</v>
      </c>
      <c r="M125" s="9">
        <f t="shared" si="25"/>
        <v>0.63157894736842102</v>
      </c>
      <c r="N125" s="9">
        <f t="shared" si="26"/>
        <v>0.36842105263157893</v>
      </c>
      <c r="P125">
        <f t="shared" si="27"/>
        <v>204</v>
      </c>
      <c r="Q125">
        <f t="shared" si="28"/>
        <v>76.5</v>
      </c>
    </row>
    <row r="126" spans="1:17" x14ac:dyDescent="0.35">
      <c r="A126">
        <v>2023</v>
      </c>
      <c r="B126" s="3">
        <v>156</v>
      </c>
      <c r="C126" s="7">
        <v>42</v>
      </c>
      <c r="D126" s="3">
        <f t="shared" si="36"/>
        <v>19.5</v>
      </c>
      <c r="E126" s="10">
        <f t="shared" si="39"/>
        <v>0.39</v>
      </c>
      <c r="F126" s="10">
        <f t="shared" si="37"/>
        <v>0.84</v>
      </c>
      <c r="G126" s="3">
        <f t="shared" si="35"/>
        <v>61.5</v>
      </c>
      <c r="H126" s="3">
        <f t="shared" si="30"/>
        <v>1</v>
      </c>
      <c r="I126" s="3">
        <f t="shared" si="21"/>
        <v>-1.0334363847899735</v>
      </c>
      <c r="J126" s="3">
        <f t="shared" si="22"/>
        <v>1.3998014475469474</v>
      </c>
      <c r="K126" s="3">
        <f t="shared" si="23"/>
        <v>0.99997920183525268</v>
      </c>
      <c r="L126" s="3">
        <f t="shared" si="29"/>
        <v>-2.0798381032142758E-5</v>
      </c>
      <c r="M126" s="9">
        <f t="shared" si="25"/>
        <v>0.68292682926829273</v>
      </c>
      <c r="N126" s="9">
        <f t="shared" si="26"/>
        <v>0.31707317073170732</v>
      </c>
      <c r="P126">
        <f t="shared" si="27"/>
        <v>390</v>
      </c>
      <c r="Q126">
        <f t="shared" si="28"/>
        <v>13.5</v>
      </c>
    </row>
    <row r="127" spans="1:17" x14ac:dyDescent="0.35">
      <c r="A127">
        <v>2023</v>
      </c>
      <c r="B127" s="3">
        <v>188</v>
      </c>
      <c r="C127" s="7">
        <v>38</v>
      </c>
      <c r="D127" s="3">
        <f t="shared" si="36"/>
        <v>23.5</v>
      </c>
      <c r="E127" s="10">
        <f t="shared" si="39"/>
        <v>0.47</v>
      </c>
      <c r="F127" s="10">
        <f t="shared" si="37"/>
        <v>0.76</v>
      </c>
      <c r="G127" s="3">
        <f t="shared" si="35"/>
        <v>61.5</v>
      </c>
      <c r="H127" s="3">
        <f t="shared" si="30"/>
        <v>1</v>
      </c>
      <c r="I127" s="3">
        <f t="shared" si="21"/>
        <v>0.16529112811098307</v>
      </c>
      <c r="J127" s="3">
        <f t="shared" si="22"/>
        <v>0.88680687018965354</v>
      </c>
      <c r="K127" s="3">
        <f t="shared" si="23"/>
        <v>0.9999857129833315</v>
      </c>
      <c r="L127" s="3">
        <f t="shared" si="29"/>
        <v>-1.4287118728896366E-5</v>
      </c>
      <c r="M127" s="9">
        <f t="shared" si="25"/>
        <v>0.61788617886178865</v>
      </c>
      <c r="N127" s="9">
        <f t="shared" si="26"/>
        <v>0.38211382113821141</v>
      </c>
      <c r="P127">
        <f t="shared" si="27"/>
        <v>155</v>
      </c>
      <c r="Q127">
        <f t="shared" si="28"/>
        <v>103</v>
      </c>
    </row>
    <row r="128" spans="1:17" x14ac:dyDescent="0.35">
      <c r="A128">
        <v>2023</v>
      </c>
      <c r="B128" s="3">
        <v>162</v>
      </c>
      <c r="C128" s="7">
        <v>41</v>
      </c>
      <c r="D128" s="3">
        <f t="shared" si="36"/>
        <v>20.25</v>
      </c>
      <c r="E128" s="10">
        <f t="shared" si="39"/>
        <v>0.40500000000000003</v>
      </c>
      <c r="F128" s="10">
        <f t="shared" si="37"/>
        <v>0.82</v>
      </c>
      <c r="G128" s="3">
        <f t="shared" si="35"/>
        <v>61.25</v>
      </c>
      <c r="H128" s="3">
        <f t="shared" si="30"/>
        <v>1</v>
      </c>
      <c r="I128" s="3">
        <f t="shared" si="21"/>
        <v>-0.808674976121044</v>
      </c>
      <c r="J128" s="3">
        <f t="shared" si="22"/>
        <v>1.271552803207624</v>
      </c>
      <c r="K128" s="3">
        <f t="shared" si="23"/>
        <v>0.99997538952462461</v>
      </c>
      <c r="L128" s="3">
        <f t="shared" si="29"/>
        <v>-2.4610778218104033E-5</v>
      </c>
      <c r="M128" s="9">
        <f t="shared" si="25"/>
        <v>0.66938775510204085</v>
      </c>
      <c r="N128" s="9">
        <f t="shared" si="26"/>
        <v>0.33061224489795921</v>
      </c>
      <c r="P128">
        <f t="shared" si="27"/>
        <v>364.5</v>
      </c>
      <c r="Q128">
        <f t="shared" si="28"/>
        <v>27</v>
      </c>
    </row>
    <row r="129" spans="1:17" x14ac:dyDescent="0.35">
      <c r="A129">
        <v>2023</v>
      </c>
      <c r="B129" s="3">
        <v>193</v>
      </c>
      <c r="C129" s="7">
        <v>37</v>
      </c>
      <c r="D129" s="3">
        <f t="shared" si="36"/>
        <v>24.125</v>
      </c>
      <c r="E129" s="10">
        <f t="shared" si="39"/>
        <v>0.48249999999999998</v>
      </c>
      <c r="F129" s="10">
        <f t="shared" si="37"/>
        <v>0.74</v>
      </c>
      <c r="G129" s="3">
        <f t="shared" si="35"/>
        <v>61.125</v>
      </c>
      <c r="H129" s="3">
        <f t="shared" si="30"/>
        <v>1</v>
      </c>
      <c r="I129" s="3">
        <f t="shared" si="21"/>
        <v>0.35259230200175751</v>
      </c>
      <c r="J129" s="3">
        <f t="shared" si="22"/>
        <v>0.75855822585033006</v>
      </c>
      <c r="K129" s="3">
        <f t="shared" si="23"/>
        <v>0.99998072607617083</v>
      </c>
      <c r="L129" s="3">
        <f t="shared" si="29"/>
        <v>-1.9274109573622723E-5</v>
      </c>
      <c r="M129" s="9">
        <f t="shared" si="25"/>
        <v>0.60531697341513291</v>
      </c>
      <c r="N129" s="9">
        <f t="shared" si="26"/>
        <v>0.39468302658486709</v>
      </c>
      <c r="P129">
        <f t="shared" si="27"/>
        <v>124</v>
      </c>
      <c r="Q129">
        <f t="shared" si="28"/>
        <v>128</v>
      </c>
    </row>
    <row r="130" spans="1:17" x14ac:dyDescent="0.35">
      <c r="A130">
        <v>2023</v>
      </c>
      <c r="B130" s="3">
        <v>176</v>
      </c>
      <c r="C130" s="7">
        <v>39</v>
      </c>
      <c r="D130" s="3">
        <f t="shared" si="36"/>
        <v>22</v>
      </c>
      <c r="E130" s="10">
        <f t="shared" si="39"/>
        <v>0.44</v>
      </c>
      <c r="F130" s="10">
        <f t="shared" si="37"/>
        <v>0.78</v>
      </c>
      <c r="G130" s="3">
        <f t="shared" si="35"/>
        <v>61</v>
      </c>
      <c r="H130" s="3">
        <f t="shared" si="30"/>
        <v>1</v>
      </c>
      <c r="I130" s="3">
        <f t="shared" ref="I130:I193" si="40" xml:space="preserve"> (D:D - AVERAGE(D:D)) / STDEV(D:D)</f>
        <v>-0.28423168922687558</v>
      </c>
      <c r="J130" s="3">
        <f t="shared" ref="J130:J193" si="41" xml:space="preserve"> (C:C - AVERAGE(C:C)) / STDEV(C:C)</f>
        <v>1.015055514528977</v>
      </c>
      <c r="K130" s="3">
        <f t="shared" ref="K130:K193" si="42">1/(1+EXP(-($AD$68 +$AD$69 * I130 +$AD$70 * J130 )))</f>
        <v>0.99997348789272278</v>
      </c>
      <c r="L130" s="3">
        <f t="shared" si="29"/>
        <v>-2.6512458729349174E-5</v>
      </c>
      <c r="M130" s="9">
        <f t="shared" si="25"/>
        <v>0.63934426229508201</v>
      </c>
      <c r="N130" s="9">
        <f t="shared" si="26"/>
        <v>0.36065573770491804</v>
      </c>
      <c r="P130">
        <f t="shared" si="27"/>
        <v>245.5</v>
      </c>
      <c r="Q130">
        <f t="shared" si="28"/>
        <v>76.5</v>
      </c>
    </row>
    <row r="131" spans="1:17" x14ac:dyDescent="0.35">
      <c r="A131">
        <v>2023</v>
      </c>
      <c r="B131" s="3">
        <v>199</v>
      </c>
      <c r="C131" s="7">
        <v>36</v>
      </c>
      <c r="D131" s="3">
        <f t="shared" si="36"/>
        <v>24.875</v>
      </c>
      <c r="E131" s="10">
        <f t="shared" si="39"/>
        <v>0.4975</v>
      </c>
      <c r="F131" s="10">
        <f t="shared" si="37"/>
        <v>0.72</v>
      </c>
      <c r="G131" s="3">
        <f t="shared" si="35"/>
        <v>60.875</v>
      </c>
      <c r="H131" s="3">
        <f t="shared" si="30"/>
        <v>1</v>
      </c>
      <c r="I131" s="3">
        <f t="shared" si="40"/>
        <v>0.57735371067068686</v>
      </c>
      <c r="J131" s="3">
        <f t="shared" si="41"/>
        <v>0.63030958151100658</v>
      </c>
      <c r="K131" s="3">
        <f t="shared" si="42"/>
        <v>0.99997719315304612</v>
      </c>
      <c r="L131" s="3">
        <f t="shared" si="29"/>
        <v>-2.2807107033970642E-5</v>
      </c>
      <c r="M131" s="9">
        <f t="shared" ref="M131:M194" si="43">IF(G131=0, 0,  C131  / G131 )</f>
        <v>0.59137577002053388</v>
      </c>
      <c r="N131" s="9">
        <f t="shared" ref="N131:N194" si="44">IF(G131=0, 0,  D131  / G131 )</f>
        <v>0.40862422997946612</v>
      </c>
      <c r="P131">
        <f t="shared" ref="P131:P194" si="45">_xlfn.RANK.AVG(B131,$B$2:$B$435)</f>
        <v>91.5</v>
      </c>
      <c r="Q131">
        <f t="shared" ref="Q131:Q194" si="46">_xlfn.RANK.AVG(C131,$C$2:$C$435)</f>
        <v>152</v>
      </c>
    </row>
    <row r="132" spans="1:17" x14ac:dyDescent="0.35">
      <c r="A132">
        <v>2023</v>
      </c>
      <c r="B132" s="3">
        <v>175</v>
      </c>
      <c r="C132" s="7">
        <v>39</v>
      </c>
      <c r="D132" s="3">
        <f t="shared" si="36"/>
        <v>21.875</v>
      </c>
      <c r="E132" s="10">
        <f t="shared" si="39"/>
        <v>0.4375</v>
      </c>
      <c r="F132" s="10">
        <f t="shared" si="37"/>
        <v>0.78</v>
      </c>
      <c r="G132" s="3">
        <f t="shared" si="35"/>
        <v>60.875</v>
      </c>
      <c r="H132" s="3">
        <f t="shared" si="30"/>
        <v>1</v>
      </c>
      <c r="I132" s="3">
        <f t="shared" si="40"/>
        <v>-0.32169192400503049</v>
      </c>
      <c r="J132" s="3">
        <f t="shared" si="41"/>
        <v>1.015055514528977</v>
      </c>
      <c r="K132" s="3">
        <f t="shared" si="42"/>
        <v>0.99996977427379952</v>
      </c>
      <c r="L132" s="3">
        <f t="shared" ref="L132:L195" si="47">IF(K132=0, -1000, IF(K132=1, -1000, H132 * LN(K132) + (1 - H132) * LN(1 - K132)))</f>
        <v>-3.0226183006950538E-5</v>
      </c>
      <c r="M132" s="9">
        <f t="shared" si="43"/>
        <v>0.64065708418891165</v>
      </c>
      <c r="N132" s="9">
        <f t="shared" si="44"/>
        <v>0.35934291581108829</v>
      </c>
      <c r="P132">
        <f t="shared" si="45"/>
        <v>254</v>
      </c>
      <c r="Q132">
        <f t="shared" si="46"/>
        <v>76.5</v>
      </c>
    </row>
    <row r="133" spans="1:17" x14ac:dyDescent="0.35">
      <c r="A133">
        <v>2023</v>
      </c>
      <c r="B133" s="3">
        <v>180</v>
      </c>
      <c r="C133" s="7">
        <v>38</v>
      </c>
      <c r="D133" s="3">
        <f t="shared" si="36"/>
        <v>22.5</v>
      </c>
      <c r="E133" s="10">
        <f t="shared" si="39"/>
        <v>0.45</v>
      </c>
      <c r="F133" s="10">
        <f t="shared" si="37"/>
        <v>0.76</v>
      </c>
      <c r="G133" s="3">
        <f t="shared" si="35"/>
        <v>60.5</v>
      </c>
      <c r="H133" s="3">
        <f t="shared" si="30"/>
        <v>1</v>
      </c>
      <c r="I133" s="3">
        <f t="shared" si="40"/>
        <v>-0.13439075011425605</v>
      </c>
      <c r="J133" s="3">
        <f t="shared" si="41"/>
        <v>0.88680687018965354</v>
      </c>
      <c r="K133" s="3">
        <f t="shared" si="42"/>
        <v>0.99995922416016747</v>
      </c>
      <c r="L133" s="3">
        <f t="shared" si="47"/>
        <v>-4.0776671189686374E-5</v>
      </c>
      <c r="M133" s="9">
        <f t="shared" si="43"/>
        <v>0.62809917355371903</v>
      </c>
      <c r="N133" s="9">
        <f t="shared" si="44"/>
        <v>0.37190082644628097</v>
      </c>
      <c r="P133">
        <f t="shared" si="45"/>
        <v>216.5</v>
      </c>
      <c r="Q133">
        <f t="shared" si="46"/>
        <v>103</v>
      </c>
    </row>
    <row r="134" spans="1:17" x14ac:dyDescent="0.35">
      <c r="A134">
        <v>2023</v>
      </c>
      <c r="B134" s="3">
        <v>195</v>
      </c>
      <c r="C134" s="7">
        <v>36</v>
      </c>
      <c r="D134" s="3">
        <f t="shared" si="36"/>
        <v>24.375</v>
      </c>
      <c r="E134" s="10">
        <f t="shared" si="39"/>
        <v>0.48749999999999999</v>
      </c>
      <c r="F134" s="10">
        <f t="shared" si="37"/>
        <v>0.72</v>
      </c>
      <c r="G134" s="3">
        <f t="shared" si="35"/>
        <v>60.375</v>
      </c>
      <c r="H134" s="3">
        <f t="shared" si="30"/>
        <v>1</v>
      </c>
      <c r="I134" s="3">
        <f t="shared" si="40"/>
        <v>0.42751277155806727</v>
      </c>
      <c r="J134" s="3">
        <f t="shared" si="41"/>
        <v>0.63030958151100658</v>
      </c>
      <c r="K134" s="3">
        <f t="shared" si="42"/>
        <v>0.99996147036867289</v>
      </c>
      <c r="L134" s="3">
        <f t="shared" si="47"/>
        <v>-3.8530373612422885E-5</v>
      </c>
      <c r="M134" s="9">
        <f t="shared" si="43"/>
        <v>0.59627329192546585</v>
      </c>
      <c r="N134" s="9">
        <f t="shared" si="44"/>
        <v>0.40372670807453415</v>
      </c>
      <c r="P134">
        <f t="shared" si="45"/>
        <v>113.5</v>
      </c>
      <c r="Q134">
        <f t="shared" si="46"/>
        <v>152</v>
      </c>
    </row>
    <row r="135" spans="1:17" x14ac:dyDescent="0.35">
      <c r="A135">
        <v>2023</v>
      </c>
      <c r="B135" s="3">
        <v>201</v>
      </c>
      <c r="C135" s="7">
        <v>35</v>
      </c>
      <c r="D135" s="3">
        <f t="shared" si="36"/>
        <v>25.125</v>
      </c>
      <c r="E135" s="10">
        <f t="shared" si="39"/>
        <v>0.50249999999999995</v>
      </c>
      <c r="F135" s="10">
        <f t="shared" si="37"/>
        <v>0.7</v>
      </c>
      <c r="G135" s="3">
        <f t="shared" si="35"/>
        <v>60.125</v>
      </c>
      <c r="H135" s="3">
        <f t="shared" si="30"/>
        <v>1</v>
      </c>
      <c r="I135" s="3">
        <f t="shared" si="40"/>
        <v>0.65227418022699668</v>
      </c>
      <c r="J135" s="3">
        <f t="shared" si="41"/>
        <v>0.50206093717168321</v>
      </c>
      <c r="K135" s="3">
        <f t="shared" si="42"/>
        <v>0.99995440802241276</v>
      </c>
      <c r="L135" s="3">
        <f t="shared" si="47"/>
        <v>-4.55930169330457E-5</v>
      </c>
      <c r="M135" s="9">
        <f t="shared" si="43"/>
        <v>0.58212058212058215</v>
      </c>
      <c r="N135" s="9">
        <f t="shared" si="44"/>
        <v>0.4178794178794179</v>
      </c>
      <c r="P135">
        <f t="shared" si="45"/>
        <v>78.5</v>
      </c>
      <c r="Q135">
        <f t="shared" si="46"/>
        <v>171.5</v>
      </c>
    </row>
    <row r="136" spans="1:17" x14ac:dyDescent="0.35">
      <c r="A136">
        <v>2023</v>
      </c>
      <c r="B136" s="3">
        <v>169</v>
      </c>
      <c r="C136" s="7">
        <v>39</v>
      </c>
      <c r="D136" s="3">
        <f t="shared" si="36"/>
        <v>21.125</v>
      </c>
      <c r="E136" s="10">
        <f t="shared" si="39"/>
        <v>0.42249999999999999</v>
      </c>
      <c r="F136" s="10">
        <f t="shared" si="37"/>
        <v>0.78</v>
      </c>
      <c r="G136" s="3">
        <f t="shared" si="35"/>
        <v>60.125</v>
      </c>
      <c r="H136" s="3">
        <f t="shared" si="30"/>
        <v>1</v>
      </c>
      <c r="I136" s="3">
        <f t="shared" si="40"/>
        <v>-0.54645333267395979</v>
      </c>
      <c r="J136" s="3">
        <f t="shared" si="41"/>
        <v>1.015055514528977</v>
      </c>
      <c r="K136" s="3">
        <f t="shared" si="42"/>
        <v>0.99993363093536369</v>
      </c>
      <c r="L136" s="3">
        <f t="shared" si="47"/>
        <v>-6.637126716013072E-5</v>
      </c>
      <c r="M136" s="9">
        <f t="shared" si="43"/>
        <v>0.64864864864864868</v>
      </c>
      <c r="N136" s="9">
        <f t="shared" si="44"/>
        <v>0.35135135135135137</v>
      </c>
      <c r="P136">
        <f t="shared" si="45"/>
        <v>299</v>
      </c>
      <c r="Q136">
        <f t="shared" si="46"/>
        <v>76.5</v>
      </c>
    </row>
    <row r="137" spans="1:17" x14ac:dyDescent="0.35">
      <c r="A137">
        <v>2023</v>
      </c>
      <c r="B137" s="3">
        <v>177</v>
      </c>
      <c r="C137" s="7">
        <v>38</v>
      </c>
      <c r="D137" s="3">
        <f t="shared" si="36"/>
        <v>22.125</v>
      </c>
      <c r="E137" s="10">
        <f t="shared" si="39"/>
        <v>0.4425</v>
      </c>
      <c r="F137" s="10">
        <f t="shared" si="37"/>
        <v>0.76</v>
      </c>
      <c r="G137" s="3">
        <f t="shared" si="35"/>
        <v>60.125</v>
      </c>
      <c r="H137" s="3">
        <f t="shared" si="30"/>
        <v>1</v>
      </c>
      <c r="I137" s="3">
        <f t="shared" si="40"/>
        <v>-0.2467714544487207</v>
      </c>
      <c r="J137" s="3">
        <f t="shared" si="41"/>
        <v>0.88680687018965354</v>
      </c>
      <c r="K137" s="3">
        <f t="shared" si="42"/>
        <v>0.99993957777590803</v>
      </c>
      <c r="L137" s="3">
        <f t="shared" si="47"/>
        <v>-6.0424049588087789E-5</v>
      </c>
      <c r="M137" s="9">
        <f t="shared" si="43"/>
        <v>0.63201663201663205</v>
      </c>
      <c r="N137" s="9">
        <f t="shared" si="44"/>
        <v>0.367983367983368</v>
      </c>
      <c r="P137">
        <f t="shared" si="45"/>
        <v>237.5</v>
      </c>
      <c r="Q137">
        <f t="shared" si="46"/>
        <v>103</v>
      </c>
    </row>
    <row r="138" spans="1:17" x14ac:dyDescent="0.35">
      <c r="A138">
        <v>2023</v>
      </c>
      <c r="B138" s="3">
        <v>150</v>
      </c>
      <c r="C138" s="7">
        <v>41</v>
      </c>
      <c r="D138" s="3">
        <f t="shared" si="36"/>
        <v>18.75</v>
      </c>
      <c r="E138" s="10">
        <f t="shared" si="39"/>
        <v>0.375</v>
      </c>
      <c r="F138" s="10">
        <f t="shared" si="37"/>
        <v>0.82</v>
      </c>
      <c r="G138" s="3">
        <f t="shared" si="35"/>
        <v>59.75</v>
      </c>
      <c r="H138" s="3">
        <f t="shared" si="30"/>
        <v>1</v>
      </c>
      <c r="I138" s="3">
        <f t="shared" si="40"/>
        <v>-1.2581977934589028</v>
      </c>
      <c r="J138" s="3">
        <f t="shared" si="41"/>
        <v>1.271552803207624</v>
      </c>
      <c r="K138" s="3">
        <f t="shared" si="42"/>
        <v>0.99988134434046039</v>
      </c>
      <c r="L138" s="3">
        <f t="shared" si="47"/>
        <v>-1.1866269967929017E-4</v>
      </c>
      <c r="M138" s="9">
        <f t="shared" si="43"/>
        <v>0.68619246861924688</v>
      </c>
      <c r="N138" s="9">
        <f t="shared" si="44"/>
        <v>0.31380753138075312</v>
      </c>
      <c r="P138">
        <f t="shared" si="45"/>
        <v>406.5</v>
      </c>
      <c r="Q138">
        <f t="shared" si="46"/>
        <v>27</v>
      </c>
    </row>
    <row r="139" spans="1:17" x14ac:dyDescent="0.35">
      <c r="A139">
        <v>2023</v>
      </c>
      <c r="B139" s="3">
        <v>150</v>
      </c>
      <c r="C139" s="7">
        <v>41</v>
      </c>
      <c r="D139" s="3">
        <f t="shared" si="36"/>
        <v>18.75</v>
      </c>
      <c r="E139" s="10">
        <f t="shared" si="39"/>
        <v>0.375</v>
      </c>
      <c r="F139" s="10">
        <f t="shared" si="37"/>
        <v>0.82</v>
      </c>
      <c r="G139" s="3">
        <f t="shared" si="35"/>
        <v>59.75</v>
      </c>
      <c r="H139" s="3">
        <f t="shared" si="30"/>
        <v>1</v>
      </c>
      <c r="I139" s="3">
        <f t="shared" si="40"/>
        <v>-1.2581977934589028</v>
      </c>
      <c r="J139" s="3">
        <f t="shared" si="41"/>
        <v>1.271552803207624</v>
      </c>
      <c r="K139" s="3">
        <f t="shared" si="42"/>
        <v>0.99988134434046039</v>
      </c>
      <c r="L139" s="3">
        <f t="shared" si="47"/>
        <v>-1.1866269967929017E-4</v>
      </c>
      <c r="M139" s="9">
        <f t="shared" si="43"/>
        <v>0.68619246861924688</v>
      </c>
      <c r="N139" s="9">
        <f t="shared" si="44"/>
        <v>0.31380753138075312</v>
      </c>
      <c r="P139">
        <f t="shared" si="45"/>
        <v>406.5</v>
      </c>
      <c r="Q139">
        <f t="shared" si="46"/>
        <v>27</v>
      </c>
    </row>
    <row r="140" spans="1:17" x14ac:dyDescent="0.35">
      <c r="A140">
        <v>2023</v>
      </c>
      <c r="B140" s="3">
        <v>164</v>
      </c>
      <c r="C140" s="7">
        <v>39</v>
      </c>
      <c r="D140" s="3">
        <f t="shared" si="36"/>
        <v>20.5</v>
      </c>
      <c r="E140" s="10">
        <f t="shared" si="39"/>
        <v>0.41</v>
      </c>
      <c r="F140" s="10">
        <f t="shared" si="37"/>
        <v>0.78</v>
      </c>
      <c r="G140" s="3">
        <f t="shared" si="35"/>
        <v>59.5</v>
      </c>
      <c r="H140" s="3">
        <f t="shared" si="30"/>
        <v>1</v>
      </c>
      <c r="I140" s="3">
        <f t="shared" si="40"/>
        <v>-0.73375450656473429</v>
      </c>
      <c r="J140" s="3">
        <f t="shared" si="41"/>
        <v>1.015055514528977</v>
      </c>
      <c r="K140" s="3">
        <f t="shared" si="42"/>
        <v>0.99987217684069807</v>
      </c>
      <c r="L140" s="3">
        <f t="shared" si="47"/>
        <v>-1.2783132937818289E-4</v>
      </c>
      <c r="M140" s="9">
        <f t="shared" si="43"/>
        <v>0.65546218487394958</v>
      </c>
      <c r="N140" s="9">
        <f t="shared" si="44"/>
        <v>0.34453781512605042</v>
      </c>
      <c r="P140">
        <f t="shared" si="45"/>
        <v>348.5</v>
      </c>
      <c r="Q140">
        <f t="shared" si="46"/>
        <v>76.5</v>
      </c>
    </row>
    <row r="141" spans="1:17" x14ac:dyDescent="0.35">
      <c r="A141">
        <v>2023</v>
      </c>
      <c r="B141" s="3">
        <v>166</v>
      </c>
      <c r="C141" s="7">
        <v>38</v>
      </c>
      <c r="D141" s="3">
        <f t="shared" si="36"/>
        <v>20.75</v>
      </c>
      <c r="E141" s="10">
        <f t="shared" si="39"/>
        <v>0.41499999999999998</v>
      </c>
      <c r="F141" s="10">
        <f t="shared" si="37"/>
        <v>0.76</v>
      </c>
      <c r="G141" s="3">
        <f t="shared" si="35"/>
        <v>58.75</v>
      </c>
      <c r="H141" s="3">
        <f t="shared" si="30"/>
        <v>1</v>
      </c>
      <c r="I141" s="3">
        <f t="shared" si="40"/>
        <v>-0.65883403700842447</v>
      </c>
      <c r="J141" s="3">
        <f t="shared" si="41"/>
        <v>0.88680687018965354</v>
      </c>
      <c r="K141" s="3">
        <f t="shared" si="42"/>
        <v>0.99974450219909605</v>
      </c>
      <c r="L141" s="3">
        <f t="shared" si="47"/>
        <v>-2.5553044602770437E-4</v>
      </c>
      <c r="M141" s="9">
        <f t="shared" si="43"/>
        <v>0.64680851063829792</v>
      </c>
      <c r="N141" s="9">
        <f t="shared" si="44"/>
        <v>0.35319148936170214</v>
      </c>
      <c r="P141">
        <f t="shared" si="45"/>
        <v>334.5</v>
      </c>
      <c r="Q141">
        <f t="shared" si="46"/>
        <v>103</v>
      </c>
    </row>
    <row r="142" spans="1:17" x14ac:dyDescent="0.35">
      <c r="A142">
        <v>2023</v>
      </c>
      <c r="B142" s="3">
        <v>197</v>
      </c>
      <c r="C142" s="7">
        <v>34</v>
      </c>
      <c r="D142" s="3">
        <f t="shared" si="36"/>
        <v>24.625</v>
      </c>
      <c r="E142" s="10">
        <f t="shared" si="39"/>
        <v>0.49249999999999999</v>
      </c>
      <c r="F142" s="10">
        <f t="shared" si="37"/>
        <v>0.68</v>
      </c>
      <c r="G142" s="3">
        <f t="shared" si="35"/>
        <v>58.625</v>
      </c>
      <c r="H142" s="3">
        <f t="shared" si="30"/>
        <v>1</v>
      </c>
      <c r="I142" s="3">
        <f t="shared" si="40"/>
        <v>0.50243324111437704</v>
      </c>
      <c r="J142" s="3">
        <f t="shared" si="41"/>
        <v>0.37381229283235973</v>
      </c>
      <c r="K142" s="3">
        <f t="shared" si="42"/>
        <v>0.99979989449035489</v>
      </c>
      <c r="L142" s="3">
        <f t="shared" si="47"/>
        <v>-2.0012553342389522E-4</v>
      </c>
      <c r="M142" s="9">
        <f t="shared" si="43"/>
        <v>0.57995735607675902</v>
      </c>
      <c r="N142" s="9">
        <f t="shared" si="44"/>
        <v>0.42004264392324092</v>
      </c>
      <c r="P142">
        <f t="shared" si="45"/>
        <v>102.5</v>
      </c>
      <c r="Q142">
        <f t="shared" si="46"/>
        <v>189.5</v>
      </c>
    </row>
    <row r="143" spans="1:17" x14ac:dyDescent="0.35">
      <c r="A143">
        <v>2023</v>
      </c>
      <c r="B143" s="3">
        <v>170</v>
      </c>
      <c r="C143" s="7">
        <v>37</v>
      </c>
      <c r="D143" s="3">
        <f t="shared" si="36"/>
        <v>21.25</v>
      </c>
      <c r="E143" s="10">
        <f t="shared" si="39"/>
        <v>0.42499999999999999</v>
      </c>
      <c r="F143" s="10">
        <f t="shared" si="37"/>
        <v>0.74</v>
      </c>
      <c r="G143" s="3">
        <f t="shared" si="35"/>
        <v>58.25</v>
      </c>
      <c r="H143" s="3">
        <f t="shared" si="30"/>
        <v>1</v>
      </c>
      <c r="I143" s="3">
        <f t="shared" si="40"/>
        <v>-0.50899309789580494</v>
      </c>
      <c r="J143" s="3">
        <f t="shared" si="41"/>
        <v>0.75855822585033006</v>
      </c>
      <c r="K143" s="3">
        <f t="shared" si="42"/>
        <v>0.99960709067945896</v>
      </c>
      <c r="L143" s="3">
        <f t="shared" si="47"/>
        <v>-3.9298652963289587E-4</v>
      </c>
      <c r="M143" s="9">
        <f t="shared" si="43"/>
        <v>0.63519313304721026</v>
      </c>
      <c r="N143" s="9">
        <f t="shared" si="44"/>
        <v>0.36480686695278969</v>
      </c>
      <c r="P143">
        <f t="shared" si="45"/>
        <v>287.5</v>
      </c>
      <c r="Q143">
        <f t="shared" si="46"/>
        <v>128</v>
      </c>
    </row>
    <row r="144" spans="1:17" x14ac:dyDescent="0.35">
      <c r="A144">
        <v>2023</v>
      </c>
      <c r="B144" s="3">
        <v>142</v>
      </c>
      <c r="C144" s="7">
        <v>40</v>
      </c>
      <c r="D144" s="3">
        <f t="shared" si="36"/>
        <v>17.75</v>
      </c>
      <c r="E144" s="10">
        <f t="shared" si="39"/>
        <v>0.35499999999999998</v>
      </c>
      <c r="F144" s="10">
        <f t="shared" si="37"/>
        <v>0.8</v>
      </c>
      <c r="G144" s="3">
        <f t="shared" si="35"/>
        <v>57.75</v>
      </c>
      <c r="H144" s="3">
        <f t="shared" si="30"/>
        <v>1</v>
      </c>
      <c r="I144" s="3">
        <f t="shared" si="40"/>
        <v>-1.5578796716841419</v>
      </c>
      <c r="J144" s="3">
        <f t="shared" si="41"/>
        <v>1.1433041588683004</v>
      </c>
      <c r="K144" s="3">
        <f t="shared" si="42"/>
        <v>0.99912071003671066</v>
      </c>
      <c r="L144" s="3">
        <f t="shared" si="47"/>
        <v>-8.7967676546658337E-4</v>
      </c>
      <c r="M144" s="9">
        <f t="shared" si="43"/>
        <v>0.69264069264069261</v>
      </c>
      <c r="N144" s="9">
        <f t="shared" si="44"/>
        <v>0.30735930735930733</v>
      </c>
      <c r="P144">
        <f t="shared" si="45"/>
        <v>428</v>
      </c>
      <c r="Q144">
        <f t="shared" si="46"/>
        <v>50.5</v>
      </c>
    </row>
    <row r="145" spans="1:17" x14ac:dyDescent="0.35">
      <c r="A145">
        <v>2023</v>
      </c>
      <c r="B145" s="3">
        <v>245</v>
      </c>
      <c r="C145" s="7">
        <v>27</v>
      </c>
      <c r="D145" s="3">
        <f t="shared" si="36"/>
        <v>30.625</v>
      </c>
      <c r="E145" s="10">
        <f t="shared" si="39"/>
        <v>0.61250000000000004</v>
      </c>
      <c r="F145" s="10">
        <f t="shared" si="37"/>
        <v>0.54</v>
      </c>
      <c r="G145" s="3">
        <f t="shared" si="35"/>
        <v>57.625</v>
      </c>
      <c r="H145" s="3">
        <f t="shared" si="30"/>
        <v>1</v>
      </c>
      <c r="I145" s="3">
        <f t="shared" si="40"/>
        <v>2.3005245104658116</v>
      </c>
      <c r="J145" s="3">
        <f t="shared" si="41"/>
        <v>-0.52392821754290453</v>
      </c>
      <c r="K145" s="3">
        <f t="shared" si="42"/>
        <v>0.99970400167752449</v>
      </c>
      <c r="L145" s="3">
        <f t="shared" si="47"/>
        <v>-2.9604213862551568E-4</v>
      </c>
      <c r="M145" s="9">
        <f t="shared" si="43"/>
        <v>0.46854663774403471</v>
      </c>
      <c r="N145" s="9">
        <f t="shared" si="44"/>
        <v>0.53145336225596529</v>
      </c>
      <c r="P145">
        <f t="shared" si="45"/>
        <v>11.5</v>
      </c>
      <c r="Q145">
        <f t="shared" si="46"/>
        <v>294.5</v>
      </c>
    </row>
    <row r="146" spans="1:17" x14ac:dyDescent="0.35">
      <c r="A146">
        <v>2023</v>
      </c>
      <c r="B146" s="3">
        <v>179</v>
      </c>
      <c r="C146" s="7">
        <v>35</v>
      </c>
      <c r="D146" s="3">
        <f t="shared" si="36"/>
        <v>22.375</v>
      </c>
      <c r="E146" s="10">
        <f t="shared" si="39"/>
        <v>0.44750000000000001</v>
      </c>
      <c r="F146" s="10">
        <f t="shared" si="37"/>
        <v>0.7</v>
      </c>
      <c r="G146" s="3">
        <f t="shared" si="35"/>
        <v>57.375</v>
      </c>
      <c r="H146" s="3">
        <f t="shared" si="30"/>
        <v>1</v>
      </c>
      <c r="I146" s="3">
        <f t="shared" si="40"/>
        <v>-0.17185098489241094</v>
      </c>
      <c r="J146" s="3">
        <f t="shared" si="41"/>
        <v>0.50206093717168321</v>
      </c>
      <c r="K146" s="3">
        <f t="shared" si="42"/>
        <v>0.99918509953445867</v>
      </c>
      <c r="L146" s="3">
        <f t="shared" si="47"/>
        <v>-8.1523267741770791E-4</v>
      </c>
      <c r="M146" s="9">
        <f t="shared" si="43"/>
        <v>0.61002178649237471</v>
      </c>
      <c r="N146" s="9">
        <f t="shared" si="44"/>
        <v>0.38997821350762529</v>
      </c>
      <c r="P146">
        <f t="shared" si="45"/>
        <v>223.5</v>
      </c>
      <c r="Q146">
        <f t="shared" si="46"/>
        <v>171.5</v>
      </c>
    </row>
    <row r="147" spans="1:17" x14ac:dyDescent="0.35">
      <c r="A147">
        <v>2023</v>
      </c>
      <c r="B147" s="3">
        <v>179</v>
      </c>
      <c r="C147" s="7">
        <v>35</v>
      </c>
      <c r="D147" s="3">
        <f t="shared" si="36"/>
        <v>22.375</v>
      </c>
      <c r="E147" s="10">
        <f t="shared" si="39"/>
        <v>0.44750000000000001</v>
      </c>
      <c r="F147" s="10">
        <f t="shared" si="37"/>
        <v>0.7</v>
      </c>
      <c r="G147" s="3">
        <f t="shared" si="35"/>
        <v>57.375</v>
      </c>
      <c r="H147" s="3">
        <f t="shared" si="30"/>
        <v>1</v>
      </c>
      <c r="I147" s="3">
        <f t="shared" si="40"/>
        <v>-0.17185098489241094</v>
      </c>
      <c r="J147" s="3">
        <f t="shared" si="41"/>
        <v>0.50206093717168321</v>
      </c>
      <c r="K147" s="3">
        <f t="shared" si="42"/>
        <v>0.99918509953445867</v>
      </c>
      <c r="L147" s="3">
        <f t="shared" si="47"/>
        <v>-8.1523267741770791E-4</v>
      </c>
      <c r="M147" s="9">
        <f t="shared" si="43"/>
        <v>0.61002178649237471</v>
      </c>
      <c r="N147" s="9">
        <f t="shared" si="44"/>
        <v>0.38997821350762529</v>
      </c>
      <c r="P147">
        <f t="shared" si="45"/>
        <v>223.5</v>
      </c>
      <c r="Q147">
        <f t="shared" si="46"/>
        <v>171.5</v>
      </c>
    </row>
    <row r="148" spans="1:17" x14ac:dyDescent="0.35">
      <c r="A148">
        <v>2023</v>
      </c>
      <c r="B148" s="3">
        <v>171</v>
      </c>
      <c r="C148" s="7">
        <v>36</v>
      </c>
      <c r="D148" s="3">
        <f t="shared" si="36"/>
        <v>21.375</v>
      </c>
      <c r="E148" s="10">
        <f t="shared" si="39"/>
        <v>0.42749999999999999</v>
      </c>
      <c r="F148" s="10">
        <f t="shared" si="37"/>
        <v>0.72</v>
      </c>
      <c r="G148" s="3">
        <f t="shared" si="35"/>
        <v>57.375</v>
      </c>
      <c r="H148" s="3">
        <f t="shared" si="30"/>
        <v>1</v>
      </c>
      <c r="I148" s="3">
        <f t="shared" si="40"/>
        <v>-0.47153286311765003</v>
      </c>
      <c r="J148" s="3">
        <f t="shared" si="41"/>
        <v>0.63030958151100658</v>
      </c>
      <c r="K148" s="3">
        <f t="shared" si="42"/>
        <v>0.99910496234756296</v>
      </c>
      <c r="L148" s="3">
        <f t="shared" si="47"/>
        <v>-8.9543843779984859E-4</v>
      </c>
      <c r="M148" s="9">
        <f t="shared" si="43"/>
        <v>0.62745098039215685</v>
      </c>
      <c r="N148" s="9">
        <f t="shared" si="44"/>
        <v>0.37254901960784315</v>
      </c>
      <c r="P148">
        <f t="shared" si="45"/>
        <v>278</v>
      </c>
      <c r="Q148">
        <f t="shared" si="46"/>
        <v>152</v>
      </c>
    </row>
    <row r="149" spans="1:17" x14ac:dyDescent="0.35">
      <c r="A149">
        <v>2023</v>
      </c>
      <c r="B149" s="3">
        <v>226</v>
      </c>
      <c r="C149" s="7">
        <v>29</v>
      </c>
      <c r="D149" s="3">
        <f t="shared" si="36"/>
        <v>28.25</v>
      </c>
      <c r="E149" s="10">
        <f t="shared" si="39"/>
        <v>0.56499999999999995</v>
      </c>
      <c r="F149" s="10">
        <f t="shared" si="37"/>
        <v>0.57999999999999996</v>
      </c>
      <c r="G149" s="3">
        <f t="shared" si="35"/>
        <v>57.25</v>
      </c>
      <c r="H149" s="3">
        <f t="shared" si="30"/>
        <v>1</v>
      </c>
      <c r="I149" s="3">
        <f t="shared" si="40"/>
        <v>1.5887800496808688</v>
      </c>
      <c r="J149" s="3">
        <f t="shared" si="41"/>
        <v>-0.26743092886425757</v>
      </c>
      <c r="K149" s="3">
        <f t="shared" si="42"/>
        <v>0.99947090525753612</v>
      </c>
      <c r="L149" s="3">
        <f t="shared" si="47"/>
        <v>-5.2923476247854131E-4</v>
      </c>
      <c r="M149" s="9">
        <f t="shared" si="43"/>
        <v>0.50655021834061131</v>
      </c>
      <c r="N149" s="9">
        <f t="shared" si="44"/>
        <v>0.49344978165938863</v>
      </c>
      <c r="P149">
        <f t="shared" si="45"/>
        <v>30</v>
      </c>
      <c r="Q149">
        <f t="shared" si="46"/>
        <v>272.5</v>
      </c>
    </row>
    <row r="150" spans="1:17" x14ac:dyDescent="0.35">
      <c r="A150">
        <v>2023</v>
      </c>
      <c r="B150" s="3">
        <v>192</v>
      </c>
      <c r="C150" s="7">
        <v>33</v>
      </c>
      <c r="D150" s="3">
        <f t="shared" si="36"/>
        <v>24</v>
      </c>
      <c r="E150" s="10">
        <f t="shared" si="39"/>
        <v>0.48</v>
      </c>
      <c r="F150" s="10">
        <f t="shared" si="37"/>
        <v>0.66</v>
      </c>
      <c r="G150" s="3">
        <f t="shared" si="35"/>
        <v>57</v>
      </c>
      <c r="H150" s="3">
        <f t="shared" si="30"/>
        <v>1</v>
      </c>
      <c r="I150" s="3">
        <f t="shared" si="40"/>
        <v>0.31513206722360265</v>
      </c>
      <c r="J150" s="3">
        <f t="shared" si="41"/>
        <v>0.24556364849303625</v>
      </c>
      <c r="K150" s="3">
        <f t="shared" si="42"/>
        <v>0.99899934815162938</v>
      </c>
      <c r="L150" s="3">
        <f t="shared" si="47"/>
        <v>-1.0011528346678988E-3</v>
      </c>
      <c r="M150" s="9">
        <f t="shared" si="43"/>
        <v>0.57894736842105265</v>
      </c>
      <c r="N150" s="9">
        <f t="shared" si="44"/>
        <v>0.42105263157894735</v>
      </c>
      <c r="P150">
        <f t="shared" si="45"/>
        <v>129.5</v>
      </c>
      <c r="Q150">
        <f t="shared" si="46"/>
        <v>208.5</v>
      </c>
    </row>
    <row r="151" spans="1:17" x14ac:dyDescent="0.35">
      <c r="A151">
        <v>2023</v>
      </c>
      <c r="B151" s="3">
        <v>174</v>
      </c>
      <c r="C151" s="7">
        <v>35</v>
      </c>
      <c r="D151" s="3">
        <f t="shared" si="36"/>
        <v>21.75</v>
      </c>
      <c r="E151" s="10">
        <f t="shared" si="39"/>
        <v>0.435</v>
      </c>
      <c r="F151" s="10">
        <f t="shared" si="37"/>
        <v>0.7</v>
      </c>
      <c r="G151" s="3">
        <f t="shared" si="35"/>
        <v>56.75</v>
      </c>
      <c r="H151" s="3">
        <f t="shared" si="30"/>
        <v>1</v>
      </c>
      <c r="I151" s="3">
        <f t="shared" si="40"/>
        <v>-0.3591521587831854</v>
      </c>
      <c r="J151" s="3">
        <f t="shared" si="41"/>
        <v>0.50206093717168321</v>
      </c>
      <c r="K151" s="3">
        <f t="shared" si="42"/>
        <v>0.99843163373697386</v>
      </c>
      <c r="L151" s="3">
        <f t="shared" si="47"/>
        <v>-1.5695974368496884E-3</v>
      </c>
      <c r="M151" s="9">
        <f t="shared" si="43"/>
        <v>0.61674008810572689</v>
      </c>
      <c r="N151" s="9">
        <f t="shared" si="44"/>
        <v>0.38325991189427311</v>
      </c>
      <c r="P151">
        <f t="shared" si="45"/>
        <v>261</v>
      </c>
      <c r="Q151">
        <f t="shared" si="46"/>
        <v>171.5</v>
      </c>
    </row>
    <row r="152" spans="1:17" x14ac:dyDescent="0.35">
      <c r="A152">
        <v>2023</v>
      </c>
      <c r="B152" s="3">
        <v>171</v>
      </c>
      <c r="C152" s="7">
        <v>34</v>
      </c>
      <c r="D152" s="3">
        <f t="shared" si="36"/>
        <v>21.375</v>
      </c>
      <c r="E152" s="10">
        <f t="shared" si="39"/>
        <v>0.42749999999999999</v>
      </c>
      <c r="F152" s="10">
        <f t="shared" si="37"/>
        <v>0.68</v>
      </c>
      <c r="G152" s="3">
        <f t="shared" si="35"/>
        <v>55.375</v>
      </c>
      <c r="H152" s="3">
        <f t="shared" si="30"/>
        <v>1</v>
      </c>
      <c r="I152" s="3">
        <f t="shared" si="40"/>
        <v>-0.47153286311765003</v>
      </c>
      <c r="J152" s="3">
        <f t="shared" si="41"/>
        <v>0.37381229283235973</v>
      </c>
      <c r="K152" s="3">
        <f t="shared" si="42"/>
        <v>0.99398806950272167</v>
      </c>
      <c r="L152" s="3">
        <f t="shared" si="47"/>
        <v>-6.0300749099461868E-3</v>
      </c>
      <c r="M152" s="9">
        <f t="shared" si="43"/>
        <v>0.61399548532731374</v>
      </c>
      <c r="N152" s="9">
        <f t="shared" si="44"/>
        <v>0.38600451467268621</v>
      </c>
      <c r="P152">
        <f t="shared" si="45"/>
        <v>278</v>
      </c>
      <c r="Q152">
        <f t="shared" si="46"/>
        <v>189.5</v>
      </c>
    </row>
    <row r="153" spans="1:17" x14ac:dyDescent="0.35">
      <c r="A153">
        <v>2023</v>
      </c>
      <c r="B153" s="3">
        <v>168</v>
      </c>
      <c r="C153" s="7">
        <v>34</v>
      </c>
      <c r="D153" s="3">
        <f t="shared" si="36"/>
        <v>21</v>
      </c>
      <c r="E153" s="10">
        <f t="shared" si="39"/>
        <v>0.42</v>
      </c>
      <c r="F153" s="10">
        <f t="shared" si="37"/>
        <v>0.68</v>
      </c>
      <c r="G153" s="3">
        <f t="shared" si="35"/>
        <v>55</v>
      </c>
      <c r="H153" s="3">
        <f t="shared" si="30"/>
        <v>1</v>
      </c>
      <c r="I153" s="3">
        <f t="shared" si="40"/>
        <v>-0.58391356745211476</v>
      </c>
      <c r="J153" s="3">
        <f t="shared" si="41"/>
        <v>0.37381229283235973</v>
      </c>
      <c r="K153" s="3">
        <f t="shared" si="42"/>
        <v>0.99111699253976959</v>
      </c>
      <c r="L153" s="3">
        <f t="shared" si="47"/>
        <v>-8.9226965850109606E-3</v>
      </c>
      <c r="M153" s="9">
        <f t="shared" si="43"/>
        <v>0.61818181818181817</v>
      </c>
      <c r="N153" s="9">
        <f t="shared" si="44"/>
        <v>0.38181818181818183</v>
      </c>
      <c r="P153">
        <f t="shared" si="45"/>
        <v>311.5</v>
      </c>
      <c r="Q153">
        <f t="shared" si="46"/>
        <v>189.5</v>
      </c>
    </row>
    <row r="154" spans="1:17" x14ac:dyDescent="0.35">
      <c r="A154">
        <v>2023</v>
      </c>
      <c r="B154" s="3">
        <v>167</v>
      </c>
      <c r="C154" s="7">
        <v>33</v>
      </c>
      <c r="D154" s="3">
        <f t="shared" si="36"/>
        <v>20.875</v>
      </c>
      <c r="E154" s="10">
        <f t="shared" si="39"/>
        <v>0.41749999999999998</v>
      </c>
      <c r="F154" s="10">
        <f t="shared" si="37"/>
        <v>0.66</v>
      </c>
      <c r="G154" s="3">
        <f t="shared" si="35"/>
        <v>53.875</v>
      </c>
      <c r="H154" s="3">
        <f t="shared" si="30"/>
        <v>1</v>
      </c>
      <c r="I154" s="3">
        <f t="shared" si="40"/>
        <v>-0.62137380223026961</v>
      </c>
      <c r="J154" s="3">
        <f t="shared" si="41"/>
        <v>0.24556364849303625</v>
      </c>
      <c r="K154" s="3">
        <f t="shared" si="42"/>
        <v>0.9741363243038722</v>
      </c>
      <c r="L154" s="3">
        <f t="shared" si="47"/>
        <v>-2.6204021782559754E-2</v>
      </c>
      <c r="M154" s="9">
        <f t="shared" si="43"/>
        <v>0.61252900232018559</v>
      </c>
      <c r="N154" s="9">
        <f t="shared" si="44"/>
        <v>0.38747099767981441</v>
      </c>
      <c r="P154">
        <f t="shared" si="45"/>
        <v>323</v>
      </c>
      <c r="Q154">
        <f t="shared" si="46"/>
        <v>208.5</v>
      </c>
    </row>
    <row r="155" spans="1:17" x14ac:dyDescent="0.35">
      <c r="A155">
        <v>2023</v>
      </c>
      <c r="B155" s="3">
        <v>221</v>
      </c>
      <c r="C155" s="7">
        <v>26</v>
      </c>
      <c r="D155" s="3">
        <f t="shared" si="36"/>
        <v>27.625</v>
      </c>
      <c r="E155" s="10">
        <f t="shared" si="39"/>
        <v>0.55249999999999999</v>
      </c>
      <c r="F155" s="10">
        <f t="shared" si="37"/>
        <v>0.52</v>
      </c>
      <c r="G155" s="3">
        <f t="shared" si="35"/>
        <v>53.625</v>
      </c>
      <c r="H155" s="3">
        <f t="shared" si="30"/>
        <v>1</v>
      </c>
      <c r="I155" s="3">
        <f t="shared" si="40"/>
        <v>1.4014788757900944</v>
      </c>
      <c r="J155" s="3">
        <f t="shared" si="41"/>
        <v>-0.65217686188222801</v>
      </c>
      <c r="K155" s="3">
        <f t="shared" si="42"/>
        <v>0.98242731414496265</v>
      </c>
      <c r="L155" s="3">
        <f t="shared" si="47"/>
        <v>-1.7728918489446882E-2</v>
      </c>
      <c r="M155" s="9">
        <f t="shared" si="43"/>
        <v>0.48484848484848486</v>
      </c>
      <c r="N155" s="9">
        <f t="shared" si="44"/>
        <v>0.51515151515151514</v>
      </c>
      <c r="P155">
        <f t="shared" si="45"/>
        <v>39</v>
      </c>
      <c r="Q155">
        <f t="shared" si="46"/>
        <v>312.5</v>
      </c>
    </row>
    <row r="156" spans="1:17" x14ac:dyDescent="0.35">
      <c r="A156">
        <v>2023</v>
      </c>
      <c r="B156" s="3">
        <v>245</v>
      </c>
      <c r="C156" s="7">
        <v>23</v>
      </c>
      <c r="D156" s="3">
        <f t="shared" si="36"/>
        <v>30.625</v>
      </c>
      <c r="E156" s="10">
        <f t="shared" si="39"/>
        <v>0.61250000000000004</v>
      </c>
      <c r="F156" s="10">
        <f t="shared" si="37"/>
        <v>0.46</v>
      </c>
      <c r="G156" s="3">
        <f t="shared" si="35"/>
        <v>53.625</v>
      </c>
      <c r="H156" s="3">
        <f t="shared" si="30"/>
        <v>1</v>
      </c>
      <c r="I156" s="3">
        <f t="shared" si="40"/>
        <v>2.3005245104658116</v>
      </c>
      <c r="J156" s="3">
        <f t="shared" si="41"/>
        <v>-1.0369227949001982</v>
      </c>
      <c r="K156" s="3">
        <f t="shared" si="42"/>
        <v>0.98668317412380557</v>
      </c>
      <c r="L156" s="3">
        <f t="shared" si="47"/>
        <v>-1.3406289941210431E-2</v>
      </c>
      <c r="M156" s="9">
        <f t="shared" si="43"/>
        <v>0.42890442890442892</v>
      </c>
      <c r="N156" s="9">
        <f t="shared" si="44"/>
        <v>0.57109557109557108</v>
      </c>
      <c r="P156">
        <f t="shared" si="45"/>
        <v>11.5</v>
      </c>
      <c r="Q156">
        <f t="shared" si="46"/>
        <v>352.5</v>
      </c>
    </row>
    <row r="157" spans="1:17" x14ac:dyDescent="0.35">
      <c r="A157">
        <v>2023</v>
      </c>
      <c r="B157" s="3">
        <v>159</v>
      </c>
      <c r="C157" s="7">
        <v>33</v>
      </c>
      <c r="D157" s="3">
        <f t="shared" si="36"/>
        <v>19.875</v>
      </c>
      <c r="E157" s="10">
        <f t="shared" si="39"/>
        <v>0.39750000000000002</v>
      </c>
      <c r="F157" s="10">
        <f t="shared" si="37"/>
        <v>0.66</v>
      </c>
      <c r="G157" s="3">
        <f t="shared" si="35"/>
        <v>52.875</v>
      </c>
      <c r="H157" s="3">
        <f t="shared" si="30"/>
        <v>1</v>
      </c>
      <c r="I157" s="3">
        <f t="shared" si="40"/>
        <v>-0.92105568045550867</v>
      </c>
      <c r="J157" s="3">
        <f t="shared" si="41"/>
        <v>0.24556364849303625</v>
      </c>
      <c r="K157" s="3">
        <f t="shared" si="42"/>
        <v>0.92955978053994781</v>
      </c>
      <c r="L157" s="3">
        <f t="shared" si="47"/>
        <v>-7.3044159160449387E-2</v>
      </c>
      <c r="M157" s="9">
        <f t="shared" si="43"/>
        <v>0.62411347517730498</v>
      </c>
      <c r="N157" s="9">
        <f t="shared" si="44"/>
        <v>0.37588652482269502</v>
      </c>
      <c r="P157">
        <f t="shared" si="45"/>
        <v>378</v>
      </c>
      <c r="Q157">
        <f t="shared" si="46"/>
        <v>208.5</v>
      </c>
    </row>
    <row r="158" spans="1:17" x14ac:dyDescent="0.35">
      <c r="A158">
        <v>2023</v>
      </c>
      <c r="B158" s="3">
        <v>181</v>
      </c>
      <c r="C158" s="7">
        <v>30</v>
      </c>
      <c r="D158" s="3">
        <f t="shared" si="36"/>
        <v>22.625</v>
      </c>
      <c r="E158" s="10">
        <f t="shared" si="39"/>
        <v>0.45250000000000001</v>
      </c>
      <c r="F158" s="10">
        <f t="shared" si="37"/>
        <v>0.6</v>
      </c>
      <c r="G158" s="3">
        <f t="shared" si="35"/>
        <v>52.625</v>
      </c>
      <c r="H158" s="3">
        <f t="shared" ref="H158:H221" si="48">IF(G158&gt;=50,1,0)</f>
        <v>1</v>
      </c>
      <c r="I158" s="3">
        <f t="shared" si="40"/>
        <v>-9.6930515336101156E-2</v>
      </c>
      <c r="J158" s="3">
        <f t="shared" si="41"/>
        <v>-0.13918228452493411</v>
      </c>
      <c r="K158" s="3">
        <f t="shared" si="42"/>
        <v>0.93082266543140968</v>
      </c>
      <c r="L158" s="3">
        <f t="shared" si="47"/>
        <v>-7.1686497365499063E-2</v>
      </c>
      <c r="M158" s="9">
        <f t="shared" si="43"/>
        <v>0.57007125890736343</v>
      </c>
      <c r="N158" s="9">
        <f t="shared" si="44"/>
        <v>0.42992874109263657</v>
      </c>
      <c r="P158">
        <f t="shared" si="45"/>
        <v>209.5</v>
      </c>
      <c r="Q158">
        <f t="shared" si="46"/>
        <v>259</v>
      </c>
    </row>
    <row r="159" spans="1:17" x14ac:dyDescent="0.35">
      <c r="A159">
        <v>2023</v>
      </c>
      <c r="B159" s="3">
        <v>210</v>
      </c>
      <c r="C159" s="7">
        <v>26</v>
      </c>
      <c r="D159" s="3">
        <f t="shared" si="36"/>
        <v>26.25</v>
      </c>
      <c r="E159" s="10">
        <f t="shared" si="39"/>
        <v>0.52500000000000002</v>
      </c>
      <c r="F159" s="10">
        <f t="shared" si="37"/>
        <v>0.52</v>
      </c>
      <c r="G159" s="3">
        <f t="shared" si="35"/>
        <v>52.25</v>
      </c>
      <c r="H159" s="3">
        <f t="shared" si="48"/>
        <v>1</v>
      </c>
      <c r="I159" s="3">
        <f t="shared" si="40"/>
        <v>0.9894162932303906</v>
      </c>
      <c r="J159" s="3">
        <f t="shared" si="41"/>
        <v>-0.65217686188222801</v>
      </c>
      <c r="K159" s="3">
        <f t="shared" si="42"/>
        <v>0.92966983305535889</v>
      </c>
      <c r="L159" s="3">
        <f t="shared" si="47"/>
        <v>-7.2925774088767145E-2</v>
      </c>
      <c r="M159" s="9">
        <f t="shared" si="43"/>
        <v>0.49760765550239233</v>
      </c>
      <c r="N159" s="9">
        <f t="shared" si="44"/>
        <v>0.50239234449760761</v>
      </c>
      <c r="P159">
        <f t="shared" si="45"/>
        <v>52</v>
      </c>
      <c r="Q159">
        <f t="shared" si="46"/>
        <v>312.5</v>
      </c>
    </row>
    <row r="160" spans="1:17" x14ac:dyDescent="0.35">
      <c r="A160">
        <v>2023</v>
      </c>
      <c r="B160" s="3">
        <v>167</v>
      </c>
      <c r="C160" s="7">
        <v>31</v>
      </c>
      <c r="D160" s="3">
        <f t="shared" si="36"/>
        <v>20.875</v>
      </c>
      <c r="E160" s="10">
        <f t="shared" si="39"/>
        <v>0.41749999999999998</v>
      </c>
      <c r="F160" s="10">
        <f t="shared" si="37"/>
        <v>0.62</v>
      </c>
      <c r="G160" s="3">
        <f t="shared" si="35"/>
        <v>51.875</v>
      </c>
      <c r="H160" s="3">
        <f t="shared" si="48"/>
        <v>1</v>
      </c>
      <c r="I160" s="3">
        <f t="shared" si="40"/>
        <v>-0.62137380223026961</v>
      </c>
      <c r="J160" s="3">
        <f t="shared" si="41"/>
        <v>-1.0933640185610671E-2</v>
      </c>
      <c r="K160" s="3">
        <f t="shared" si="42"/>
        <v>0.84799247248333209</v>
      </c>
      <c r="L160" s="3">
        <f t="shared" si="47"/>
        <v>-0.16488352001815637</v>
      </c>
      <c r="M160" s="9">
        <f t="shared" si="43"/>
        <v>0.59759036144578315</v>
      </c>
      <c r="N160" s="9">
        <f t="shared" si="44"/>
        <v>0.40240963855421685</v>
      </c>
      <c r="P160">
        <f t="shared" si="45"/>
        <v>323</v>
      </c>
      <c r="Q160">
        <f t="shared" si="46"/>
        <v>239.5</v>
      </c>
    </row>
    <row r="161" spans="1:17" x14ac:dyDescent="0.35">
      <c r="A161">
        <v>2023</v>
      </c>
      <c r="B161" s="3">
        <v>164</v>
      </c>
      <c r="C161" s="7">
        <v>31</v>
      </c>
      <c r="D161" s="3">
        <f t="shared" si="36"/>
        <v>20.5</v>
      </c>
      <c r="E161" s="10">
        <f t="shared" si="39"/>
        <v>0.41</v>
      </c>
      <c r="F161" s="10">
        <f t="shared" si="37"/>
        <v>0.62</v>
      </c>
      <c r="G161" s="3">
        <f t="shared" si="35"/>
        <v>51.5</v>
      </c>
      <c r="H161" s="3">
        <f t="shared" si="48"/>
        <v>1</v>
      </c>
      <c r="I161" s="3">
        <f t="shared" si="40"/>
        <v>-0.73375450656473429</v>
      </c>
      <c r="J161" s="3">
        <f t="shared" si="41"/>
        <v>-1.0933640185610671E-2</v>
      </c>
      <c r="K161" s="3">
        <f t="shared" si="42"/>
        <v>0.79012098407401876</v>
      </c>
      <c r="L161" s="3">
        <f t="shared" si="47"/>
        <v>-0.23556920084898392</v>
      </c>
      <c r="M161" s="9">
        <f t="shared" si="43"/>
        <v>0.60194174757281549</v>
      </c>
      <c r="N161" s="9">
        <f t="shared" si="44"/>
        <v>0.39805825242718446</v>
      </c>
      <c r="P161">
        <f t="shared" si="45"/>
        <v>348.5</v>
      </c>
      <c r="Q161">
        <f t="shared" si="46"/>
        <v>239.5</v>
      </c>
    </row>
    <row r="162" spans="1:17" x14ac:dyDescent="0.35">
      <c r="A162">
        <v>2023</v>
      </c>
      <c r="B162" s="3">
        <v>146</v>
      </c>
      <c r="C162" s="7">
        <v>33</v>
      </c>
      <c r="D162" s="3">
        <f t="shared" si="36"/>
        <v>18.25</v>
      </c>
      <c r="E162" s="10">
        <f t="shared" si="39"/>
        <v>0.36499999999999999</v>
      </c>
      <c r="F162" s="10">
        <f t="shared" si="37"/>
        <v>0.66</v>
      </c>
      <c r="G162" s="3">
        <f t="shared" si="35"/>
        <v>51.25</v>
      </c>
      <c r="H162" s="3">
        <f t="shared" si="48"/>
        <v>1</v>
      </c>
      <c r="I162" s="3">
        <f t="shared" si="40"/>
        <v>-1.4080387325715222</v>
      </c>
      <c r="J162" s="3">
        <f t="shared" si="41"/>
        <v>0.24556364849303625</v>
      </c>
      <c r="K162" s="3">
        <f t="shared" si="42"/>
        <v>0.7059310982718624</v>
      </c>
      <c r="L162" s="3">
        <f t="shared" si="47"/>
        <v>-0.34823764076732522</v>
      </c>
      <c r="M162" s="9">
        <f t="shared" si="43"/>
        <v>0.64390243902439026</v>
      </c>
      <c r="N162" s="9">
        <f t="shared" si="44"/>
        <v>0.35609756097560974</v>
      </c>
      <c r="P162">
        <f t="shared" si="45"/>
        <v>417</v>
      </c>
      <c r="Q162">
        <f t="shared" si="46"/>
        <v>208.5</v>
      </c>
    </row>
    <row r="163" spans="1:17" x14ac:dyDescent="0.35">
      <c r="A163">
        <v>2023</v>
      </c>
      <c r="B163" s="3">
        <v>162</v>
      </c>
      <c r="C163" s="7">
        <v>31</v>
      </c>
      <c r="D163" s="3">
        <f t="shared" si="36"/>
        <v>20.25</v>
      </c>
      <c r="E163" s="10">
        <f t="shared" si="39"/>
        <v>0.40500000000000003</v>
      </c>
      <c r="F163" s="10">
        <f t="shared" si="37"/>
        <v>0.62</v>
      </c>
      <c r="G163" s="3">
        <f t="shared" si="35"/>
        <v>51.25</v>
      </c>
      <c r="H163" s="3">
        <f t="shared" si="48"/>
        <v>1</v>
      </c>
      <c r="I163" s="3">
        <f t="shared" si="40"/>
        <v>-0.808674976121044</v>
      </c>
      <c r="J163" s="3">
        <f t="shared" si="41"/>
        <v>-1.0933640185610671E-2</v>
      </c>
      <c r="K163" s="3">
        <f t="shared" si="42"/>
        <v>0.74335188133454533</v>
      </c>
      <c r="L163" s="3">
        <f t="shared" si="47"/>
        <v>-0.29658575103939178</v>
      </c>
      <c r="M163" s="9">
        <f t="shared" si="43"/>
        <v>0.60487804878048779</v>
      </c>
      <c r="N163" s="9">
        <f t="shared" si="44"/>
        <v>0.39512195121951221</v>
      </c>
      <c r="P163">
        <f t="shared" si="45"/>
        <v>364.5</v>
      </c>
      <c r="Q163">
        <f t="shared" si="46"/>
        <v>239.5</v>
      </c>
    </row>
    <row r="164" spans="1:17" x14ac:dyDescent="0.35">
      <c r="A164">
        <v>2023</v>
      </c>
      <c r="B164" s="3">
        <v>167</v>
      </c>
      <c r="C164" s="7">
        <v>30</v>
      </c>
      <c r="D164" s="3">
        <f t="shared" si="36"/>
        <v>20.875</v>
      </c>
      <c r="E164" s="10">
        <f t="shared" si="39"/>
        <v>0.41749999999999998</v>
      </c>
      <c r="F164" s="10">
        <f t="shared" si="37"/>
        <v>0.6</v>
      </c>
      <c r="G164" s="3">
        <f t="shared" si="35"/>
        <v>50.875</v>
      </c>
      <c r="H164" s="3">
        <f t="shared" si="48"/>
        <v>1</v>
      </c>
      <c r="I164" s="3">
        <f t="shared" si="40"/>
        <v>-0.62137380223026961</v>
      </c>
      <c r="J164" s="3">
        <f t="shared" si="41"/>
        <v>-0.13918228452493411</v>
      </c>
      <c r="K164" s="3">
        <f t="shared" si="42"/>
        <v>0.6822338378040258</v>
      </c>
      <c r="L164" s="3">
        <f t="shared" si="47"/>
        <v>-0.38238280922500439</v>
      </c>
      <c r="M164" s="9">
        <f t="shared" si="43"/>
        <v>0.58968058968058967</v>
      </c>
      <c r="N164" s="9">
        <f t="shared" si="44"/>
        <v>0.41031941031941033</v>
      </c>
      <c r="P164">
        <f t="shared" si="45"/>
        <v>323</v>
      </c>
      <c r="Q164">
        <f t="shared" si="46"/>
        <v>259</v>
      </c>
    </row>
    <row r="165" spans="1:17" x14ac:dyDescent="0.35">
      <c r="A165">
        <v>2023</v>
      </c>
      <c r="B165" s="3">
        <v>166</v>
      </c>
      <c r="C165" s="7">
        <v>30</v>
      </c>
      <c r="D165" s="3">
        <f t="shared" si="36"/>
        <v>20.75</v>
      </c>
      <c r="E165" s="10">
        <f t="shared" si="39"/>
        <v>0.41499999999999998</v>
      </c>
      <c r="F165" s="10">
        <f t="shared" si="37"/>
        <v>0.6</v>
      </c>
      <c r="G165" s="3">
        <f t="shared" si="35"/>
        <v>50.75</v>
      </c>
      <c r="H165" s="3">
        <f t="shared" si="48"/>
        <v>1</v>
      </c>
      <c r="I165" s="3">
        <f t="shared" si="40"/>
        <v>-0.65883403700842447</v>
      </c>
      <c r="J165" s="3">
        <f t="shared" si="41"/>
        <v>-0.13918228452493411</v>
      </c>
      <c r="K165" s="3">
        <f t="shared" si="42"/>
        <v>0.65316057164995234</v>
      </c>
      <c r="L165" s="3">
        <f t="shared" si="47"/>
        <v>-0.42593228154179658</v>
      </c>
      <c r="M165" s="9">
        <f t="shared" si="43"/>
        <v>0.59113300492610843</v>
      </c>
      <c r="N165" s="9">
        <f t="shared" si="44"/>
        <v>0.40886699507389163</v>
      </c>
      <c r="P165">
        <f t="shared" si="45"/>
        <v>334.5</v>
      </c>
      <c r="Q165">
        <f t="shared" si="46"/>
        <v>259</v>
      </c>
    </row>
    <row r="166" spans="1:17" x14ac:dyDescent="0.35">
      <c r="A166">
        <v>2023</v>
      </c>
      <c r="B166" s="3">
        <v>221</v>
      </c>
      <c r="C166" s="7">
        <v>23</v>
      </c>
      <c r="D166" s="3">
        <f t="shared" si="36"/>
        <v>27.625</v>
      </c>
      <c r="E166" s="10">
        <f t="shared" si="39"/>
        <v>0.55249999999999999</v>
      </c>
      <c r="F166" s="10">
        <f t="shared" si="37"/>
        <v>0.46</v>
      </c>
      <c r="G166" s="3">
        <f t="shared" si="35"/>
        <v>50.625</v>
      </c>
      <c r="H166" s="3">
        <f t="shared" si="48"/>
        <v>1</v>
      </c>
      <c r="I166" s="3">
        <f t="shared" si="40"/>
        <v>1.4014788757900944</v>
      </c>
      <c r="J166" s="3">
        <f t="shared" si="41"/>
        <v>-1.0369227949001982</v>
      </c>
      <c r="K166" s="3">
        <f t="shared" si="42"/>
        <v>0.76115560616951983</v>
      </c>
      <c r="L166" s="3">
        <f t="shared" si="47"/>
        <v>-0.27291746611016032</v>
      </c>
      <c r="M166" s="9">
        <f t="shared" si="43"/>
        <v>0.454320987654321</v>
      </c>
      <c r="N166" s="9">
        <f t="shared" si="44"/>
        <v>0.54567901234567906</v>
      </c>
      <c r="P166">
        <f t="shared" si="45"/>
        <v>39</v>
      </c>
      <c r="Q166">
        <f t="shared" si="46"/>
        <v>352.5</v>
      </c>
    </row>
    <row r="167" spans="1:17" x14ac:dyDescent="0.35">
      <c r="A167">
        <v>2023</v>
      </c>
      <c r="B167" s="3">
        <v>217</v>
      </c>
      <c r="C167" s="7">
        <v>23</v>
      </c>
      <c r="D167" s="3">
        <f t="shared" si="36"/>
        <v>27.125</v>
      </c>
      <c r="E167" s="10">
        <f t="shared" si="39"/>
        <v>0.54249999999999998</v>
      </c>
      <c r="F167" s="10">
        <f t="shared" si="37"/>
        <v>0.46</v>
      </c>
      <c r="G167" s="3">
        <f t="shared" si="35"/>
        <v>50.125</v>
      </c>
      <c r="H167" s="3">
        <f t="shared" si="48"/>
        <v>1</v>
      </c>
      <c r="I167" s="3">
        <f t="shared" si="40"/>
        <v>1.2516379366774748</v>
      </c>
      <c r="J167" s="3">
        <f t="shared" si="41"/>
        <v>-1.0369227949001982</v>
      </c>
      <c r="K167" s="3">
        <f t="shared" si="42"/>
        <v>0.65354150778560938</v>
      </c>
      <c r="L167" s="3">
        <f t="shared" si="47"/>
        <v>-0.42534923181310386</v>
      </c>
      <c r="M167" s="9">
        <f t="shared" si="43"/>
        <v>0.45885286783042395</v>
      </c>
      <c r="N167" s="9">
        <f t="shared" si="44"/>
        <v>0.54114713216957611</v>
      </c>
      <c r="P167">
        <f t="shared" si="45"/>
        <v>44.5</v>
      </c>
      <c r="Q167">
        <f t="shared" si="46"/>
        <v>352.5</v>
      </c>
    </row>
    <row r="168" spans="1:17" x14ac:dyDescent="0.35">
      <c r="A168">
        <v>2023</v>
      </c>
      <c r="B168" s="3">
        <v>167</v>
      </c>
      <c r="C168" s="7">
        <v>29</v>
      </c>
      <c r="D168" s="3">
        <f t="shared" si="36"/>
        <v>20.875</v>
      </c>
      <c r="E168" s="10">
        <f t="shared" si="39"/>
        <v>0.41749999999999998</v>
      </c>
      <c r="F168" s="10">
        <f t="shared" si="37"/>
        <v>0.57999999999999996</v>
      </c>
      <c r="G168" s="3">
        <f t="shared" si="35"/>
        <v>49.875</v>
      </c>
      <c r="H168" s="3">
        <f t="shared" si="48"/>
        <v>0</v>
      </c>
      <c r="I168" s="3">
        <f t="shared" si="40"/>
        <v>-0.62137380223026961</v>
      </c>
      <c r="J168" s="3">
        <f t="shared" si="41"/>
        <v>-0.26743092886425757</v>
      </c>
      <c r="K168" s="3">
        <f t="shared" si="42"/>
        <v>0.4524371668225437</v>
      </c>
      <c r="L168" s="3">
        <f t="shared" si="47"/>
        <v>-0.60227806008190099</v>
      </c>
      <c r="M168" s="9">
        <f t="shared" si="43"/>
        <v>0.581453634085213</v>
      </c>
      <c r="N168" s="9">
        <f t="shared" si="44"/>
        <v>0.41854636591478694</v>
      </c>
      <c r="P168">
        <f t="shared" si="45"/>
        <v>323</v>
      </c>
      <c r="Q168">
        <f t="shared" si="46"/>
        <v>272.5</v>
      </c>
    </row>
    <row r="169" spans="1:17" x14ac:dyDescent="0.35">
      <c r="A169">
        <v>2023</v>
      </c>
      <c r="B169" s="3">
        <v>199</v>
      </c>
      <c r="C169" s="7">
        <v>25</v>
      </c>
      <c r="D169" s="3">
        <f t="shared" si="36"/>
        <v>24.875</v>
      </c>
      <c r="E169" s="10">
        <f t="shared" si="39"/>
        <v>0.4975</v>
      </c>
      <c r="F169" s="10">
        <f t="shared" si="37"/>
        <v>0.5</v>
      </c>
      <c r="G169" s="3">
        <f t="shared" si="35"/>
        <v>49.875</v>
      </c>
      <c r="H169" s="3">
        <f t="shared" si="48"/>
        <v>0</v>
      </c>
      <c r="I169" s="3">
        <f t="shared" si="40"/>
        <v>0.57735371067068686</v>
      </c>
      <c r="J169" s="3">
        <f t="shared" si="41"/>
        <v>-0.78042550622155138</v>
      </c>
      <c r="K169" s="3">
        <f t="shared" si="42"/>
        <v>0.54604213009540115</v>
      </c>
      <c r="L169" s="3">
        <f t="shared" si="47"/>
        <v>-0.78975088281371253</v>
      </c>
      <c r="M169" s="9">
        <f t="shared" si="43"/>
        <v>0.50125313283208017</v>
      </c>
      <c r="N169" s="9">
        <f t="shared" si="44"/>
        <v>0.49874686716791977</v>
      </c>
      <c r="P169">
        <f t="shared" si="45"/>
        <v>91.5</v>
      </c>
      <c r="Q169">
        <f t="shared" si="46"/>
        <v>326</v>
      </c>
    </row>
    <row r="170" spans="1:17" x14ac:dyDescent="0.35">
      <c r="A170">
        <v>2023</v>
      </c>
      <c r="B170" s="3">
        <v>194</v>
      </c>
      <c r="C170" s="7">
        <v>25</v>
      </c>
      <c r="D170" s="3">
        <f t="shared" si="36"/>
        <v>24.25</v>
      </c>
      <c r="E170" s="10">
        <f t="shared" si="39"/>
        <v>0.48499999999999999</v>
      </c>
      <c r="F170" s="10">
        <f t="shared" si="37"/>
        <v>0.5</v>
      </c>
      <c r="G170" s="3">
        <f t="shared" si="35"/>
        <v>49.25</v>
      </c>
      <c r="H170" s="3">
        <f t="shared" si="48"/>
        <v>0</v>
      </c>
      <c r="I170" s="3">
        <f t="shared" si="40"/>
        <v>0.39005253677991242</v>
      </c>
      <c r="J170" s="3">
        <f t="shared" si="41"/>
        <v>-0.78042550622155138</v>
      </c>
      <c r="K170" s="3">
        <f t="shared" si="42"/>
        <v>0.38443012805522475</v>
      </c>
      <c r="L170" s="3">
        <f t="shared" si="47"/>
        <v>-0.48520681917546477</v>
      </c>
      <c r="M170" s="9">
        <f t="shared" si="43"/>
        <v>0.50761421319796951</v>
      </c>
      <c r="N170" s="9">
        <f t="shared" si="44"/>
        <v>0.49238578680203043</v>
      </c>
      <c r="P170">
        <f t="shared" si="45"/>
        <v>120</v>
      </c>
      <c r="Q170">
        <f t="shared" si="46"/>
        <v>326</v>
      </c>
    </row>
    <row r="171" spans="1:17" x14ac:dyDescent="0.35">
      <c r="A171">
        <v>2023</v>
      </c>
      <c r="B171" s="3">
        <v>176</v>
      </c>
      <c r="C171" s="7">
        <v>27</v>
      </c>
      <c r="D171" s="3">
        <f t="shared" si="36"/>
        <v>22</v>
      </c>
      <c r="E171" s="10">
        <f t="shared" si="39"/>
        <v>0.44</v>
      </c>
      <c r="F171" s="10">
        <f t="shared" si="37"/>
        <v>0.54</v>
      </c>
      <c r="G171" s="3">
        <f t="shared" si="35"/>
        <v>49</v>
      </c>
      <c r="H171" s="3">
        <f t="shared" si="48"/>
        <v>0</v>
      </c>
      <c r="I171" s="3">
        <f t="shared" si="40"/>
        <v>-0.28423168922687558</v>
      </c>
      <c r="J171" s="3">
        <f t="shared" si="41"/>
        <v>-0.52392821754290453</v>
      </c>
      <c r="K171" s="3">
        <f t="shared" si="42"/>
        <v>0.28480760703252367</v>
      </c>
      <c r="L171" s="3">
        <f t="shared" si="47"/>
        <v>-0.33520369141055495</v>
      </c>
      <c r="M171" s="9">
        <f t="shared" si="43"/>
        <v>0.55102040816326525</v>
      </c>
      <c r="N171" s="9">
        <f t="shared" si="44"/>
        <v>0.44897959183673469</v>
      </c>
      <c r="P171">
        <f t="shared" si="45"/>
        <v>245.5</v>
      </c>
      <c r="Q171">
        <f t="shared" si="46"/>
        <v>294.5</v>
      </c>
    </row>
    <row r="172" spans="1:17" x14ac:dyDescent="0.35">
      <c r="A172">
        <v>2023</v>
      </c>
      <c r="B172" s="3">
        <v>183</v>
      </c>
      <c r="C172" s="7">
        <v>26</v>
      </c>
      <c r="D172" s="3">
        <f t="shared" si="36"/>
        <v>22.875</v>
      </c>
      <c r="E172" s="10">
        <f t="shared" si="39"/>
        <v>0.45750000000000002</v>
      </c>
      <c r="F172" s="10">
        <f t="shared" si="37"/>
        <v>0.52</v>
      </c>
      <c r="G172" s="3">
        <f t="shared" si="35"/>
        <v>48.875</v>
      </c>
      <c r="H172" s="3">
        <f t="shared" si="48"/>
        <v>0</v>
      </c>
      <c r="I172" s="3">
        <f t="shared" si="40"/>
        <v>-2.2010045779791373E-2</v>
      </c>
      <c r="J172" s="3">
        <f t="shared" si="41"/>
        <v>-0.65217686188222801</v>
      </c>
      <c r="K172" s="3">
        <f t="shared" si="42"/>
        <v>0.27728816290759634</v>
      </c>
      <c r="L172" s="3">
        <f t="shared" si="47"/>
        <v>-0.324744701842413</v>
      </c>
      <c r="M172" s="9">
        <f t="shared" si="43"/>
        <v>0.53196930946291565</v>
      </c>
      <c r="N172" s="9">
        <f t="shared" si="44"/>
        <v>0.4680306905370844</v>
      </c>
      <c r="P172">
        <f t="shared" si="45"/>
        <v>197</v>
      </c>
      <c r="Q172">
        <f t="shared" si="46"/>
        <v>312.5</v>
      </c>
    </row>
    <row r="173" spans="1:17" x14ac:dyDescent="0.35">
      <c r="A173">
        <v>2023</v>
      </c>
      <c r="B173" s="3">
        <v>174</v>
      </c>
      <c r="C173" s="7">
        <v>27</v>
      </c>
      <c r="D173" s="3">
        <f t="shared" si="36"/>
        <v>21.75</v>
      </c>
      <c r="E173" s="10">
        <f t="shared" si="39"/>
        <v>0.435</v>
      </c>
      <c r="F173" s="10">
        <f t="shared" si="37"/>
        <v>0.54</v>
      </c>
      <c r="G173" s="3">
        <f t="shared" si="35"/>
        <v>48.75</v>
      </c>
      <c r="H173" s="3">
        <f t="shared" si="48"/>
        <v>0</v>
      </c>
      <c r="I173" s="3">
        <f t="shared" si="40"/>
        <v>-0.3591521587831854</v>
      </c>
      <c r="J173" s="3">
        <f t="shared" si="41"/>
        <v>-0.52392821754290453</v>
      </c>
      <c r="K173" s="3">
        <f t="shared" si="42"/>
        <v>0.2345259706998597</v>
      </c>
      <c r="L173" s="3">
        <f t="shared" si="47"/>
        <v>-0.26725999091302893</v>
      </c>
      <c r="M173" s="9">
        <f t="shared" si="43"/>
        <v>0.55384615384615388</v>
      </c>
      <c r="N173" s="9">
        <f t="shared" si="44"/>
        <v>0.44615384615384618</v>
      </c>
      <c r="P173">
        <f t="shared" si="45"/>
        <v>261</v>
      </c>
      <c r="Q173">
        <f t="shared" si="46"/>
        <v>294.5</v>
      </c>
    </row>
    <row r="174" spans="1:17" x14ac:dyDescent="0.35">
      <c r="A174">
        <v>2023</v>
      </c>
      <c r="B174" s="3">
        <v>169</v>
      </c>
      <c r="C174" s="7">
        <v>27</v>
      </c>
      <c r="D174" s="3">
        <f t="shared" si="36"/>
        <v>21.125</v>
      </c>
      <c r="E174" s="10">
        <f t="shared" si="39"/>
        <v>0.42249999999999999</v>
      </c>
      <c r="F174" s="10">
        <f t="shared" si="37"/>
        <v>0.54</v>
      </c>
      <c r="G174" s="3">
        <f t="shared" si="35"/>
        <v>48.125</v>
      </c>
      <c r="H174" s="3">
        <f t="shared" si="48"/>
        <v>0</v>
      </c>
      <c r="I174" s="3">
        <f t="shared" si="40"/>
        <v>-0.54645333267395979</v>
      </c>
      <c r="J174" s="3">
        <f t="shared" si="41"/>
        <v>-0.52392821754290453</v>
      </c>
      <c r="K174" s="3">
        <f t="shared" si="42"/>
        <v>0.13723979051865967</v>
      </c>
      <c r="L174" s="3">
        <f t="shared" si="47"/>
        <v>-0.14761848342426984</v>
      </c>
      <c r="M174" s="9">
        <f t="shared" si="43"/>
        <v>0.561038961038961</v>
      </c>
      <c r="N174" s="9">
        <f t="shared" si="44"/>
        <v>0.43896103896103894</v>
      </c>
      <c r="P174">
        <f t="shared" si="45"/>
        <v>299</v>
      </c>
      <c r="Q174">
        <f t="shared" si="46"/>
        <v>294.5</v>
      </c>
    </row>
    <row r="175" spans="1:17" x14ac:dyDescent="0.35">
      <c r="A175">
        <v>2023</v>
      </c>
      <c r="B175" s="3">
        <v>168</v>
      </c>
      <c r="C175" s="7">
        <v>27</v>
      </c>
      <c r="D175" s="3">
        <f t="shared" si="36"/>
        <v>21</v>
      </c>
      <c r="E175" s="10">
        <f t="shared" si="39"/>
        <v>0.42</v>
      </c>
      <c r="F175" s="10">
        <f t="shared" si="37"/>
        <v>0.54</v>
      </c>
      <c r="G175" s="3">
        <f t="shared" si="35"/>
        <v>48</v>
      </c>
      <c r="H175" s="3">
        <f t="shared" si="48"/>
        <v>0</v>
      </c>
      <c r="I175" s="3">
        <f t="shared" si="40"/>
        <v>-0.58391356745211476</v>
      </c>
      <c r="J175" s="3">
        <f t="shared" si="41"/>
        <v>-0.52392821754290453</v>
      </c>
      <c r="K175" s="3">
        <f t="shared" si="42"/>
        <v>0.12244230818962645</v>
      </c>
      <c r="L175" s="3">
        <f t="shared" si="47"/>
        <v>-0.13061258015041952</v>
      </c>
      <c r="M175" s="9">
        <f t="shared" si="43"/>
        <v>0.5625</v>
      </c>
      <c r="N175" s="9">
        <f t="shared" si="44"/>
        <v>0.4375</v>
      </c>
      <c r="P175">
        <f t="shared" si="45"/>
        <v>311.5</v>
      </c>
      <c r="Q175">
        <f t="shared" si="46"/>
        <v>294.5</v>
      </c>
    </row>
    <row r="176" spans="1:17" x14ac:dyDescent="0.35">
      <c r="A176">
        <v>2023</v>
      </c>
      <c r="B176" s="3">
        <v>169</v>
      </c>
      <c r="C176" s="7">
        <v>26</v>
      </c>
      <c r="D176" s="3">
        <f t="shared" si="36"/>
        <v>21.125</v>
      </c>
      <c r="E176" s="10">
        <f t="shared" si="39"/>
        <v>0.42249999999999999</v>
      </c>
      <c r="F176" s="10">
        <f t="shared" si="37"/>
        <v>0.52</v>
      </c>
      <c r="G176" s="3">
        <f t="shared" ref="G176:G230" si="49">SUM(D176 + C176)</f>
        <v>47.125</v>
      </c>
      <c r="H176" s="3">
        <f t="shared" si="48"/>
        <v>0</v>
      </c>
      <c r="I176" s="3">
        <f t="shared" si="40"/>
        <v>-0.54645333267395979</v>
      </c>
      <c r="J176" s="3">
        <f t="shared" si="41"/>
        <v>-0.65217686188222801</v>
      </c>
      <c r="K176" s="3">
        <f t="shared" si="42"/>
        <v>5.7687735083662435E-2</v>
      </c>
      <c r="L176" s="3">
        <f t="shared" si="47"/>
        <v>-5.941856791829779E-2</v>
      </c>
      <c r="M176" s="9">
        <f t="shared" si="43"/>
        <v>0.55172413793103448</v>
      </c>
      <c r="N176" s="9">
        <f t="shared" si="44"/>
        <v>0.44827586206896552</v>
      </c>
      <c r="P176">
        <f t="shared" si="45"/>
        <v>299</v>
      </c>
      <c r="Q176">
        <f t="shared" si="46"/>
        <v>312.5</v>
      </c>
    </row>
    <row r="177" spans="1:17" x14ac:dyDescent="0.35">
      <c r="A177">
        <v>2023</v>
      </c>
      <c r="B177" s="3">
        <v>187</v>
      </c>
      <c r="C177" s="7">
        <v>23</v>
      </c>
      <c r="D177" s="3">
        <f t="shared" si="36"/>
        <v>23.375</v>
      </c>
      <c r="E177" s="10">
        <f t="shared" si="39"/>
        <v>0.46750000000000003</v>
      </c>
      <c r="F177" s="10">
        <f t="shared" si="37"/>
        <v>0.46</v>
      </c>
      <c r="G177" s="3">
        <f t="shared" si="49"/>
        <v>46.375</v>
      </c>
      <c r="H177" s="3">
        <f t="shared" si="48"/>
        <v>0</v>
      </c>
      <c r="I177" s="3">
        <f t="shared" si="40"/>
        <v>0.12783089333282818</v>
      </c>
      <c r="J177" s="3">
        <f t="shared" si="41"/>
        <v>-1.0369227949001982</v>
      </c>
      <c r="K177" s="3">
        <f t="shared" si="42"/>
        <v>3.5632103084811198E-2</v>
      </c>
      <c r="L177" s="3">
        <f t="shared" si="47"/>
        <v>-3.6282421371874624E-2</v>
      </c>
      <c r="M177" s="9">
        <f t="shared" si="43"/>
        <v>0.49595687331536387</v>
      </c>
      <c r="N177" s="9">
        <f t="shared" si="44"/>
        <v>0.50404312668463613</v>
      </c>
      <c r="P177">
        <f t="shared" si="45"/>
        <v>163</v>
      </c>
      <c r="Q177">
        <f t="shared" si="46"/>
        <v>352.5</v>
      </c>
    </row>
    <row r="178" spans="1:17" x14ac:dyDescent="0.35">
      <c r="A178">
        <v>2023</v>
      </c>
      <c r="B178" s="3">
        <v>184</v>
      </c>
      <c r="C178" s="7">
        <v>23</v>
      </c>
      <c r="D178" s="3">
        <f t="shared" ref="D178:D232" si="50">B178 / 8</f>
        <v>23</v>
      </c>
      <c r="E178" s="10">
        <f t="shared" si="39"/>
        <v>0.46</v>
      </c>
      <c r="F178" s="10">
        <f t="shared" ref="F178:F232" si="51">C178 / 50</f>
        <v>0.46</v>
      </c>
      <c r="G178" s="3">
        <f t="shared" si="49"/>
        <v>46</v>
      </c>
      <c r="H178" s="3">
        <f t="shared" si="48"/>
        <v>0</v>
      </c>
      <c r="I178" s="3">
        <f t="shared" si="40"/>
        <v>1.5450188998363515E-2</v>
      </c>
      <c r="J178" s="3">
        <f t="shared" si="41"/>
        <v>-1.0369227949001982</v>
      </c>
      <c r="K178" s="3">
        <f t="shared" si="42"/>
        <v>2.4327662279289421E-2</v>
      </c>
      <c r="L178" s="3">
        <f t="shared" si="47"/>
        <v>-2.4628468483920318E-2</v>
      </c>
      <c r="M178" s="9">
        <f t="shared" si="43"/>
        <v>0.5</v>
      </c>
      <c r="N178" s="9">
        <f t="shared" si="44"/>
        <v>0.5</v>
      </c>
      <c r="P178">
        <f t="shared" si="45"/>
        <v>188.5</v>
      </c>
      <c r="Q178">
        <f t="shared" si="46"/>
        <v>352.5</v>
      </c>
    </row>
    <row r="179" spans="1:17" x14ac:dyDescent="0.35">
      <c r="A179">
        <v>2023</v>
      </c>
      <c r="B179" s="3">
        <v>160</v>
      </c>
      <c r="C179" s="7">
        <v>26</v>
      </c>
      <c r="D179" s="3">
        <f t="shared" si="50"/>
        <v>20</v>
      </c>
      <c r="E179" s="10">
        <f t="shared" si="39"/>
        <v>0.4</v>
      </c>
      <c r="F179" s="10">
        <f t="shared" si="51"/>
        <v>0.52</v>
      </c>
      <c r="G179" s="3">
        <f t="shared" si="49"/>
        <v>46</v>
      </c>
      <c r="H179" s="3">
        <f t="shared" si="48"/>
        <v>0</v>
      </c>
      <c r="I179" s="3">
        <f t="shared" si="40"/>
        <v>-0.88359544567735382</v>
      </c>
      <c r="J179" s="3">
        <f t="shared" si="41"/>
        <v>-0.65217686188222801</v>
      </c>
      <c r="K179" s="3">
        <f t="shared" si="42"/>
        <v>1.8466592017838006E-2</v>
      </c>
      <c r="L179" s="3">
        <f t="shared" si="47"/>
        <v>-1.86392281656622E-2</v>
      </c>
      <c r="M179" s="9">
        <f t="shared" si="43"/>
        <v>0.56521739130434778</v>
      </c>
      <c r="N179" s="9">
        <f t="shared" si="44"/>
        <v>0.43478260869565216</v>
      </c>
      <c r="P179">
        <f t="shared" si="45"/>
        <v>374.5</v>
      </c>
      <c r="Q179">
        <f t="shared" si="46"/>
        <v>312.5</v>
      </c>
    </row>
    <row r="180" spans="1:17" x14ac:dyDescent="0.35">
      <c r="A180">
        <v>2023</v>
      </c>
      <c r="B180" s="3">
        <v>197</v>
      </c>
      <c r="C180" s="7">
        <v>21</v>
      </c>
      <c r="D180" s="3">
        <f t="shared" si="50"/>
        <v>24.625</v>
      </c>
      <c r="E180" s="10">
        <f t="shared" si="39"/>
        <v>0.49249999999999999</v>
      </c>
      <c r="F180" s="10">
        <f t="shared" si="51"/>
        <v>0.42</v>
      </c>
      <c r="G180" s="3">
        <f t="shared" si="49"/>
        <v>45.625</v>
      </c>
      <c r="H180" s="3">
        <f t="shared" si="48"/>
        <v>0</v>
      </c>
      <c r="I180" s="3">
        <f t="shared" si="40"/>
        <v>0.50243324111437704</v>
      </c>
      <c r="J180" s="3">
        <f t="shared" si="41"/>
        <v>-1.2934200835788452</v>
      </c>
      <c r="K180" s="3">
        <f t="shared" si="42"/>
        <v>1.9897957563187137E-2</v>
      </c>
      <c r="L180" s="3">
        <f t="shared" si="47"/>
        <v>-2.0098587802620933E-2</v>
      </c>
      <c r="M180" s="9">
        <f t="shared" si="43"/>
        <v>0.46027397260273972</v>
      </c>
      <c r="N180" s="9">
        <f t="shared" si="44"/>
        <v>0.53972602739726028</v>
      </c>
      <c r="P180">
        <f t="shared" si="45"/>
        <v>102.5</v>
      </c>
      <c r="Q180">
        <f t="shared" si="46"/>
        <v>378.5</v>
      </c>
    </row>
    <row r="181" spans="1:17" x14ac:dyDescent="0.35">
      <c r="A181">
        <v>2023</v>
      </c>
      <c r="B181" s="3">
        <v>195</v>
      </c>
      <c r="C181" s="7">
        <v>21</v>
      </c>
      <c r="D181" s="3">
        <f t="shared" si="50"/>
        <v>24.375</v>
      </c>
      <c r="E181" s="10">
        <f t="shared" si="39"/>
        <v>0.48749999999999999</v>
      </c>
      <c r="F181" s="10">
        <f t="shared" si="51"/>
        <v>0.42</v>
      </c>
      <c r="G181" s="3">
        <f t="shared" si="49"/>
        <v>45.375</v>
      </c>
      <c r="H181" s="3">
        <f t="shared" si="48"/>
        <v>0</v>
      </c>
      <c r="I181" s="3">
        <f t="shared" si="40"/>
        <v>0.42751277155806727</v>
      </c>
      <c r="J181" s="3">
        <f t="shared" si="41"/>
        <v>-1.2934200835788452</v>
      </c>
      <c r="K181" s="3">
        <f t="shared" si="42"/>
        <v>1.5379348199410187E-2</v>
      </c>
      <c r="L181" s="3">
        <f t="shared" si="47"/>
        <v>-1.5498837065299708E-2</v>
      </c>
      <c r="M181" s="9">
        <f t="shared" si="43"/>
        <v>0.46280991735537191</v>
      </c>
      <c r="N181" s="9">
        <f t="shared" si="44"/>
        <v>0.53719008264462809</v>
      </c>
      <c r="P181">
        <f t="shared" si="45"/>
        <v>113.5</v>
      </c>
      <c r="Q181">
        <f t="shared" si="46"/>
        <v>378.5</v>
      </c>
    </row>
    <row r="182" spans="1:17" x14ac:dyDescent="0.35">
      <c r="A182">
        <v>2023</v>
      </c>
      <c r="B182" s="3">
        <v>195</v>
      </c>
      <c r="C182" s="7">
        <v>21</v>
      </c>
      <c r="D182" s="3">
        <f t="shared" si="50"/>
        <v>24.375</v>
      </c>
      <c r="E182" s="10">
        <f t="shared" ref="E182:E236" si="52">B182 / 400</f>
        <v>0.48749999999999999</v>
      </c>
      <c r="F182" s="10">
        <f t="shared" si="51"/>
        <v>0.42</v>
      </c>
      <c r="G182" s="3">
        <f t="shared" si="49"/>
        <v>45.375</v>
      </c>
      <c r="H182" s="3">
        <f t="shared" si="48"/>
        <v>0</v>
      </c>
      <c r="I182" s="3">
        <f t="shared" si="40"/>
        <v>0.42751277155806727</v>
      </c>
      <c r="J182" s="3">
        <f t="shared" si="41"/>
        <v>-1.2934200835788452</v>
      </c>
      <c r="K182" s="3">
        <f t="shared" si="42"/>
        <v>1.5379348199410187E-2</v>
      </c>
      <c r="L182" s="3">
        <f t="shared" si="47"/>
        <v>-1.5498837065299708E-2</v>
      </c>
      <c r="M182" s="9">
        <f t="shared" si="43"/>
        <v>0.46280991735537191</v>
      </c>
      <c r="N182" s="9">
        <f t="shared" si="44"/>
        <v>0.53719008264462809</v>
      </c>
      <c r="P182">
        <f t="shared" si="45"/>
        <v>113.5</v>
      </c>
      <c r="Q182">
        <f t="shared" si="46"/>
        <v>378.5</v>
      </c>
    </row>
    <row r="183" spans="1:17" x14ac:dyDescent="0.35">
      <c r="A183">
        <v>2023</v>
      </c>
      <c r="B183" s="3">
        <v>154</v>
      </c>
      <c r="C183" s="7">
        <v>26</v>
      </c>
      <c r="D183" s="3">
        <f t="shared" si="50"/>
        <v>19.25</v>
      </c>
      <c r="E183" s="10">
        <f t="shared" si="52"/>
        <v>0.38500000000000001</v>
      </c>
      <c r="F183" s="10">
        <f t="shared" si="51"/>
        <v>0.52</v>
      </c>
      <c r="G183" s="3">
        <f t="shared" si="49"/>
        <v>45.25</v>
      </c>
      <c r="H183" s="3">
        <f t="shared" si="48"/>
        <v>0</v>
      </c>
      <c r="I183" s="3">
        <f t="shared" si="40"/>
        <v>-1.1083568543462832</v>
      </c>
      <c r="J183" s="3">
        <f t="shared" si="41"/>
        <v>-0.65217686188222801</v>
      </c>
      <c r="K183" s="3">
        <f t="shared" si="42"/>
        <v>8.4951656898853561E-3</v>
      </c>
      <c r="L183" s="3">
        <f t="shared" si="47"/>
        <v>-8.5314552801490293E-3</v>
      </c>
      <c r="M183" s="9">
        <f t="shared" si="43"/>
        <v>0.574585635359116</v>
      </c>
      <c r="N183" s="9">
        <f t="shared" si="44"/>
        <v>0.425414364640884</v>
      </c>
      <c r="P183">
        <f t="shared" si="45"/>
        <v>395.5</v>
      </c>
      <c r="Q183">
        <f t="shared" si="46"/>
        <v>312.5</v>
      </c>
    </row>
    <row r="184" spans="1:17" x14ac:dyDescent="0.35">
      <c r="A184">
        <v>2023</v>
      </c>
      <c r="B184" s="3">
        <v>167</v>
      </c>
      <c r="C184" s="7">
        <v>23</v>
      </c>
      <c r="D184" s="3">
        <f t="shared" si="50"/>
        <v>20.875</v>
      </c>
      <c r="E184" s="10">
        <f t="shared" si="52"/>
        <v>0.41749999999999998</v>
      </c>
      <c r="F184" s="10">
        <f t="shared" si="51"/>
        <v>0.46</v>
      </c>
      <c r="G184" s="3">
        <f t="shared" si="49"/>
        <v>43.875</v>
      </c>
      <c r="H184" s="3">
        <f t="shared" si="48"/>
        <v>0</v>
      </c>
      <c r="I184" s="3">
        <f t="shared" si="40"/>
        <v>-0.62137380223026961</v>
      </c>
      <c r="J184" s="3">
        <f t="shared" si="41"/>
        <v>-1.0369227949001982</v>
      </c>
      <c r="K184" s="3">
        <f t="shared" si="42"/>
        <v>2.677639456567384E-3</v>
      </c>
      <c r="L184" s="3">
        <f t="shared" si="47"/>
        <v>-2.6812307453139132E-3</v>
      </c>
      <c r="M184" s="9">
        <f t="shared" si="43"/>
        <v>0.5242165242165242</v>
      </c>
      <c r="N184" s="9">
        <f t="shared" si="44"/>
        <v>0.4757834757834758</v>
      </c>
      <c r="P184">
        <f t="shared" si="45"/>
        <v>323</v>
      </c>
      <c r="Q184">
        <f t="shared" si="46"/>
        <v>352.5</v>
      </c>
    </row>
    <row r="185" spans="1:17" x14ac:dyDescent="0.35">
      <c r="A185">
        <v>2023</v>
      </c>
      <c r="B185" s="3">
        <v>192</v>
      </c>
      <c r="C185" s="7">
        <v>19</v>
      </c>
      <c r="D185" s="3">
        <f t="shared" si="50"/>
        <v>24</v>
      </c>
      <c r="E185" s="10">
        <f t="shared" si="52"/>
        <v>0.48</v>
      </c>
      <c r="F185" s="10">
        <f t="shared" si="51"/>
        <v>0.38</v>
      </c>
      <c r="G185" s="3">
        <f t="shared" si="49"/>
        <v>43</v>
      </c>
      <c r="H185" s="3">
        <f t="shared" si="48"/>
        <v>0</v>
      </c>
      <c r="I185" s="3">
        <f t="shared" si="40"/>
        <v>0.31513206722360265</v>
      </c>
      <c r="J185" s="3">
        <f t="shared" si="41"/>
        <v>-1.5499173722574922</v>
      </c>
      <c r="K185" s="3">
        <f t="shared" si="42"/>
        <v>1.5587862763314837E-3</v>
      </c>
      <c r="L185" s="3">
        <f t="shared" si="47"/>
        <v>-1.5600024476574983E-3</v>
      </c>
      <c r="M185" s="9">
        <f t="shared" si="43"/>
        <v>0.44186046511627908</v>
      </c>
      <c r="N185" s="9">
        <f t="shared" si="44"/>
        <v>0.55813953488372092</v>
      </c>
      <c r="P185">
        <f t="shared" si="45"/>
        <v>129.5</v>
      </c>
      <c r="Q185">
        <f t="shared" si="46"/>
        <v>397.5</v>
      </c>
    </row>
    <row r="186" spans="1:17" x14ac:dyDescent="0.35">
      <c r="A186">
        <v>2023</v>
      </c>
      <c r="B186" s="3">
        <v>193</v>
      </c>
      <c r="C186" s="7">
        <v>19</v>
      </c>
      <c r="D186" s="3">
        <f t="shared" si="50"/>
        <v>24.125</v>
      </c>
      <c r="E186" s="10">
        <f t="shared" si="52"/>
        <v>0.48249999999999998</v>
      </c>
      <c r="F186" s="10">
        <f t="shared" si="51"/>
        <v>0.38</v>
      </c>
      <c r="G186" s="3">
        <f t="shared" si="49"/>
        <v>43.125</v>
      </c>
      <c r="H186" s="3">
        <f t="shared" si="48"/>
        <v>0</v>
      </c>
      <c r="I186" s="3">
        <f t="shared" si="40"/>
        <v>0.35259230200175751</v>
      </c>
      <c r="J186" s="3">
        <f t="shared" si="41"/>
        <v>-1.5499173722574922</v>
      </c>
      <c r="K186" s="3">
        <f t="shared" si="42"/>
        <v>1.7767481186746186E-3</v>
      </c>
      <c r="L186" s="3">
        <f t="shared" si="47"/>
        <v>-1.7783284077410022E-3</v>
      </c>
      <c r="M186" s="9">
        <f t="shared" si="43"/>
        <v>0.44057971014492753</v>
      </c>
      <c r="N186" s="9">
        <f t="shared" si="44"/>
        <v>0.55942028985507242</v>
      </c>
      <c r="P186">
        <f t="shared" si="45"/>
        <v>124</v>
      </c>
      <c r="Q186">
        <f t="shared" si="46"/>
        <v>397.5</v>
      </c>
    </row>
    <row r="187" spans="1:17" x14ac:dyDescent="0.35">
      <c r="A187">
        <v>2023</v>
      </c>
      <c r="B187" s="3">
        <v>187</v>
      </c>
      <c r="C187" s="7">
        <v>19</v>
      </c>
      <c r="D187" s="3">
        <f t="shared" si="50"/>
        <v>23.375</v>
      </c>
      <c r="E187" s="10">
        <f t="shared" si="52"/>
        <v>0.46750000000000003</v>
      </c>
      <c r="F187" s="10">
        <f t="shared" si="51"/>
        <v>0.38</v>
      </c>
      <c r="G187" s="3">
        <f t="shared" si="49"/>
        <v>42.375</v>
      </c>
      <c r="H187" s="3">
        <f t="shared" si="48"/>
        <v>0</v>
      </c>
      <c r="I187" s="3">
        <f t="shared" si="40"/>
        <v>0.12783089333282818</v>
      </c>
      <c r="J187" s="3">
        <f t="shared" si="41"/>
        <v>-1.5499173722574922</v>
      </c>
      <c r="K187" s="3">
        <f t="shared" si="42"/>
        <v>8.0991910937691148E-4</v>
      </c>
      <c r="L187" s="3">
        <f t="shared" si="47"/>
        <v>-8.1024727106033222E-4</v>
      </c>
      <c r="M187" s="9">
        <f t="shared" si="43"/>
        <v>0.44837758112094395</v>
      </c>
      <c r="N187" s="9">
        <f t="shared" si="44"/>
        <v>0.55162241887905605</v>
      </c>
      <c r="P187">
        <f t="shared" si="45"/>
        <v>163</v>
      </c>
      <c r="Q187">
        <f t="shared" si="46"/>
        <v>397.5</v>
      </c>
    </row>
    <row r="188" spans="1:17" x14ac:dyDescent="0.35">
      <c r="A188">
        <v>2023</v>
      </c>
      <c r="B188" s="3">
        <v>143</v>
      </c>
      <c r="C188" s="7">
        <v>24</v>
      </c>
      <c r="D188" s="3">
        <f t="shared" si="50"/>
        <v>17.875</v>
      </c>
      <c r="E188" s="10">
        <f t="shared" si="52"/>
        <v>0.35749999999999998</v>
      </c>
      <c r="F188" s="10">
        <f t="shared" si="51"/>
        <v>0.48</v>
      </c>
      <c r="G188" s="3">
        <f t="shared" si="49"/>
        <v>41.875</v>
      </c>
      <c r="H188" s="3">
        <f t="shared" si="48"/>
        <v>0</v>
      </c>
      <c r="I188" s="3">
        <f t="shared" si="40"/>
        <v>-1.5204194369059869</v>
      </c>
      <c r="J188" s="3">
        <f t="shared" si="41"/>
        <v>-0.90867415056087486</v>
      </c>
      <c r="K188" s="3">
        <f t="shared" si="42"/>
        <v>2.9996386641096141E-4</v>
      </c>
      <c r="L188" s="3">
        <f t="shared" si="47"/>
        <v>-3.0000886457030618E-4</v>
      </c>
      <c r="M188" s="9">
        <f t="shared" si="43"/>
        <v>0.57313432835820899</v>
      </c>
      <c r="N188" s="9">
        <f t="shared" si="44"/>
        <v>0.42686567164179107</v>
      </c>
      <c r="P188">
        <f t="shared" si="45"/>
        <v>424</v>
      </c>
      <c r="Q188">
        <f t="shared" si="46"/>
        <v>335.5</v>
      </c>
    </row>
    <row r="189" spans="1:17" x14ac:dyDescent="0.35">
      <c r="A189">
        <v>2023</v>
      </c>
      <c r="B189" s="3">
        <v>185</v>
      </c>
      <c r="C189" s="7">
        <v>19</v>
      </c>
      <c r="D189" s="3">
        <f t="shared" si="50"/>
        <v>23.125</v>
      </c>
      <c r="E189" s="10">
        <f t="shared" si="52"/>
        <v>0.46250000000000002</v>
      </c>
      <c r="F189" s="10">
        <f t="shared" si="51"/>
        <v>0.38</v>
      </c>
      <c r="G189" s="3">
        <f t="shared" si="49"/>
        <v>42.125</v>
      </c>
      <c r="H189" s="3">
        <f t="shared" si="48"/>
        <v>0</v>
      </c>
      <c r="I189" s="3">
        <f t="shared" si="40"/>
        <v>5.2910423776518403E-2</v>
      </c>
      <c r="J189" s="3">
        <f t="shared" si="41"/>
        <v>-1.5499173722574922</v>
      </c>
      <c r="K189" s="3">
        <f t="shared" si="42"/>
        <v>6.2323891286489579E-4</v>
      </c>
      <c r="L189" s="3">
        <f t="shared" si="47"/>
        <v>-6.2343320696807761E-4</v>
      </c>
      <c r="M189" s="9">
        <f t="shared" si="43"/>
        <v>0.45103857566765576</v>
      </c>
      <c r="N189" s="9">
        <f t="shared" si="44"/>
        <v>0.54896142433234418</v>
      </c>
      <c r="P189">
        <f t="shared" si="45"/>
        <v>179.5</v>
      </c>
      <c r="Q189">
        <f t="shared" si="46"/>
        <v>397.5</v>
      </c>
    </row>
    <row r="190" spans="1:17" x14ac:dyDescent="0.35">
      <c r="A190">
        <v>2023</v>
      </c>
      <c r="B190" s="3">
        <v>161</v>
      </c>
      <c r="C190" s="7">
        <v>19</v>
      </c>
      <c r="D190" s="3">
        <f t="shared" si="50"/>
        <v>20.125</v>
      </c>
      <c r="E190" s="10">
        <f t="shared" si="52"/>
        <v>0.40250000000000002</v>
      </c>
      <c r="F190" s="10">
        <f t="shared" si="51"/>
        <v>0.38</v>
      </c>
      <c r="G190" s="3">
        <f t="shared" si="49"/>
        <v>39.125</v>
      </c>
      <c r="H190" s="3">
        <f t="shared" si="48"/>
        <v>0</v>
      </c>
      <c r="I190" s="3">
        <f t="shared" si="40"/>
        <v>-0.84613521089919896</v>
      </c>
      <c r="J190" s="3">
        <f t="shared" si="41"/>
        <v>-1.5499173722574922</v>
      </c>
      <c r="K190" s="3">
        <f t="shared" si="42"/>
        <v>2.6822241191118474E-5</v>
      </c>
      <c r="L190" s="3">
        <f t="shared" si="47"/>
        <v>-2.6822600913848197E-5</v>
      </c>
      <c r="M190" s="9">
        <f t="shared" si="43"/>
        <v>0.48562300319488816</v>
      </c>
      <c r="N190" s="9">
        <f t="shared" si="44"/>
        <v>0.51437699680511184</v>
      </c>
      <c r="P190">
        <f t="shared" si="45"/>
        <v>370</v>
      </c>
      <c r="Q190">
        <f t="shared" si="46"/>
        <v>397.5</v>
      </c>
    </row>
    <row r="191" spans="1:17" x14ac:dyDescent="0.35">
      <c r="A191">
        <v>2023</v>
      </c>
      <c r="B191" s="3">
        <v>151</v>
      </c>
      <c r="C191" s="7">
        <v>39</v>
      </c>
      <c r="D191" s="3">
        <f t="shared" si="50"/>
        <v>18.875</v>
      </c>
      <c r="E191" s="10">
        <f t="shared" si="52"/>
        <v>0.3775</v>
      </c>
      <c r="F191" s="10">
        <f t="shared" si="51"/>
        <v>0.78</v>
      </c>
      <c r="G191" s="3">
        <f t="shared" si="49"/>
        <v>57.875</v>
      </c>
      <c r="H191" s="3">
        <f t="shared" si="48"/>
        <v>1</v>
      </c>
      <c r="I191" s="3">
        <f t="shared" si="40"/>
        <v>-1.2207375586807478</v>
      </c>
      <c r="J191" s="3">
        <f t="shared" si="41"/>
        <v>1.015055514528977</v>
      </c>
      <c r="K191" s="3">
        <f t="shared" si="42"/>
        <v>0.99929773119877263</v>
      </c>
      <c r="L191" s="3">
        <f t="shared" si="47"/>
        <v>-7.0251550747145106E-4</v>
      </c>
      <c r="M191" s="9">
        <f t="shared" si="43"/>
        <v>0.67386609071274295</v>
      </c>
      <c r="N191" s="9">
        <f t="shared" si="44"/>
        <v>0.326133909287257</v>
      </c>
      <c r="P191">
        <f t="shared" si="45"/>
        <v>402.5</v>
      </c>
      <c r="Q191">
        <f t="shared" si="46"/>
        <v>76.5</v>
      </c>
    </row>
    <row r="192" spans="1:17" x14ac:dyDescent="0.35">
      <c r="A192">
        <v>2023</v>
      </c>
      <c r="B192" s="3">
        <v>184</v>
      </c>
      <c r="C192" s="7">
        <v>16</v>
      </c>
      <c r="D192" s="3">
        <f t="shared" si="50"/>
        <v>23</v>
      </c>
      <c r="E192" s="10">
        <f t="shared" si="52"/>
        <v>0.46</v>
      </c>
      <c r="F192" s="10">
        <f t="shared" si="51"/>
        <v>0.32</v>
      </c>
      <c r="G192" s="3">
        <f t="shared" si="49"/>
        <v>39</v>
      </c>
      <c r="H192" s="3">
        <f t="shared" si="48"/>
        <v>0</v>
      </c>
      <c r="I192" s="3">
        <f t="shared" si="40"/>
        <v>1.5450188998363515E-2</v>
      </c>
      <c r="J192" s="3">
        <f t="shared" si="41"/>
        <v>-1.9346633052754625</v>
      </c>
      <c r="K192" s="3">
        <f t="shared" si="42"/>
        <v>3.1179832679475095E-5</v>
      </c>
      <c r="L192" s="3">
        <f t="shared" si="47"/>
        <v>-3.1180318780616084E-5</v>
      </c>
      <c r="M192" s="9">
        <f t="shared" si="43"/>
        <v>0.41025641025641024</v>
      </c>
      <c r="N192" s="9">
        <f t="shared" si="44"/>
        <v>0.58974358974358976</v>
      </c>
      <c r="P192">
        <f t="shared" si="45"/>
        <v>188.5</v>
      </c>
      <c r="Q192">
        <f t="shared" si="46"/>
        <v>420.5</v>
      </c>
    </row>
    <row r="193" spans="1:17" x14ac:dyDescent="0.35">
      <c r="A193">
        <v>2023</v>
      </c>
      <c r="B193" s="3">
        <v>167</v>
      </c>
      <c r="C193" s="7">
        <v>18</v>
      </c>
      <c r="D193" s="3">
        <f t="shared" si="50"/>
        <v>20.875</v>
      </c>
      <c r="E193" s="10">
        <f t="shared" si="52"/>
        <v>0.41749999999999998</v>
      </c>
      <c r="F193" s="10">
        <f t="shared" si="51"/>
        <v>0.36</v>
      </c>
      <c r="G193" s="3">
        <f t="shared" si="49"/>
        <v>38.875</v>
      </c>
      <c r="H193" s="3">
        <f t="shared" si="48"/>
        <v>0</v>
      </c>
      <c r="I193" s="3">
        <f t="shared" si="40"/>
        <v>-0.62137380223026961</v>
      </c>
      <c r="J193" s="3">
        <f t="shared" si="41"/>
        <v>-1.6781660165968155</v>
      </c>
      <c r="K193" s="3">
        <f t="shared" si="42"/>
        <v>2.2667322504216568E-5</v>
      </c>
      <c r="L193" s="3">
        <f t="shared" si="47"/>
        <v>-2.2667579411858799E-5</v>
      </c>
      <c r="M193" s="9">
        <f t="shared" si="43"/>
        <v>0.46302250803858519</v>
      </c>
      <c r="N193" s="9">
        <f t="shared" si="44"/>
        <v>0.53697749196141475</v>
      </c>
      <c r="P193">
        <f t="shared" si="45"/>
        <v>323</v>
      </c>
      <c r="Q193">
        <f t="shared" si="46"/>
        <v>409</v>
      </c>
    </row>
    <row r="194" spans="1:17" x14ac:dyDescent="0.35">
      <c r="A194">
        <v>2023</v>
      </c>
      <c r="B194" s="3">
        <v>157</v>
      </c>
      <c r="C194" s="7">
        <v>19</v>
      </c>
      <c r="D194" s="3">
        <f t="shared" si="50"/>
        <v>19.625</v>
      </c>
      <c r="E194" s="10">
        <f t="shared" si="52"/>
        <v>0.39250000000000002</v>
      </c>
      <c r="F194" s="10">
        <f t="shared" si="51"/>
        <v>0.38</v>
      </c>
      <c r="G194" s="3">
        <f t="shared" si="49"/>
        <v>38.625</v>
      </c>
      <c r="H194" s="3">
        <f t="shared" si="48"/>
        <v>0</v>
      </c>
      <c r="I194" s="3">
        <f t="shared" ref="I194:I257" si="53" xml:space="preserve"> (D:D - AVERAGE(D:D)) / STDEV(D:D)</f>
        <v>-0.9959761500118185</v>
      </c>
      <c r="J194" s="3">
        <f t="shared" ref="J194:J257" si="54" xml:space="preserve"> (C:C - AVERAGE(C:C)) / STDEV(C:C)</f>
        <v>-1.5499173722574922</v>
      </c>
      <c r="K194" s="3">
        <f t="shared" ref="K194:K257" si="55">1/(1+EXP(-($AD$68 +$AD$69 * I194 +$AD$70 * J194 )))</f>
        <v>1.5876814963926159E-5</v>
      </c>
      <c r="L194" s="3">
        <f t="shared" si="47"/>
        <v>-1.5876941001916188E-5</v>
      </c>
      <c r="M194" s="9">
        <f t="shared" si="43"/>
        <v>0.49190938511326859</v>
      </c>
      <c r="N194" s="9">
        <f t="shared" si="44"/>
        <v>0.50809061488673135</v>
      </c>
      <c r="P194">
        <f t="shared" si="45"/>
        <v>384.5</v>
      </c>
      <c r="Q194">
        <f t="shared" si="46"/>
        <v>397.5</v>
      </c>
    </row>
    <row r="195" spans="1:17" x14ac:dyDescent="0.35">
      <c r="A195">
        <v>2023</v>
      </c>
      <c r="B195" s="3">
        <v>167</v>
      </c>
      <c r="C195" s="7">
        <v>17</v>
      </c>
      <c r="D195" s="3">
        <f t="shared" si="50"/>
        <v>20.875</v>
      </c>
      <c r="E195" s="10">
        <f t="shared" si="52"/>
        <v>0.41749999999999998</v>
      </c>
      <c r="F195" s="10">
        <f t="shared" si="51"/>
        <v>0.34</v>
      </c>
      <c r="G195" s="3">
        <f t="shared" si="49"/>
        <v>37.875</v>
      </c>
      <c r="H195" s="3">
        <f t="shared" si="48"/>
        <v>0</v>
      </c>
      <c r="I195" s="3">
        <f t="shared" si="53"/>
        <v>-0.62137380223026961</v>
      </c>
      <c r="J195" s="3">
        <f t="shared" si="54"/>
        <v>-1.8064146609361391</v>
      </c>
      <c r="K195" s="3">
        <f t="shared" si="55"/>
        <v>8.7237856171827948E-6</v>
      </c>
      <c r="L195" s="3">
        <f t="shared" si="47"/>
        <v>-8.7238236696652533E-6</v>
      </c>
      <c r="M195" s="9">
        <f t="shared" ref="M195:M258" si="56">IF(G195=0, 0,  C195  / G195 )</f>
        <v>0.44884488448844884</v>
      </c>
      <c r="N195" s="9">
        <f t="shared" ref="N195:N258" si="57">IF(G195=0, 0,  D195  / G195 )</f>
        <v>0.55115511551155116</v>
      </c>
      <c r="P195">
        <f t="shared" ref="P195:P258" si="58">_xlfn.RANK.AVG(B195,$B$2:$B$435)</f>
        <v>323</v>
      </c>
      <c r="Q195">
        <f t="shared" ref="Q195:Q258" si="59">_xlfn.RANK.AVG(C195,$C$2:$C$435)</f>
        <v>415</v>
      </c>
    </row>
    <row r="196" spans="1:17" x14ac:dyDescent="0.35">
      <c r="A196">
        <v>2023</v>
      </c>
      <c r="B196" s="5">
        <v>174</v>
      </c>
      <c r="C196" s="16">
        <v>16</v>
      </c>
      <c r="D196" s="3">
        <f t="shared" si="50"/>
        <v>21.75</v>
      </c>
      <c r="E196" s="10">
        <f t="shared" si="52"/>
        <v>0.435</v>
      </c>
      <c r="F196" s="10">
        <f t="shared" si="51"/>
        <v>0.32</v>
      </c>
      <c r="G196" s="3">
        <f t="shared" si="49"/>
        <v>37.75</v>
      </c>
      <c r="H196" s="3">
        <f t="shared" si="48"/>
        <v>0</v>
      </c>
      <c r="I196" s="3">
        <f t="shared" si="53"/>
        <v>-0.3591521587831854</v>
      </c>
      <c r="J196" s="3">
        <f t="shared" si="54"/>
        <v>-1.9346633052754625</v>
      </c>
      <c r="K196" s="3">
        <f t="shared" si="55"/>
        <v>8.4050942363711936E-6</v>
      </c>
      <c r="L196" s="3">
        <f t="shared" ref="L196:L259" si="60">IF(K196=0, -1000, IF(K196=1, -1000, H196 * LN(K196) + (1 - H196) * LN(1 - K196)))</f>
        <v>-8.4051295593880694E-6</v>
      </c>
      <c r="M196" s="9">
        <f t="shared" si="56"/>
        <v>0.42384105960264901</v>
      </c>
      <c r="N196" s="9">
        <f t="shared" si="57"/>
        <v>0.57615894039735094</v>
      </c>
      <c r="P196">
        <f t="shared" si="58"/>
        <v>261</v>
      </c>
      <c r="Q196">
        <f t="shared" si="59"/>
        <v>420.5</v>
      </c>
    </row>
    <row r="197" spans="1:17" x14ac:dyDescent="0.35">
      <c r="A197">
        <v>2023</v>
      </c>
      <c r="B197" s="3">
        <v>170</v>
      </c>
      <c r="C197" s="7">
        <v>16</v>
      </c>
      <c r="D197" s="3">
        <f t="shared" si="50"/>
        <v>21.25</v>
      </c>
      <c r="E197" s="10">
        <f t="shared" si="52"/>
        <v>0.42499999999999999</v>
      </c>
      <c r="F197" s="10">
        <f t="shared" si="51"/>
        <v>0.32</v>
      </c>
      <c r="G197" s="3">
        <f t="shared" si="49"/>
        <v>37.25</v>
      </c>
      <c r="H197" s="3">
        <f t="shared" si="48"/>
        <v>0</v>
      </c>
      <c r="I197" s="3">
        <f t="shared" si="53"/>
        <v>-0.50899309789580494</v>
      </c>
      <c r="J197" s="3">
        <f t="shared" si="54"/>
        <v>-1.9346633052754625</v>
      </c>
      <c r="K197" s="3">
        <f t="shared" si="55"/>
        <v>4.9751667676028372E-6</v>
      </c>
      <c r="L197" s="3">
        <f t="shared" si="60"/>
        <v>-4.9751791437456097E-6</v>
      </c>
      <c r="M197" s="9">
        <f t="shared" si="56"/>
        <v>0.42953020134228187</v>
      </c>
      <c r="N197" s="9">
        <f t="shared" si="57"/>
        <v>0.57046979865771807</v>
      </c>
      <c r="P197">
        <f t="shared" si="58"/>
        <v>287.5</v>
      </c>
      <c r="Q197">
        <f t="shared" si="59"/>
        <v>420.5</v>
      </c>
    </row>
    <row r="198" spans="1:17" x14ac:dyDescent="0.35">
      <c r="A198">
        <v>2023</v>
      </c>
      <c r="B198" s="3">
        <v>191</v>
      </c>
      <c r="C198" s="7">
        <v>37</v>
      </c>
      <c r="D198" s="3">
        <f t="shared" si="50"/>
        <v>23.875</v>
      </c>
      <c r="E198" s="10">
        <f t="shared" si="52"/>
        <v>0.47749999999999998</v>
      </c>
      <c r="F198" s="10">
        <f t="shared" si="51"/>
        <v>0.74</v>
      </c>
      <c r="G198" s="3">
        <f t="shared" si="49"/>
        <v>60.875</v>
      </c>
      <c r="H198" s="3">
        <f t="shared" si="48"/>
        <v>1</v>
      </c>
      <c r="I198" s="3">
        <f t="shared" si="53"/>
        <v>0.27767183244544774</v>
      </c>
      <c r="J198" s="3">
        <f t="shared" si="54"/>
        <v>0.75855822585033006</v>
      </c>
      <c r="K198" s="3">
        <f t="shared" si="55"/>
        <v>0.99997494837824008</v>
      </c>
      <c r="L198" s="3">
        <f t="shared" si="60"/>
        <v>-2.5051935557036648E-5</v>
      </c>
      <c r="M198" s="9">
        <f t="shared" si="56"/>
        <v>0.6078028747433265</v>
      </c>
      <c r="N198" s="9">
        <f t="shared" si="57"/>
        <v>0.3921971252566735</v>
      </c>
      <c r="P198">
        <f t="shared" si="58"/>
        <v>137.5</v>
      </c>
      <c r="Q198">
        <f t="shared" si="59"/>
        <v>128</v>
      </c>
    </row>
    <row r="199" spans="1:17" x14ac:dyDescent="0.35">
      <c r="A199">
        <v>2023</v>
      </c>
      <c r="B199" s="3">
        <v>171</v>
      </c>
      <c r="C199" s="7">
        <v>17</v>
      </c>
      <c r="D199" s="3">
        <f t="shared" si="50"/>
        <v>21.375</v>
      </c>
      <c r="E199" s="10">
        <f t="shared" si="52"/>
        <v>0.42749999999999999</v>
      </c>
      <c r="F199" s="10">
        <f t="shared" si="51"/>
        <v>0.34</v>
      </c>
      <c r="G199" s="3">
        <f t="shared" si="49"/>
        <v>38.375</v>
      </c>
      <c r="H199" s="3">
        <f t="shared" si="48"/>
        <v>0</v>
      </c>
      <c r="I199" s="3">
        <f t="shared" si="53"/>
        <v>-0.47153286311765003</v>
      </c>
      <c r="J199" s="3">
        <f t="shared" si="54"/>
        <v>-1.8064146609361391</v>
      </c>
      <c r="K199" s="3">
        <f t="shared" si="55"/>
        <v>1.4738008621748764E-5</v>
      </c>
      <c r="L199" s="3">
        <f t="shared" si="60"/>
        <v>-1.4738117227244737E-5</v>
      </c>
      <c r="M199" s="9">
        <f t="shared" si="56"/>
        <v>0.44299674267100975</v>
      </c>
      <c r="N199" s="9">
        <f t="shared" si="57"/>
        <v>0.55700325732899025</v>
      </c>
      <c r="P199">
        <f t="shared" si="58"/>
        <v>278</v>
      </c>
      <c r="Q199">
        <f t="shared" si="59"/>
        <v>415</v>
      </c>
    </row>
    <row r="200" spans="1:17" x14ac:dyDescent="0.35">
      <c r="A200">
        <v>2023</v>
      </c>
      <c r="B200" s="3">
        <v>176</v>
      </c>
      <c r="C200" s="7">
        <v>14</v>
      </c>
      <c r="D200" s="3">
        <f t="shared" si="50"/>
        <v>22</v>
      </c>
      <c r="E200" s="10">
        <f t="shared" si="52"/>
        <v>0.44</v>
      </c>
      <c r="F200" s="10">
        <f t="shared" si="51"/>
        <v>0.28000000000000003</v>
      </c>
      <c r="G200" s="3">
        <f t="shared" si="49"/>
        <v>36</v>
      </c>
      <c r="H200" s="3">
        <f t="shared" si="48"/>
        <v>0</v>
      </c>
      <c r="I200" s="3">
        <f t="shared" si="53"/>
        <v>-0.28423168922687558</v>
      </c>
      <c r="J200" s="3">
        <f t="shared" si="54"/>
        <v>-2.1911605939541094</v>
      </c>
      <c r="K200" s="3">
        <f t="shared" si="55"/>
        <v>1.6181216238171998E-6</v>
      </c>
      <c r="L200" s="3">
        <f t="shared" si="60"/>
        <v>-1.6181229329633551E-6</v>
      </c>
      <c r="M200" s="9">
        <f t="shared" si="56"/>
        <v>0.3888888888888889</v>
      </c>
      <c r="N200" s="9">
        <f t="shared" si="57"/>
        <v>0.61111111111111116</v>
      </c>
      <c r="P200">
        <f t="shared" si="58"/>
        <v>245.5</v>
      </c>
      <c r="Q200">
        <f t="shared" si="59"/>
        <v>427</v>
      </c>
    </row>
    <row r="201" spans="1:17" x14ac:dyDescent="0.35">
      <c r="A201">
        <v>2023</v>
      </c>
      <c r="B201" s="3">
        <v>163</v>
      </c>
      <c r="C201" s="7">
        <v>14</v>
      </c>
      <c r="D201" s="3">
        <f t="shared" si="50"/>
        <v>20.375</v>
      </c>
      <c r="E201" s="10">
        <f t="shared" si="52"/>
        <v>0.40749999999999997</v>
      </c>
      <c r="F201" s="10">
        <f t="shared" si="51"/>
        <v>0.28000000000000003</v>
      </c>
      <c r="G201" s="3">
        <f t="shared" si="49"/>
        <v>34.375</v>
      </c>
      <c r="H201" s="3">
        <f t="shared" si="48"/>
        <v>0</v>
      </c>
      <c r="I201" s="3">
        <f t="shared" si="53"/>
        <v>-0.77121474134288914</v>
      </c>
      <c r="J201" s="3">
        <f t="shared" si="54"/>
        <v>-2.1911605939541094</v>
      </c>
      <c r="K201" s="3">
        <f t="shared" si="55"/>
        <v>2.9435290536571393E-7</v>
      </c>
      <c r="L201" s="3">
        <f t="shared" si="60"/>
        <v>-2.9435294870520208E-7</v>
      </c>
      <c r="M201" s="9">
        <f t="shared" si="56"/>
        <v>0.40727272727272729</v>
      </c>
      <c r="N201" s="9">
        <f t="shared" si="57"/>
        <v>0.59272727272727277</v>
      </c>
      <c r="P201">
        <f t="shared" si="58"/>
        <v>356.5</v>
      </c>
      <c r="Q201">
        <f t="shared" si="59"/>
        <v>427</v>
      </c>
    </row>
    <row r="202" spans="1:17" x14ac:dyDescent="0.35">
      <c r="A202">
        <v>2023</v>
      </c>
      <c r="B202" s="3">
        <v>147</v>
      </c>
      <c r="C202" s="7">
        <v>16</v>
      </c>
      <c r="D202" s="3">
        <f t="shared" si="50"/>
        <v>18.375</v>
      </c>
      <c r="E202" s="10">
        <f t="shared" si="52"/>
        <v>0.36749999999999999</v>
      </c>
      <c r="F202" s="10">
        <f t="shared" si="51"/>
        <v>0.32</v>
      </c>
      <c r="G202" s="3">
        <f t="shared" si="49"/>
        <v>34.375</v>
      </c>
      <c r="H202" s="3">
        <f t="shared" si="48"/>
        <v>0</v>
      </c>
      <c r="I202" s="3">
        <f t="shared" si="53"/>
        <v>-1.3705784977933675</v>
      </c>
      <c r="J202" s="3">
        <f t="shared" si="54"/>
        <v>-1.9346633052754625</v>
      </c>
      <c r="K202" s="3">
        <f t="shared" si="55"/>
        <v>2.4396369559083871E-7</v>
      </c>
      <c r="L202" s="3">
        <f t="shared" si="60"/>
        <v>-2.4396372533781117E-7</v>
      </c>
      <c r="M202" s="9">
        <f t="shared" si="56"/>
        <v>0.46545454545454545</v>
      </c>
      <c r="N202" s="9">
        <f t="shared" si="57"/>
        <v>0.53454545454545455</v>
      </c>
      <c r="P202">
        <f t="shared" si="58"/>
        <v>414.5</v>
      </c>
      <c r="Q202">
        <f t="shared" si="59"/>
        <v>420.5</v>
      </c>
    </row>
    <row r="203" spans="1:17" x14ac:dyDescent="0.35">
      <c r="A203">
        <v>2023</v>
      </c>
      <c r="B203" s="3">
        <v>180</v>
      </c>
      <c r="C203" s="7">
        <v>34</v>
      </c>
      <c r="D203" s="3">
        <f t="shared" si="50"/>
        <v>22.5</v>
      </c>
      <c r="E203" s="10">
        <f t="shared" si="52"/>
        <v>0.45</v>
      </c>
      <c r="F203" s="10">
        <f t="shared" si="51"/>
        <v>0.68</v>
      </c>
      <c r="G203" s="3">
        <f t="shared" si="49"/>
        <v>56.5</v>
      </c>
      <c r="H203" s="3">
        <f t="shared" si="48"/>
        <v>1</v>
      </c>
      <c r="I203" s="3">
        <f t="shared" si="53"/>
        <v>-0.13439075011425605</v>
      </c>
      <c r="J203" s="3">
        <f t="shared" si="54"/>
        <v>0.37381229283235973</v>
      </c>
      <c r="K203" s="3">
        <f t="shared" si="55"/>
        <v>0.9981446779805242</v>
      </c>
      <c r="L203" s="3">
        <f t="shared" si="60"/>
        <v>-1.8570452611491289E-3</v>
      </c>
      <c r="M203" s="9">
        <f t="shared" si="56"/>
        <v>0.60176991150442483</v>
      </c>
      <c r="N203" s="9">
        <f t="shared" si="57"/>
        <v>0.39823008849557523</v>
      </c>
      <c r="P203">
        <f t="shared" si="58"/>
        <v>216.5</v>
      </c>
      <c r="Q203">
        <f t="shared" si="59"/>
        <v>189.5</v>
      </c>
    </row>
    <row r="204" spans="1:17" x14ac:dyDescent="0.35">
      <c r="A204">
        <v>2023</v>
      </c>
      <c r="B204" s="3">
        <v>181</v>
      </c>
      <c r="C204" s="7">
        <v>34</v>
      </c>
      <c r="D204" s="3">
        <f t="shared" si="50"/>
        <v>22.625</v>
      </c>
      <c r="E204" s="10">
        <f t="shared" si="52"/>
        <v>0.45250000000000001</v>
      </c>
      <c r="F204" s="10">
        <f t="shared" si="51"/>
        <v>0.68</v>
      </c>
      <c r="G204" s="3">
        <f t="shared" si="49"/>
        <v>56.625</v>
      </c>
      <c r="H204" s="3">
        <f t="shared" si="48"/>
        <v>1</v>
      </c>
      <c r="I204" s="3">
        <f t="shared" si="53"/>
        <v>-9.6930515336101156E-2</v>
      </c>
      <c r="J204" s="3">
        <f t="shared" si="54"/>
        <v>0.37381229283235973</v>
      </c>
      <c r="K204" s="3">
        <f t="shared" si="55"/>
        <v>0.99837226312601113</v>
      </c>
      <c r="L204" s="3">
        <f t="shared" si="60"/>
        <v>-1.6290630769894092E-3</v>
      </c>
      <c r="M204" s="9">
        <f t="shared" si="56"/>
        <v>0.60044150110375272</v>
      </c>
      <c r="N204" s="9">
        <f t="shared" si="57"/>
        <v>0.39955849889624723</v>
      </c>
      <c r="P204">
        <f t="shared" si="58"/>
        <v>209.5</v>
      </c>
      <c r="Q204">
        <f t="shared" si="59"/>
        <v>189.5</v>
      </c>
    </row>
    <row r="205" spans="1:17" x14ac:dyDescent="0.35">
      <c r="A205">
        <v>2023</v>
      </c>
      <c r="B205" s="3">
        <v>190</v>
      </c>
      <c r="C205" s="7">
        <v>34</v>
      </c>
      <c r="D205" s="3">
        <f t="shared" si="50"/>
        <v>23.75</v>
      </c>
      <c r="E205" s="10">
        <f t="shared" si="52"/>
        <v>0.47499999999999998</v>
      </c>
      <c r="F205" s="10">
        <f t="shared" si="51"/>
        <v>0.68</v>
      </c>
      <c r="G205" s="3">
        <f t="shared" si="49"/>
        <v>57.75</v>
      </c>
      <c r="H205" s="3">
        <f t="shared" si="48"/>
        <v>1</v>
      </c>
      <c r="I205" s="3">
        <f t="shared" si="53"/>
        <v>0.24021159766729286</v>
      </c>
      <c r="J205" s="3">
        <f t="shared" si="54"/>
        <v>0.37381229283235973</v>
      </c>
      <c r="K205" s="3">
        <f t="shared" si="55"/>
        <v>0.99949919671557275</v>
      </c>
      <c r="L205" s="3">
        <f t="shared" si="60"/>
        <v>-5.0092872827564269E-4</v>
      </c>
      <c r="M205" s="9">
        <f t="shared" si="56"/>
        <v>0.58874458874458879</v>
      </c>
      <c r="N205" s="9">
        <f t="shared" si="57"/>
        <v>0.41125541125541126</v>
      </c>
      <c r="P205">
        <f t="shared" si="58"/>
        <v>145</v>
      </c>
      <c r="Q205">
        <f t="shared" si="59"/>
        <v>189.5</v>
      </c>
    </row>
    <row r="206" spans="1:17" x14ac:dyDescent="0.35">
      <c r="A206">
        <v>2023</v>
      </c>
      <c r="B206" s="3">
        <v>199</v>
      </c>
      <c r="C206" s="7">
        <v>34</v>
      </c>
      <c r="D206" s="3">
        <f t="shared" si="50"/>
        <v>24.875</v>
      </c>
      <c r="E206" s="10">
        <f t="shared" si="52"/>
        <v>0.4975</v>
      </c>
      <c r="F206" s="10">
        <f t="shared" si="51"/>
        <v>0.68</v>
      </c>
      <c r="G206" s="3">
        <f t="shared" si="49"/>
        <v>58.875</v>
      </c>
      <c r="H206" s="3">
        <f t="shared" si="48"/>
        <v>1</v>
      </c>
      <c r="I206" s="3">
        <f t="shared" si="53"/>
        <v>0.57735371067068686</v>
      </c>
      <c r="J206" s="3">
        <f t="shared" si="54"/>
        <v>0.37381229283235973</v>
      </c>
      <c r="K206" s="3">
        <f t="shared" si="55"/>
        <v>0.99984603894673707</v>
      </c>
      <c r="L206" s="3">
        <f t="shared" si="60"/>
        <v>-1.5397290648252917E-4</v>
      </c>
      <c r="M206" s="9">
        <f t="shared" si="56"/>
        <v>0.57749469214437366</v>
      </c>
      <c r="N206" s="9">
        <f t="shared" si="57"/>
        <v>0.42250530785562634</v>
      </c>
      <c r="P206">
        <f t="shared" si="58"/>
        <v>91.5</v>
      </c>
      <c r="Q206">
        <f t="shared" si="59"/>
        <v>189.5</v>
      </c>
    </row>
    <row r="207" spans="1:17" x14ac:dyDescent="0.35">
      <c r="A207">
        <v>2023</v>
      </c>
      <c r="B207" s="3">
        <v>168</v>
      </c>
      <c r="C207" s="7">
        <v>13</v>
      </c>
      <c r="D207" s="3">
        <f t="shared" si="50"/>
        <v>21</v>
      </c>
      <c r="E207" s="10">
        <f t="shared" si="52"/>
        <v>0.42</v>
      </c>
      <c r="F207" s="10">
        <f t="shared" si="51"/>
        <v>0.26</v>
      </c>
      <c r="G207" s="3">
        <f t="shared" si="49"/>
        <v>34</v>
      </c>
      <c r="H207" s="3">
        <f t="shared" si="48"/>
        <v>0</v>
      </c>
      <c r="I207" s="3">
        <f t="shared" si="53"/>
        <v>-0.58391356745211476</v>
      </c>
      <c r="J207" s="3">
        <f t="shared" si="54"/>
        <v>-2.3194092382934328</v>
      </c>
      <c r="K207" s="3">
        <f t="shared" si="55"/>
        <v>2.1819138908090902E-7</v>
      </c>
      <c r="L207" s="3">
        <f t="shared" si="60"/>
        <v>-2.1819141287127925E-7</v>
      </c>
      <c r="M207" s="9">
        <f t="shared" si="56"/>
        <v>0.38235294117647056</v>
      </c>
      <c r="N207" s="9">
        <f t="shared" si="57"/>
        <v>0.61764705882352944</v>
      </c>
      <c r="P207">
        <f t="shared" si="58"/>
        <v>311.5</v>
      </c>
      <c r="Q207">
        <f t="shared" si="59"/>
        <v>430.5</v>
      </c>
    </row>
    <row r="208" spans="1:17" x14ac:dyDescent="0.35">
      <c r="A208">
        <v>2023</v>
      </c>
      <c r="B208" s="3">
        <v>198</v>
      </c>
      <c r="C208" s="7">
        <v>34</v>
      </c>
      <c r="D208" s="3">
        <f t="shared" si="50"/>
        <v>24.75</v>
      </c>
      <c r="E208" s="10">
        <f t="shared" si="52"/>
        <v>0.495</v>
      </c>
      <c r="F208" s="10">
        <f t="shared" si="51"/>
        <v>0.68</v>
      </c>
      <c r="G208" s="3">
        <f t="shared" si="49"/>
        <v>58.75</v>
      </c>
      <c r="H208" s="3">
        <f t="shared" si="48"/>
        <v>1</v>
      </c>
      <c r="I208" s="3">
        <f t="shared" si="53"/>
        <v>0.539893475892532</v>
      </c>
      <c r="J208" s="3">
        <f t="shared" si="54"/>
        <v>0.37381229283235973</v>
      </c>
      <c r="K208" s="3">
        <f t="shared" si="55"/>
        <v>0.99982447636033533</v>
      </c>
      <c r="L208" s="3">
        <f t="shared" si="60"/>
        <v>-1.7553904574148607E-4</v>
      </c>
      <c r="M208" s="9">
        <f t="shared" si="56"/>
        <v>0.5787234042553191</v>
      </c>
      <c r="N208" s="9">
        <f t="shared" si="57"/>
        <v>0.42127659574468085</v>
      </c>
      <c r="P208">
        <f t="shared" si="58"/>
        <v>97.5</v>
      </c>
      <c r="Q208">
        <f t="shared" si="59"/>
        <v>189.5</v>
      </c>
    </row>
    <row r="209" spans="1:17" x14ac:dyDescent="0.35">
      <c r="A209">
        <v>2023</v>
      </c>
      <c r="B209" s="3">
        <v>182</v>
      </c>
      <c r="C209" s="7">
        <v>11</v>
      </c>
      <c r="D209" s="3">
        <f t="shared" si="50"/>
        <v>22.75</v>
      </c>
      <c r="E209" s="10">
        <f t="shared" si="52"/>
        <v>0.45500000000000002</v>
      </c>
      <c r="F209" s="10">
        <f t="shared" si="51"/>
        <v>0.22</v>
      </c>
      <c r="G209" s="3">
        <f t="shared" si="49"/>
        <v>33.75</v>
      </c>
      <c r="H209" s="3">
        <f t="shared" si="48"/>
        <v>0</v>
      </c>
      <c r="I209" s="3">
        <f t="shared" si="53"/>
        <v>-5.9470280557946266E-2</v>
      </c>
      <c r="J209" s="3">
        <f t="shared" si="54"/>
        <v>-2.57590652697208</v>
      </c>
      <c r="K209" s="3">
        <f t="shared" si="55"/>
        <v>2.0254080991551557E-7</v>
      </c>
      <c r="L209" s="3">
        <f t="shared" si="60"/>
        <v>-2.0254083041295615E-7</v>
      </c>
      <c r="M209" s="9">
        <f t="shared" si="56"/>
        <v>0.32592592592592595</v>
      </c>
      <c r="N209" s="9">
        <f t="shared" si="57"/>
        <v>0.67407407407407405</v>
      </c>
      <c r="P209">
        <f t="shared" si="58"/>
        <v>204</v>
      </c>
      <c r="Q209">
        <f t="shared" si="59"/>
        <v>434</v>
      </c>
    </row>
    <row r="210" spans="1:17" x14ac:dyDescent="0.35">
      <c r="A210">
        <v>2023</v>
      </c>
      <c r="B210" s="3">
        <v>169</v>
      </c>
      <c r="C210" s="7">
        <v>12</v>
      </c>
      <c r="D210" s="3">
        <f t="shared" si="50"/>
        <v>21.125</v>
      </c>
      <c r="E210" s="10">
        <f t="shared" si="52"/>
        <v>0.42249999999999999</v>
      </c>
      <c r="F210" s="10">
        <f t="shared" si="51"/>
        <v>0.24</v>
      </c>
      <c r="G210" s="3">
        <f t="shared" si="49"/>
        <v>33.125</v>
      </c>
      <c r="H210" s="3">
        <f t="shared" si="48"/>
        <v>0</v>
      </c>
      <c r="I210" s="3">
        <f t="shared" si="53"/>
        <v>-0.54645333267395979</v>
      </c>
      <c r="J210" s="3">
        <f t="shared" si="54"/>
        <v>-2.4476578826327562</v>
      </c>
      <c r="K210" s="3">
        <f t="shared" si="55"/>
        <v>9.5734940977107969E-8</v>
      </c>
      <c r="L210" s="3">
        <f t="shared" si="60"/>
        <v>-9.5734945557290785E-8</v>
      </c>
      <c r="M210" s="9">
        <f t="shared" si="56"/>
        <v>0.3622641509433962</v>
      </c>
      <c r="N210" s="9">
        <f t="shared" si="57"/>
        <v>0.63773584905660374</v>
      </c>
      <c r="P210">
        <f t="shared" si="58"/>
        <v>299</v>
      </c>
      <c r="Q210">
        <f t="shared" si="59"/>
        <v>433</v>
      </c>
    </row>
    <row r="211" spans="1:17" x14ac:dyDescent="0.35">
      <c r="A211">
        <v>2023</v>
      </c>
      <c r="B211" s="3">
        <v>170</v>
      </c>
      <c r="C211" s="7">
        <v>33</v>
      </c>
      <c r="D211" s="3">
        <f t="shared" si="50"/>
        <v>21.25</v>
      </c>
      <c r="E211" s="10">
        <f t="shared" si="52"/>
        <v>0.42499999999999999</v>
      </c>
      <c r="F211" s="10">
        <f t="shared" si="51"/>
        <v>0.66</v>
      </c>
      <c r="G211" s="3">
        <f t="shared" si="49"/>
        <v>54.25</v>
      </c>
      <c r="H211" s="3">
        <f t="shared" si="48"/>
        <v>1</v>
      </c>
      <c r="I211" s="3">
        <f t="shared" si="53"/>
        <v>-0.50899309789580494</v>
      </c>
      <c r="J211" s="3">
        <f t="shared" si="54"/>
        <v>0.24556364849303625</v>
      </c>
      <c r="K211" s="3">
        <f t="shared" si="55"/>
        <v>0.98239825340105602</v>
      </c>
      <c r="L211" s="3">
        <f t="shared" si="60"/>
        <v>-1.7758499480644022E-2</v>
      </c>
      <c r="M211" s="9">
        <f t="shared" si="56"/>
        <v>0.60829493087557607</v>
      </c>
      <c r="N211" s="9">
        <f t="shared" si="57"/>
        <v>0.39170506912442399</v>
      </c>
      <c r="P211">
        <f t="shared" si="58"/>
        <v>287.5</v>
      </c>
      <c r="Q211">
        <f t="shared" si="59"/>
        <v>208.5</v>
      </c>
    </row>
    <row r="212" spans="1:17" x14ac:dyDescent="0.35">
      <c r="A212">
        <v>2023</v>
      </c>
      <c r="B212" s="3">
        <v>162</v>
      </c>
      <c r="C212" s="7">
        <v>33</v>
      </c>
      <c r="D212" s="3">
        <f t="shared" si="50"/>
        <v>20.25</v>
      </c>
      <c r="E212" s="10">
        <f t="shared" si="52"/>
        <v>0.40500000000000003</v>
      </c>
      <c r="F212" s="10">
        <f t="shared" si="51"/>
        <v>0.66</v>
      </c>
      <c r="G212" s="3">
        <f t="shared" si="49"/>
        <v>53.25</v>
      </c>
      <c r="H212" s="3">
        <f t="shared" si="48"/>
        <v>1</v>
      </c>
      <c r="I212" s="3">
        <f t="shared" si="53"/>
        <v>-0.808674976121044</v>
      </c>
      <c r="J212" s="3">
        <f t="shared" si="54"/>
        <v>0.24556364849303625</v>
      </c>
      <c r="K212" s="3">
        <f t="shared" si="55"/>
        <v>0.9513501568497621</v>
      </c>
      <c r="L212" s="3">
        <f t="shared" si="60"/>
        <v>-4.9873085625018174E-2</v>
      </c>
      <c r="M212" s="9">
        <f t="shared" si="56"/>
        <v>0.61971830985915488</v>
      </c>
      <c r="N212" s="9">
        <f t="shared" si="57"/>
        <v>0.38028169014084506</v>
      </c>
      <c r="P212">
        <f t="shared" si="58"/>
        <v>364.5</v>
      </c>
      <c r="Q212">
        <f t="shared" si="59"/>
        <v>208.5</v>
      </c>
    </row>
    <row r="213" spans="1:17" x14ac:dyDescent="0.35">
      <c r="A213">
        <v>2023</v>
      </c>
      <c r="B213" s="3">
        <v>186</v>
      </c>
      <c r="C213" s="7">
        <v>32</v>
      </c>
      <c r="D213" s="3">
        <f t="shared" si="50"/>
        <v>23.25</v>
      </c>
      <c r="E213" s="10">
        <f t="shared" si="52"/>
        <v>0.46500000000000002</v>
      </c>
      <c r="F213" s="10">
        <f t="shared" si="51"/>
        <v>0.64</v>
      </c>
      <c r="G213" s="3">
        <f t="shared" si="49"/>
        <v>55.25</v>
      </c>
      <c r="H213" s="3">
        <f t="shared" si="48"/>
        <v>1</v>
      </c>
      <c r="I213" s="3">
        <f t="shared" si="53"/>
        <v>9.03706585546733E-2</v>
      </c>
      <c r="J213" s="3">
        <f t="shared" si="54"/>
        <v>0.11731500415371279</v>
      </c>
      <c r="K213" s="3">
        <f t="shared" si="55"/>
        <v>0.99431737794698161</v>
      </c>
      <c r="L213" s="3">
        <f t="shared" si="60"/>
        <v>-5.6988295797144621E-3</v>
      </c>
      <c r="M213" s="9">
        <f t="shared" si="56"/>
        <v>0.579185520361991</v>
      </c>
      <c r="N213" s="9">
        <f t="shared" si="57"/>
        <v>0.42081447963800905</v>
      </c>
      <c r="P213">
        <f t="shared" si="58"/>
        <v>171.5</v>
      </c>
      <c r="Q213">
        <f t="shared" si="59"/>
        <v>222</v>
      </c>
    </row>
    <row r="214" spans="1:17" x14ac:dyDescent="0.35">
      <c r="A214">
        <v>2023</v>
      </c>
      <c r="B214" s="3">
        <v>177</v>
      </c>
      <c r="C214" s="7">
        <v>31</v>
      </c>
      <c r="D214" s="3">
        <f t="shared" si="50"/>
        <v>22.125</v>
      </c>
      <c r="E214" s="10">
        <f t="shared" si="52"/>
        <v>0.4425</v>
      </c>
      <c r="F214" s="10">
        <f t="shared" si="51"/>
        <v>0.62</v>
      </c>
      <c r="G214" s="3">
        <f t="shared" si="49"/>
        <v>53.125</v>
      </c>
      <c r="H214" s="3">
        <f t="shared" si="48"/>
        <v>1</v>
      </c>
      <c r="I214" s="3">
        <f t="shared" si="53"/>
        <v>-0.2467714544487207</v>
      </c>
      <c r="J214" s="3">
        <f t="shared" si="54"/>
        <v>-1.0933640185610671E-2</v>
      </c>
      <c r="K214" s="3">
        <f t="shared" si="55"/>
        <v>0.95390668880058493</v>
      </c>
      <c r="L214" s="3">
        <f t="shared" si="60"/>
        <v>-4.718942279917477E-2</v>
      </c>
      <c r="M214" s="9">
        <f t="shared" si="56"/>
        <v>0.58352941176470585</v>
      </c>
      <c r="N214" s="9">
        <f t="shared" si="57"/>
        <v>0.41647058823529409</v>
      </c>
      <c r="P214">
        <f t="shared" si="58"/>
        <v>237.5</v>
      </c>
      <c r="Q214">
        <f t="shared" si="59"/>
        <v>239.5</v>
      </c>
    </row>
    <row r="215" spans="1:17" x14ac:dyDescent="0.35">
      <c r="A215">
        <v>2023</v>
      </c>
      <c r="B215" s="3">
        <v>165</v>
      </c>
      <c r="C215" s="7">
        <v>31</v>
      </c>
      <c r="D215" s="3">
        <f t="shared" si="50"/>
        <v>20.625</v>
      </c>
      <c r="E215" s="10">
        <f t="shared" si="52"/>
        <v>0.41249999999999998</v>
      </c>
      <c r="F215" s="10">
        <f t="shared" si="51"/>
        <v>0.62</v>
      </c>
      <c r="G215" s="3">
        <f t="shared" si="49"/>
        <v>51.625</v>
      </c>
      <c r="H215" s="3">
        <f t="shared" si="48"/>
        <v>1</v>
      </c>
      <c r="I215" s="3">
        <f t="shared" si="53"/>
        <v>-0.69629427178657943</v>
      </c>
      <c r="J215" s="3">
        <f t="shared" si="54"/>
        <v>-1.0933640185610671E-2</v>
      </c>
      <c r="K215" s="3">
        <f t="shared" si="55"/>
        <v>0.81103516251314733</v>
      </c>
      <c r="L215" s="3">
        <f t="shared" si="60"/>
        <v>-0.20944386882369193</v>
      </c>
      <c r="M215" s="9">
        <f t="shared" si="56"/>
        <v>0.6004842615012107</v>
      </c>
      <c r="N215" s="9">
        <f t="shared" si="57"/>
        <v>0.39951573849878935</v>
      </c>
      <c r="P215">
        <f t="shared" si="58"/>
        <v>342.5</v>
      </c>
      <c r="Q215">
        <f t="shared" si="59"/>
        <v>239.5</v>
      </c>
    </row>
    <row r="216" spans="1:17" x14ac:dyDescent="0.35">
      <c r="A216">
        <v>2023</v>
      </c>
      <c r="B216" s="3">
        <v>145</v>
      </c>
      <c r="C216" s="7">
        <v>31</v>
      </c>
      <c r="D216" s="3">
        <f t="shared" si="50"/>
        <v>18.125</v>
      </c>
      <c r="E216" s="10">
        <f t="shared" si="52"/>
        <v>0.36249999999999999</v>
      </c>
      <c r="F216" s="10">
        <f t="shared" si="51"/>
        <v>0.62</v>
      </c>
      <c r="G216" s="3">
        <f t="shared" si="49"/>
        <v>49.125</v>
      </c>
      <c r="H216" s="3">
        <f t="shared" si="48"/>
        <v>0</v>
      </c>
      <c r="I216" s="3">
        <f t="shared" si="53"/>
        <v>-1.4454989673496772</v>
      </c>
      <c r="J216" s="3">
        <f t="shared" si="54"/>
        <v>-1.0933640185610671E-2</v>
      </c>
      <c r="K216" s="3">
        <f t="shared" si="55"/>
        <v>0.23773056495462405</v>
      </c>
      <c r="L216" s="3">
        <f t="shared" si="60"/>
        <v>-0.27145519649506117</v>
      </c>
      <c r="M216" s="9">
        <f t="shared" si="56"/>
        <v>0.63104325699745545</v>
      </c>
      <c r="N216" s="9">
        <f t="shared" si="57"/>
        <v>0.36895674300254455</v>
      </c>
      <c r="P216">
        <f t="shared" si="58"/>
        <v>419.5</v>
      </c>
      <c r="Q216">
        <f t="shared" si="59"/>
        <v>239.5</v>
      </c>
    </row>
    <row r="217" spans="1:17" x14ac:dyDescent="0.35">
      <c r="A217">
        <v>2023</v>
      </c>
      <c r="B217" s="3">
        <v>180</v>
      </c>
      <c r="C217" s="7">
        <v>30</v>
      </c>
      <c r="D217" s="3">
        <f t="shared" si="50"/>
        <v>22.5</v>
      </c>
      <c r="E217" s="10">
        <f t="shared" si="52"/>
        <v>0.45</v>
      </c>
      <c r="F217" s="10">
        <f t="shared" si="51"/>
        <v>0.6</v>
      </c>
      <c r="G217" s="3">
        <f t="shared" si="49"/>
        <v>52.5</v>
      </c>
      <c r="H217" s="3">
        <f t="shared" si="48"/>
        <v>1</v>
      </c>
      <c r="I217" s="3">
        <f t="shared" si="53"/>
        <v>-0.13439075011425605</v>
      </c>
      <c r="J217" s="3">
        <f t="shared" si="54"/>
        <v>-0.13918228452493411</v>
      </c>
      <c r="K217" s="3">
        <f t="shared" si="55"/>
        <v>0.92188942806375773</v>
      </c>
      <c r="L217" s="3">
        <f t="shared" si="60"/>
        <v>-8.1329988795399266E-2</v>
      </c>
      <c r="M217" s="9">
        <f t="shared" si="56"/>
        <v>0.5714285714285714</v>
      </c>
      <c r="N217" s="9">
        <f t="shared" si="57"/>
        <v>0.42857142857142855</v>
      </c>
      <c r="P217">
        <f t="shared" si="58"/>
        <v>216.5</v>
      </c>
      <c r="Q217">
        <f t="shared" si="59"/>
        <v>259</v>
      </c>
    </row>
    <row r="218" spans="1:17" x14ac:dyDescent="0.35">
      <c r="A218">
        <v>2023</v>
      </c>
      <c r="B218" s="3">
        <v>198</v>
      </c>
      <c r="C218" s="7">
        <v>30</v>
      </c>
      <c r="D218" s="3">
        <f t="shared" si="50"/>
        <v>24.75</v>
      </c>
      <c r="E218" s="10">
        <f t="shared" si="52"/>
        <v>0.495</v>
      </c>
      <c r="F218" s="10">
        <f t="shared" si="51"/>
        <v>0.6</v>
      </c>
      <c r="G218" s="3">
        <f t="shared" si="49"/>
        <v>54.75</v>
      </c>
      <c r="H218" s="3">
        <f t="shared" si="48"/>
        <v>1</v>
      </c>
      <c r="I218" s="3">
        <f t="shared" si="53"/>
        <v>0.539893475892532</v>
      </c>
      <c r="J218" s="3">
        <f t="shared" si="54"/>
        <v>-0.13918228452493411</v>
      </c>
      <c r="K218" s="3">
        <f t="shared" si="55"/>
        <v>0.99206118849053015</v>
      </c>
      <c r="L218" s="3">
        <f t="shared" si="60"/>
        <v>-7.9704916534183278E-3</v>
      </c>
      <c r="M218" s="9">
        <f t="shared" si="56"/>
        <v>0.54794520547945202</v>
      </c>
      <c r="N218" s="9">
        <f t="shared" si="57"/>
        <v>0.45205479452054792</v>
      </c>
      <c r="P218">
        <f t="shared" si="58"/>
        <v>97.5</v>
      </c>
      <c r="Q218">
        <f t="shared" si="59"/>
        <v>259</v>
      </c>
    </row>
    <row r="219" spans="1:17" x14ac:dyDescent="0.35">
      <c r="A219">
        <v>2023</v>
      </c>
      <c r="B219" s="3">
        <v>215</v>
      </c>
      <c r="C219" s="7">
        <v>29</v>
      </c>
      <c r="D219" s="3">
        <f t="shared" si="50"/>
        <v>26.875</v>
      </c>
      <c r="E219" s="10">
        <f t="shared" si="52"/>
        <v>0.53749999999999998</v>
      </c>
      <c r="F219" s="10">
        <f t="shared" si="51"/>
        <v>0.57999999999999996</v>
      </c>
      <c r="G219" s="3">
        <f t="shared" si="49"/>
        <v>55.875</v>
      </c>
      <c r="H219" s="3">
        <f t="shared" si="48"/>
        <v>1</v>
      </c>
      <c r="I219" s="3">
        <f t="shared" si="53"/>
        <v>1.1767174671211651</v>
      </c>
      <c r="J219" s="3">
        <f t="shared" si="54"/>
        <v>-0.26743092886425757</v>
      </c>
      <c r="K219" s="3">
        <f t="shared" si="55"/>
        <v>0.99776608204318595</v>
      </c>
      <c r="L219" s="3">
        <f t="shared" si="60"/>
        <v>-2.2364168738102709E-3</v>
      </c>
      <c r="M219" s="9">
        <f t="shared" si="56"/>
        <v>0.51901565995525722</v>
      </c>
      <c r="N219" s="9">
        <f t="shared" si="57"/>
        <v>0.48098434004474272</v>
      </c>
      <c r="P219">
        <f t="shared" si="58"/>
        <v>47.5</v>
      </c>
      <c r="Q219">
        <f t="shared" si="59"/>
        <v>272.5</v>
      </c>
    </row>
    <row r="220" spans="1:17" x14ac:dyDescent="0.35">
      <c r="A220">
        <v>2023</v>
      </c>
      <c r="B220" s="3">
        <v>201</v>
      </c>
      <c r="C220" s="7">
        <v>26</v>
      </c>
      <c r="D220" s="3">
        <f t="shared" si="50"/>
        <v>25.125</v>
      </c>
      <c r="E220" s="10">
        <f t="shared" si="52"/>
        <v>0.50249999999999995</v>
      </c>
      <c r="F220" s="10">
        <f t="shared" si="51"/>
        <v>0.52</v>
      </c>
      <c r="G220" s="3">
        <f t="shared" si="49"/>
        <v>51.125</v>
      </c>
      <c r="H220" s="3">
        <f t="shared" si="48"/>
        <v>1</v>
      </c>
      <c r="I220" s="3">
        <f t="shared" si="53"/>
        <v>0.65227418022699668</v>
      </c>
      <c r="J220" s="3">
        <f t="shared" si="54"/>
        <v>-0.65217686188222801</v>
      </c>
      <c r="K220" s="3">
        <f t="shared" si="55"/>
        <v>0.80246429617992165</v>
      </c>
      <c r="L220" s="3">
        <f t="shared" si="60"/>
        <v>-0.22006791570923917</v>
      </c>
      <c r="M220" s="9">
        <f t="shared" si="56"/>
        <v>0.50855745721271395</v>
      </c>
      <c r="N220" s="9">
        <f t="shared" si="57"/>
        <v>0.49144254278728605</v>
      </c>
      <c r="P220">
        <f t="shared" si="58"/>
        <v>78.5</v>
      </c>
      <c r="Q220">
        <f t="shared" si="59"/>
        <v>312.5</v>
      </c>
    </row>
    <row r="221" spans="1:17" x14ac:dyDescent="0.35">
      <c r="A221">
        <v>2023</v>
      </c>
      <c r="B221" s="3">
        <v>144</v>
      </c>
      <c r="C221" s="7">
        <v>25</v>
      </c>
      <c r="D221" s="3">
        <f t="shared" si="50"/>
        <v>18</v>
      </c>
      <c r="E221" s="10">
        <f t="shared" si="52"/>
        <v>0.36</v>
      </c>
      <c r="F221" s="10">
        <f t="shared" si="51"/>
        <v>0.5</v>
      </c>
      <c r="G221" s="3">
        <f t="shared" si="49"/>
        <v>43</v>
      </c>
      <c r="H221" s="3">
        <f t="shared" si="48"/>
        <v>0</v>
      </c>
      <c r="I221" s="3">
        <f t="shared" si="53"/>
        <v>-1.4829592021278322</v>
      </c>
      <c r="J221" s="3">
        <f t="shared" si="54"/>
        <v>-0.78042550622155138</v>
      </c>
      <c r="K221" s="3">
        <f t="shared" si="55"/>
        <v>8.8807323574075761E-4</v>
      </c>
      <c r="L221" s="3">
        <f t="shared" si="60"/>
        <v>-8.8846780639921519E-4</v>
      </c>
      <c r="M221" s="9">
        <f t="shared" si="56"/>
        <v>0.58139534883720934</v>
      </c>
      <c r="N221" s="9">
        <f t="shared" si="57"/>
        <v>0.41860465116279072</v>
      </c>
      <c r="P221">
        <f t="shared" si="58"/>
        <v>421</v>
      </c>
      <c r="Q221">
        <f t="shared" si="59"/>
        <v>326</v>
      </c>
    </row>
    <row r="222" spans="1:17" x14ac:dyDescent="0.35">
      <c r="A222">
        <v>2023</v>
      </c>
      <c r="B222" s="3">
        <v>198</v>
      </c>
      <c r="C222" s="7">
        <v>24</v>
      </c>
      <c r="D222" s="3">
        <f t="shared" si="50"/>
        <v>24.75</v>
      </c>
      <c r="E222" s="10">
        <f t="shared" si="52"/>
        <v>0.495</v>
      </c>
      <c r="F222" s="10">
        <f t="shared" si="51"/>
        <v>0.48</v>
      </c>
      <c r="G222" s="3">
        <f t="shared" si="49"/>
        <v>48.75</v>
      </c>
      <c r="H222" s="3">
        <f t="shared" ref="H222:H276" si="61">IF(G222&gt;=50,1,0)</f>
        <v>0</v>
      </c>
      <c r="I222" s="3">
        <f t="shared" si="53"/>
        <v>0.539893475892532</v>
      </c>
      <c r="J222" s="3">
        <f t="shared" si="54"/>
        <v>-0.90867415056087486</v>
      </c>
      <c r="K222" s="3">
        <f t="shared" si="55"/>
        <v>0.28878569776936358</v>
      </c>
      <c r="L222" s="3">
        <f t="shared" si="60"/>
        <v>-0.3407814849865628</v>
      </c>
      <c r="M222" s="9">
        <f t="shared" si="56"/>
        <v>0.49230769230769234</v>
      </c>
      <c r="N222" s="9">
        <f t="shared" si="57"/>
        <v>0.50769230769230766</v>
      </c>
      <c r="P222">
        <f t="shared" si="58"/>
        <v>97.5</v>
      </c>
      <c r="Q222">
        <f t="shared" si="59"/>
        <v>335.5</v>
      </c>
    </row>
    <row r="223" spans="1:17" x14ac:dyDescent="0.35">
      <c r="A223">
        <v>2023</v>
      </c>
      <c r="B223" s="3">
        <v>160</v>
      </c>
      <c r="C223" s="7">
        <v>24</v>
      </c>
      <c r="D223" s="3">
        <f t="shared" si="50"/>
        <v>20</v>
      </c>
      <c r="E223" s="10">
        <f t="shared" si="52"/>
        <v>0.4</v>
      </c>
      <c r="F223" s="10">
        <f t="shared" si="51"/>
        <v>0.48</v>
      </c>
      <c r="G223" s="3">
        <f t="shared" si="49"/>
        <v>44</v>
      </c>
      <c r="H223" s="3">
        <f t="shared" si="61"/>
        <v>0</v>
      </c>
      <c r="I223" s="3">
        <f t="shared" si="53"/>
        <v>-0.88359544567735382</v>
      </c>
      <c r="J223" s="3">
        <f t="shared" si="54"/>
        <v>-0.90867415056087486</v>
      </c>
      <c r="K223" s="3">
        <f t="shared" si="55"/>
        <v>2.7788848061451993E-3</v>
      </c>
      <c r="L223" s="3">
        <f t="shared" si="60"/>
        <v>-2.7827530745048747E-3</v>
      </c>
      <c r="M223" s="9">
        <f t="shared" si="56"/>
        <v>0.54545454545454541</v>
      </c>
      <c r="N223" s="9">
        <f t="shared" si="57"/>
        <v>0.45454545454545453</v>
      </c>
      <c r="P223">
        <f t="shared" si="58"/>
        <v>374.5</v>
      </c>
      <c r="Q223">
        <f t="shared" si="59"/>
        <v>335.5</v>
      </c>
    </row>
    <row r="224" spans="1:17" x14ac:dyDescent="0.35">
      <c r="A224">
        <v>2023</v>
      </c>
      <c r="B224" s="3">
        <v>165</v>
      </c>
      <c r="C224" s="7">
        <v>23</v>
      </c>
      <c r="D224" s="3">
        <f t="shared" si="50"/>
        <v>20.625</v>
      </c>
      <c r="E224" s="10">
        <f t="shared" si="52"/>
        <v>0.41249999999999998</v>
      </c>
      <c r="F224" s="10">
        <f t="shared" si="51"/>
        <v>0.46</v>
      </c>
      <c r="G224" s="3">
        <f t="shared" si="49"/>
        <v>43.625</v>
      </c>
      <c r="H224" s="3">
        <f t="shared" si="61"/>
        <v>0</v>
      </c>
      <c r="I224" s="3">
        <f t="shared" si="53"/>
        <v>-0.69629427178657943</v>
      </c>
      <c r="J224" s="3">
        <f t="shared" si="54"/>
        <v>-1.0369227949001982</v>
      </c>
      <c r="K224" s="3">
        <f t="shared" si="55"/>
        <v>2.0613520429451759E-3</v>
      </c>
      <c r="L224" s="3">
        <f t="shared" si="60"/>
        <v>-2.0634795532689819E-3</v>
      </c>
      <c r="M224" s="9">
        <f t="shared" si="56"/>
        <v>0.52722063037249278</v>
      </c>
      <c r="N224" s="9">
        <f t="shared" si="57"/>
        <v>0.47277936962750716</v>
      </c>
      <c r="P224">
        <f t="shared" si="58"/>
        <v>342.5</v>
      </c>
      <c r="Q224">
        <f t="shared" si="59"/>
        <v>352.5</v>
      </c>
    </row>
    <row r="225" spans="1:17" x14ac:dyDescent="0.35">
      <c r="A225">
        <v>2023</v>
      </c>
      <c r="B225" s="3">
        <v>163</v>
      </c>
      <c r="C225" s="7">
        <v>22</v>
      </c>
      <c r="D225" s="3">
        <f t="shared" si="50"/>
        <v>20.375</v>
      </c>
      <c r="E225" s="10">
        <f t="shared" si="52"/>
        <v>0.40749999999999997</v>
      </c>
      <c r="F225" s="10">
        <f t="shared" si="51"/>
        <v>0.44</v>
      </c>
      <c r="G225" s="3">
        <f t="shared" si="49"/>
        <v>42.375</v>
      </c>
      <c r="H225" s="3">
        <f t="shared" si="61"/>
        <v>0</v>
      </c>
      <c r="I225" s="3">
        <f t="shared" si="53"/>
        <v>-0.77121474134288914</v>
      </c>
      <c r="J225" s="3">
        <f t="shared" si="54"/>
        <v>-1.1651714392395218</v>
      </c>
      <c r="K225" s="3">
        <f t="shared" si="55"/>
        <v>6.1124212060442468E-4</v>
      </c>
      <c r="L225" s="3">
        <f t="shared" si="60"/>
        <v>-6.1142900522775478E-4</v>
      </c>
      <c r="M225" s="9">
        <f t="shared" si="56"/>
        <v>0.5191740412979351</v>
      </c>
      <c r="N225" s="9">
        <f t="shared" si="57"/>
        <v>0.4808259587020649</v>
      </c>
      <c r="P225">
        <f t="shared" si="58"/>
        <v>356.5</v>
      </c>
      <c r="Q225">
        <f t="shared" si="59"/>
        <v>370</v>
      </c>
    </row>
    <row r="226" spans="1:17" x14ac:dyDescent="0.35">
      <c r="A226">
        <v>2023</v>
      </c>
      <c r="B226" s="3">
        <v>161</v>
      </c>
      <c r="C226" s="7">
        <v>20</v>
      </c>
      <c r="D226" s="3">
        <f t="shared" si="50"/>
        <v>20.125</v>
      </c>
      <c r="E226" s="10">
        <f t="shared" si="52"/>
        <v>0.40250000000000002</v>
      </c>
      <c r="F226" s="10">
        <f t="shared" si="51"/>
        <v>0.4</v>
      </c>
      <c r="G226" s="3">
        <f t="shared" si="49"/>
        <v>40.125</v>
      </c>
      <c r="H226" s="3">
        <f t="shared" si="61"/>
        <v>0</v>
      </c>
      <c r="I226" s="3">
        <f t="shared" si="53"/>
        <v>-0.84613521089919896</v>
      </c>
      <c r="J226" s="3">
        <f t="shared" si="54"/>
        <v>-1.4216687279181688</v>
      </c>
      <c r="K226" s="3">
        <f t="shared" si="55"/>
        <v>6.9691167444113107E-5</v>
      </c>
      <c r="L226" s="3">
        <f t="shared" si="60"/>
        <v>-6.9693595986394972E-5</v>
      </c>
      <c r="M226" s="9">
        <f t="shared" si="56"/>
        <v>0.49844236760124611</v>
      </c>
      <c r="N226" s="9">
        <f t="shared" si="57"/>
        <v>0.50155763239875384</v>
      </c>
      <c r="P226">
        <f t="shared" si="58"/>
        <v>370</v>
      </c>
      <c r="Q226">
        <f t="shared" si="59"/>
        <v>386</v>
      </c>
    </row>
    <row r="227" spans="1:17" x14ac:dyDescent="0.35">
      <c r="A227">
        <v>2023</v>
      </c>
      <c r="B227" s="3">
        <v>184</v>
      </c>
      <c r="C227" s="7">
        <v>18</v>
      </c>
      <c r="D227" s="3">
        <f t="shared" si="50"/>
        <v>23</v>
      </c>
      <c r="E227" s="10">
        <f t="shared" si="52"/>
        <v>0.46</v>
      </c>
      <c r="F227" s="10">
        <f t="shared" si="51"/>
        <v>0.36</v>
      </c>
      <c r="G227" s="3">
        <f t="shared" si="49"/>
        <v>41</v>
      </c>
      <c r="H227" s="3">
        <f t="shared" si="61"/>
        <v>0</v>
      </c>
      <c r="I227" s="3">
        <f t="shared" si="53"/>
        <v>1.5450188998363515E-2</v>
      </c>
      <c r="J227" s="3">
        <f t="shared" si="54"/>
        <v>-1.6781660165968155</v>
      </c>
      <c r="K227" s="3">
        <f t="shared" si="55"/>
        <v>2.1047401913021558E-4</v>
      </c>
      <c r="L227" s="3">
        <f t="shared" si="60"/>
        <v>-2.1049617189502004E-4</v>
      </c>
      <c r="M227" s="9">
        <f t="shared" si="56"/>
        <v>0.43902439024390244</v>
      </c>
      <c r="N227" s="9">
        <f t="shared" si="57"/>
        <v>0.56097560975609762</v>
      </c>
      <c r="P227">
        <f t="shared" si="58"/>
        <v>188.5</v>
      </c>
      <c r="Q227">
        <f t="shared" si="59"/>
        <v>409</v>
      </c>
    </row>
    <row r="228" spans="1:17" x14ac:dyDescent="0.35">
      <c r="A228">
        <v>2023</v>
      </c>
      <c r="B228" s="3">
        <v>149</v>
      </c>
      <c r="C228" s="7">
        <v>17</v>
      </c>
      <c r="D228" s="3">
        <f t="shared" si="50"/>
        <v>18.625</v>
      </c>
      <c r="E228" s="10">
        <f t="shared" si="52"/>
        <v>0.3725</v>
      </c>
      <c r="F228" s="10">
        <f t="shared" si="51"/>
        <v>0.34</v>
      </c>
      <c r="G228" s="3">
        <f t="shared" si="49"/>
        <v>35.625</v>
      </c>
      <c r="H228" s="3">
        <f t="shared" si="61"/>
        <v>0</v>
      </c>
      <c r="I228" s="3">
        <f t="shared" si="53"/>
        <v>-1.2956580282370576</v>
      </c>
      <c r="J228" s="3">
        <f t="shared" si="54"/>
        <v>-1.8064146609361391</v>
      </c>
      <c r="K228" s="3">
        <f t="shared" si="55"/>
        <v>8.2393786801679264E-7</v>
      </c>
      <c r="L228" s="3">
        <f t="shared" si="60"/>
        <v>-8.2393820748112505E-7</v>
      </c>
      <c r="M228" s="9">
        <f t="shared" si="56"/>
        <v>0.47719298245614034</v>
      </c>
      <c r="N228" s="9">
        <f t="shared" si="57"/>
        <v>0.52280701754385961</v>
      </c>
      <c r="P228">
        <f t="shared" si="58"/>
        <v>409</v>
      </c>
      <c r="Q228">
        <f t="shared" si="59"/>
        <v>415</v>
      </c>
    </row>
    <row r="229" spans="1:17" x14ac:dyDescent="0.35">
      <c r="A229">
        <v>2023</v>
      </c>
      <c r="B229" s="3">
        <v>186</v>
      </c>
      <c r="C229" s="7">
        <v>17</v>
      </c>
      <c r="D229" s="3">
        <f t="shared" si="50"/>
        <v>23.25</v>
      </c>
      <c r="E229" s="10">
        <f t="shared" si="52"/>
        <v>0.46500000000000002</v>
      </c>
      <c r="F229" s="10">
        <f t="shared" si="51"/>
        <v>0.34</v>
      </c>
      <c r="G229" s="3">
        <f t="shared" si="49"/>
        <v>40.25</v>
      </c>
      <c r="H229" s="3">
        <f t="shared" si="61"/>
        <v>0</v>
      </c>
      <c r="I229" s="3">
        <f t="shared" si="53"/>
        <v>9.03706585546733E-2</v>
      </c>
      <c r="J229" s="3">
        <f t="shared" si="54"/>
        <v>-1.8064146609361391</v>
      </c>
      <c r="K229" s="3">
        <f t="shared" si="55"/>
        <v>1.0529581289695781E-4</v>
      </c>
      <c r="L229" s="3">
        <f t="shared" si="60"/>
        <v>-1.0530135689026029E-4</v>
      </c>
      <c r="M229" s="9">
        <f t="shared" si="56"/>
        <v>0.42236024844720499</v>
      </c>
      <c r="N229" s="9">
        <f t="shared" si="57"/>
        <v>0.57763975155279501</v>
      </c>
      <c r="P229">
        <f t="shared" si="58"/>
        <v>171.5</v>
      </c>
      <c r="Q229">
        <f t="shared" si="59"/>
        <v>415</v>
      </c>
    </row>
    <row r="230" spans="1:17" x14ac:dyDescent="0.35">
      <c r="A230">
        <v>2023</v>
      </c>
      <c r="B230" s="3">
        <v>192</v>
      </c>
      <c r="C230" s="7">
        <v>19</v>
      </c>
      <c r="D230" s="3">
        <f t="shared" si="50"/>
        <v>24</v>
      </c>
      <c r="E230" s="10">
        <f t="shared" si="52"/>
        <v>0.48</v>
      </c>
      <c r="F230" s="10">
        <f t="shared" si="51"/>
        <v>0.38</v>
      </c>
      <c r="G230" s="3">
        <f t="shared" si="49"/>
        <v>43</v>
      </c>
      <c r="H230" s="3">
        <f t="shared" si="61"/>
        <v>0</v>
      </c>
      <c r="I230" s="3">
        <f t="shared" si="53"/>
        <v>0.31513206722360265</v>
      </c>
      <c r="J230" s="3">
        <f t="shared" si="54"/>
        <v>-1.5499173722574922</v>
      </c>
      <c r="K230" s="3">
        <f t="shared" si="55"/>
        <v>1.5587862763314837E-3</v>
      </c>
      <c r="L230" s="3">
        <f t="shared" si="60"/>
        <v>-1.5600024476574983E-3</v>
      </c>
      <c r="M230" s="9">
        <f t="shared" si="56"/>
        <v>0.44186046511627908</v>
      </c>
      <c r="N230" s="9">
        <f t="shared" si="57"/>
        <v>0.55813953488372092</v>
      </c>
      <c r="P230">
        <f t="shared" si="58"/>
        <v>129.5</v>
      </c>
      <c r="Q230">
        <f t="shared" si="59"/>
        <v>397.5</v>
      </c>
    </row>
    <row r="231" spans="1:17" x14ac:dyDescent="0.35">
      <c r="A231">
        <v>2023</v>
      </c>
      <c r="B231" s="3">
        <v>187</v>
      </c>
      <c r="C231" s="7">
        <v>19</v>
      </c>
      <c r="D231" s="3">
        <f t="shared" si="50"/>
        <v>23.375</v>
      </c>
      <c r="E231" s="10">
        <f t="shared" si="52"/>
        <v>0.46750000000000003</v>
      </c>
      <c r="F231" s="10">
        <f t="shared" si="51"/>
        <v>0.38</v>
      </c>
      <c r="G231" s="3">
        <f t="shared" ref="G231:G294" si="62">SUM(D231 + C231)</f>
        <v>42.375</v>
      </c>
      <c r="H231" s="3">
        <f t="shared" si="61"/>
        <v>0</v>
      </c>
      <c r="I231" s="3">
        <f t="shared" si="53"/>
        <v>0.12783089333282818</v>
      </c>
      <c r="J231" s="3">
        <f t="shared" si="54"/>
        <v>-1.5499173722574922</v>
      </c>
      <c r="K231" s="3">
        <f t="shared" si="55"/>
        <v>8.0991910937691148E-4</v>
      </c>
      <c r="L231" s="3">
        <f t="shared" si="60"/>
        <v>-8.1024727106033222E-4</v>
      </c>
      <c r="M231" s="9">
        <f t="shared" si="56"/>
        <v>0.44837758112094395</v>
      </c>
      <c r="N231" s="9">
        <f t="shared" si="57"/>
        <v>0.55162241887905605</v>
      </c>
      <c r="P231">
        <f t="shared" si="58"/>
        <v>163</v>
      </c>
      <c r="Q231">
        <f t="shared" si="59"/>
        <v>397.5</v>
      </c>
    </row>
    <row r="232" spans="1:17" x14ac:dyDescent="0.35">
      <c r="A232">
        <v>2023</v>
      </c>
      <c r="B232" s="3">
        <v>143</v>
      </c>
      <c r="C232" s="7">
        <v>24</v>
      </c>
      <c r="D232" s="3">
        <f t="shared" si="50"/>
        <v>17.875</v>
      </c>
      <c r="E232" s="10">
        <f t="shared" si="52"/>
        <v>0.35749999999999998</v>
      </c>
      <c r="F232" s="10">
        <f t="shared" si="51"/>
        <v>0.48</v>
      </c>
      <c r="G232" s="3">
        <f t="shared" si="62"/>
        <v>41.875</v>
      </c>
      <c r="H232" s="3">
        <f t="shared" si="61"/>
        <v>0</v>
      </c>
      <c r="I232" s="3">
        <f t="shared" si="53"/>
        <v>-1.5204194369059869</v>
      </c>
      <c r="J232" s="3">
        <f t="shared" si="54"/>
        <v>-0.90867415056087486</v>
      </c>
      <c r="K232" s="3">
        <f t="shared" si="55"/>
        <v>2.9996386641096141E-4</v>
      </c>
      <c r="L232" s="3">
        <f t="shared" si="60"/>
        <v>-3.0000886457030618E-4</v>
      </c>
      <c r="M232" s="9">
        <f t="shared" si="56"/>
        <v>0.57313432835820899</v>
      </c>
      <c r="N232" s="9">
        <f t="shared" si="57"/>
        <v>0.42686567164179107</v>
      </c>
      <c r="P232">
        <f t="shared" si="58"/>
        <v>424</v>
      </c>
      <c r="Q232">
        <f t="shared" si="59"/>
        <v>335.5</v>
      </c>
    </row>
    <row r="233" spans="1:17" x14ac:dyDescent="0.35">
      <c r="A233">
        <v>2023</v>
      </c>
      <c r="B233" s="3">
        <v>185</v>
      </c>
      <c r="C233" s="7">
        <v>19</v>
      </c>
      <c r="D233" s="3">
        <f t="shared" ref="D233:D237" si="63">B233 / 8</f>
        <v>23.125</v>
      </c>
      <c r="E233" s="10">
        <f t="shared" si="52"/>
        <v>0.46250000000000002</v>
      </c>
      <c r="F233" s="10">
        <f t="shared" ref="F233:F296" si="64">C233 / 50</f>
        <v>0.38</v>
      </c>
      <c r="G233" s="3">
        <f t="shared" si="62"/>
        <v>42.125</v>
      </c>
      <c r="H233" s="3">
        <f t="shared" si="61"/>
        <v>0</v>
      </c>
      <c r="I233" s="3">
        <f t="shared" si="53"/>
        <v>5.2910423776518403E-2</v>
      </c>
      <c r="J233" s="3">
        <f t="shared" si="54"/>
        <v>-1.5499173722574922</v>
      </c>
      <c r="K233" s="3">
        <f t="shared" si="55"/>
        <v>6.2323891286489579E-4</v>
      </c>
      <c r="L233" s="3">
        <f t="shared" si="60"/>
        <v>-6.2343320696807761E-4</v>
      </c>
      <c r="M233" s="9">
        <f t="shared" si="56"/>
        <v>0.45103857566765576</v>
      </c>
      <c r="N233" s="9">
        <f t="shared" si="57"/>
        <v>0.54896142433234418</v>
      </c>
      <c r="P233">
        <f t="shared" si="58"/>
        <v>179.5</v>
      </c>
      <c r="Q233">
        <f t="shared" si="59"/>
        <v>397.5</v>
      </c>
    </row>
    <row r="234" spans="1:17" x14ac:dyDescent="0.35">
      <c r="A234">
        <v>2023</v>
      </c>
      <c r="B234" s="3">
        <v>180</v>
      </c>
      <c r="C234" s="7">
        <v>18</v>
      </c>
      <c r="D234" s="3">
        <f t="shared" si="63"/>
        <v>22.5</v>
      </c>
      <c r="E234" s="10">
        <f t="shared" si="52"/>
        <v>0.45</v>
      </c>
      <c r="F234" s="10">
        <f t="shared" si="64"/>
        <v>0.36</v>
      </c>
      <c r="G234" s="3">
        <f t="shared" si="62"/>
        <v>40.5</v>
      </c>
      <c r="H234" s="3">
        <f t="shared" si="61"/>
        <v>0</v>
      </c>
      <c r="I234" s="3">
        <f t="shared" si="53"/>
        <v>-0.13439075011425605</v>
      </c>
      <c r="J234" s="3">
        <f t="shared" si="54"/>
        <v>-1.6781660165968155</v>
      </c>
      <c r="K234" s="3">
        <f t="shared" si="55"/>
        <v>1.2459464117455359E-4</v>
      </c>
      <c r="L234" s="3">
        <f t="shared" si="60"/>
        <v>-1.2460240373162918E-4</v>
      </c>
      <c r="M234" s="9">
        <f t="shared" si="56"/>
        <v>0.44444444444444442</v>
      </c>
      <c r="N234" s="9">
        <f t="shared" si="57"/>
        <v>0.55555555555555558</v>
      </c>
      <c r="P234">
        <f t="shared" si="58"/>
        <v>216.5</v>
      </c>
      <c r="Q234">
        <f t="shared" si="59"/>
        <v>409</v>
      </c>
    </row>
    <row r="235" spans="1:17" x14ac:dyDescent="0.35">
      <c r="A235">
        <v>2023</v>
      </c>
      <c r="B235" s="3">
        <v>163</v>
      </c>
      <c r="C235" s="7">
        <v>40</v>
      </c>
      <c r="D235" s="3">
        <f t="shared" si="63"/>
        <v>20.375</v>
      </c>
      <c r="E235" s="10">
        <f t="shared" si="52"/>
        <v>0.40749999999999997</v>
      </c>
      <c r="F235" s="10">
        <f t="shared" si="64"/>
        <v>0.8</v>
      </c>
      <c r="G235" s="3">
        <f t="shared" si="62"/>
        <v>60.375</v>
      </c>
      <c r="H235" s="3">
        <f t="shared" si="61"/>
        <v>1</v>
      </c>
      <c r="I235" s="3">
        <f t="shared" si="53"/>
        <v>-0.77121474134288914</v>
      </c>
      <c r="J235" s="3">
        <f t="shared" si="54"/>
        <v>1.1433041588683004</v>
      </c>
      <c r="K235" s="3">
        <f t="shared" si="55"/>
        <v>0.99994391153975348</v>
      </c>
      <c r="L235" s="3">
        <f t="shared" si="60"/>
        <v>-5.609003326302266E-5</v>
      </c>
      <c r="M235" s="9">
        <f t="shared" si="56"/>
        <v>0.66252587991718426</v>
      </c>
      <c r="N235" s="9">
        <f t="shared" si="57"/>
        <v>0.33747412008281574</v>
      </c>
      <c r="P235">
        <f t="shared" si="58"/>
        <v>356.5</v>
      </c>
      <c r="Q235">
        <f t="shared" si="59"/>
        <v>50.5</v>
      </c>
    </row>
    <row r="236" spans="1:17" x14ac:dyDescent="0.35">
      <c r="A236">
        <v>2023</v>
      </c>
      <c r="B236" s="3">
        <v>151</v>
      </c>
      <c r="C236" s="7">
        <v>21</v>
      </c>
      <c r="D236" s="3">
        <f t="shared" si="63"/>
        <v>18.875</v>
      </c>
      <c r="E236" s="10">
        <f t="shared" si="52"/>
        <v>0.3775</v>
      </c>
      <c r="F236" s="10">
        <f t="shared" si="64"/>
        <v>0.42</v>
      </c>
      <c r="G236" s="3">
        <f t="shared" si="62"/>
        <v>39.875</v>
      </c>
      <c r="H236" s="3">
        <f t="shared" si="61"/>
        <v>0</v>
      </c>
      <c r="I236" s="3">
        <f t="shared" si="53"/>
        <v>-1.2207375586807478</v>
      </c>
      <c r="J236" s="3">
        <f t="shared" si="54"/>
        <v>-1.2934200835788452</v>
      </c>
      <c r="K236" s="3">
        <f t="shared" si="55"/>
        <v>4.8814294562223304E-5</v>
      </c>
      <c r="L236" s="3">
        <f t="shared" si="60"/>
        <v>-4.8815486018721965E-5</v>
      </c>
      <c r="M236" s="9">
        <f t="shared" si="56"/>
        <v>0.52664576802507834</v>
      </c>
      <c r="N236" s="9">
        <f t="shared" si="57"/>
        <v>0.47335423197492166</v>
      </c>
      <c r="P236">
        <f t="shared" si="58"/>
        <v>402.5</v>
      </c>
      <c r="Q236">
        <f t="shared" si="59"/>
        <v>378.5</v>
      </c>
    </row>
    <row r="237" spans="1:17" x14ac:dyDescent="0.35">
      <c r="A237">
        <v>2023</v>
      </c>
      <c r="B237" s="3">
        <v>155</v>
      </c>
      <c r="C237" s="7">
        <v>40</v>
      </c>
      <c r="D237" s="3">
        <f t="shared" si="63"/>
        <v>19.375</v>
      </c>
      <c r="E237" s="10">
        <f t="shared" ref="E237:E300" si="65">B237 / 400</f>
        <v>0.38750000000000001</v>
      </c>
      <c r="F237" s="10">
        <f t="shared" si="64"/>
        <v>0.8</v>
      </c>
      <c r="G237" s="3">
        <f t="shared" si="62"/>
        <v>59.375</v>
      </c>
      <c r="H237" s="3">
        <f t="shared" si="61"/>
        <v>1</v>
      </c>
      <c r="I237" s="3">
        <f t="shared" si="53"/>
        <v>-1.0708966195681282</v>
      </c>
      <c r="J237" s="3">
        <f t="shared" si="54"/>
        <v>1.1433041588683004</v>
      </c>
      <c r="K237" s="3">
        <f t="shared" si="55"/>
        <v>0.99983993321456188</v>
      </c>
      <c r="L237" s="3">
        <f t="shared" si="60"/>
        <v>-1.6007959749322583E-4</v>
      </c>
      <c r="M237" s="9">
        <f t="shared" si="56"/>
        <v>0.67368421052631577</v>
      </c>
      <c r="N237" s="9">
        <f t="shared" si="57"/>
        <v>0.32631578947368423</v>
      </c>
      <c r="P237">
        <f t="shared" si="58"/>
        <v>393.5</v>
      </c>
      <c r="Q237">
        <f t="shared" si="59"/>
        <v>50.5</v>
      </c>
    </row>
    <row r="238" spans="1:17" x14ac:dyDescent="0.35">
      <c r="A238">
        <v>2023</v>
      </c>
      <c r="B238" s="3">
        <v>206</v>
      </c>
      <c r="C238" s="7">
        <v>40</v>
      </c>
      <c r="D238" s="3">
        <f>B238 / 8</f>
        <v>25.75</v>
      </c>
      <c r="E238" s="10">
        <f t="shared" si="65"/>
        <v>0.51500000000000001</v>
      </c>
      <c r="F238" s="10">
        <f t="shared" si="64"/>
        <v>0.8</v>
      </c>
      <c r="G238" s="3">
        <f t="shared" si="62"/>
        <v>65.75</v>
      </c>
      <c r="H238" s="3">
        <f t="shared" si="61"/>
        <v>1</v>
      </c>
      <c r="I238" s="3">
        <f t="shared" si="53"/>
        <v>0.83957535411777107</v>
      </c>
      <c r="J238" s="3">
        <f t="shared" si="54"/>
        <v>1.1433041588683004</v>
      </c>
      <c r="K238" s="3">
        <f t="shared" si="55"/>
        <v>0.99999980013758649</v>
      </c>
      <c r="L238" s="3">
        <f t="shared" si="60"/>
        <v>-1.9986243348049554E-7</v>
      </c>
      <c r="M238" s="9">
        <f t="shared" si="56"/>
        <v>0.60836501901140683</v>
      </c>
      <c r="N238" s="9">
        <f t="shared" si="57"/>
        <v>0.39163498098859317</v>
      </c>
      <c r="P238">
        <f t="shared" si="58"/>
        <v>61.5</v>
      </c>
      <c r="Q238">
        <f t="shared" si="59"/>
        <v>50.5</v>
      </c>
    </row>
    <row r="239" spans="1:17" x14ac:dyDescent="0.35">
      <c r="A239">
        <v>2024</v>
      </c>
      <c r="B239" s="6">
        <v>187</v>
      </c>
      <c r="C239" s="17">
        <v>39</v>
      </c>
      <c r="D239" s="3">
        <f>B239 / 8</f>
        <v>23.375</v>
      </c>
      <c r="E239" s="10">
        <f t="shared" si="65"/>
        <v>0.46750000000000003</v>
      </c>
      <c r="F239" s="10">
        <f t="shared" si="64"/>
        <v>0.78</v>
      </c>
      <c r="G239" s="3">
        <f t="shared" si="62"/>
        <v>62.375</v>
      </c>
      <c r="H239" s="3">
        <f t="shared" si="61"/>
        <v>1</v>
      </c>
      <c r="I239" s="3">
        <f t="shared" si="53"/>
        <v>0.12783089333282818</v>
      </c>
      <c r="J239" s="3">
        <f t="shared" si="54"/>
        <v>1.015055514528977</v>
      </c>
      <c r="K239" s="3">
        <f t="shared" si="55"/>
        <v>0.99999373129479074</v>
      </c>
      <c r="L239" s="3">
        <f t="shared" si="60"/>
        <v>-6.2687248576704339E-6</v>
      </c>
      <c r="M239" s="9">
        <f t="shared" si="56"/>
        <v>0.62525050100200397</v>
      </c>
      <c r="N239" s="9">
        <f t="shared" si="57"/>
        <v>0.37474949899799598</v>
      </c>
      <c r="P239">
        <f t="shared" si="58"/>
        <v>163</v>
      </c>
      <c r="Q239">
        <f t="shared" si="59"/>
        <v>76.5</v>
      </c>
    </row>
    <row r="240" spans="1:17" x14ac:dyDescent="0.35">
      <c r="A240">
        <v>2024</v>
      </c>
      <c r="B240" s="6">
        <v>232</v>
      </c>
      <c r="C240" s="17">
        <v>31</v>
      </c>
      <c r="D240" s="3">
        <f t="shared" ref="D240:D303" si="66">B240 / 8</f>
        <v>29</v>
      </c>
      <c r="E240" s="10">
        <f t="shared" si="65"/>
        <v>0.57999999999999996</v>
      </c>
      <c r="F240" s="10">
        <f t="shared" si="64"/>
        <v>0.62</v>
      </c>
      <c r="G240" s="3">
        <f t="shared" si="62"/>
        <v>60</v>
      </c>
      <c r="H240" s="3">
        <f t="shared" si="61"/>
        <v>1</v>
      </c>
      <c r="I240" s="3">
        <f t="shared" si="53"/>
        <v>1.8135414583497982</v>
      </c>
      <c r="J240" s="3">
        <f t="shared" si="54"/>
        <v>-1.0933640185610671E-2</v>
      </c>
      <c r="K240" s="3">
        <f t="shared" si="55"/>
        <v>0.99996429405414244</v>
      </c>
      <c r="L240" s="3">
        <f t="shared" si="60"/>
        <v>-3.5706583330015137E-5</v>
      </c>
      <c r="M240" s="9">
        <f t="shared" si="56"/>
        <v>0.51666666666666672</v>
      </c>
      <c r="N240" s="9">
        <f t="shared" si="57"/>
        <v>0.48333333333333334</v>
      </c>
      <c r="P240">
        <f t="shared" si="58"/>
        <v>23</v>
      </c>
      <c r="Q240">
        <f t="shared" si="59"/>
        <v>239.5</v>
      </c>
    </row>
    <row r="241" spans="1:17" x14ac:dyDescent="0.35">
      <c r="A241">
        <v>2024</v>
      </c>
      <c r="B241" s="6">
        <v>165</v>
      </c>
      <c r="C241" s="17">
        <v>37</v>
      </c>
      <c r="D241" s="3">
        <f t="shared" si="66"/>
        <v>20.625</v>
      </c>
      <c r="E241" s="10">
        <f t="shared" si="65"/>
        <v>0.41249999999999998</v>
      </c>
      <c r="F241" s="10">
        <f t="shared" si="64"/>
        <v>0.74</v>
      </c>
      <c r="G241" s="3">
        <f t="shared" si="62"/>
        <v>57.625</v>
      </c>
      <c r="H241" s="3">
        <f t="shared" si="61"/>
        <v>1</v>
      </c>
      <c r="I241" s="3">
        <f t="shared" si="53"/>
        <v>-0.69629427178657943</v>
      </c>
      <c r="J241" s="3">
        <f t="shared" si="54"/>
        <v>0.75855822585033006</v>
      </c>
      <c r="K241" s="3">
        <f t="shared" si="55"/>
        <v>0.99924350705835663</v>
      </c>
      <c r="L241" s="3">
        <f t="shared" si="60"/>
        <v>-7.5677922681966576E-4</v>
      </c>
      <c r="M241" s="9">
        <f t="shared" si="56"/>
        <v>0.64208242950108463</v>
      </c>
      <c r="N241" s="9">
        <f t="shared" si="57"/>
        <v>0.35791757049891543</v>
      </c>
      <c r="P241">
        <f t="shared" si="58"/>
        <v>342.5</v>
      </c>
      <c r="Q241">
        <f t="shared" si="59"/>
        <v>128</v>
      </c>
    </row>
    <row r="242" spans="1:17" x14ac:dyDescent="0.35">
      <c r="A242">
        <v>2024</v>
      </c>
      <c r="B242" s="6">
        <v>179</v>
      </c>
      <c r="C242" s="17">
        <v>43</v>
      </c>
      <c r="D242" s="3">
        <f t="shared" si="66"/>
        <v>22.375</v>
      </c>
      <c r="E242" s="10">
        <f t="shared" si="65"/>
        <v>0.44750000000000001</v>
      </c>
      <c r="F242" s="10">
        <f t="shared" si="64"/>
        <v>0.86</v>
      </c>
      <c r="G242" s="3">
        <f t="shared" si="62"/>
        <v>65.375</v>
      </c>
      <c r="H242" s="3">
        <f t="shared" si="61"/>
        <v>1</v>
      </c>
      <c r="I242" s="3">
        <f t="shared" si="53"/>
        <v>-0.17185098489241094</v>
      </c>
      <c r="J242" s="3">
        <f t="shared" si="54"/>
        <v>1.5280500918862707</v>
      </c>
      <c r="K242" s="3">
        <f t="shared" si="55"/>
        <v>0.9999996074923847</v>
      </c>
      <c r="L242" s="3">
        <f t="shared" si="60"/>
        <v>-3.92507692329988E-7</v>
      </c>
      <c r="M242" s="9">
        <f t="shared" si="56"/>
        <v>0.65774378585086046</v>
      </c>
      <c r="N242" s="9">
        <f t="shared" si="57"/>
        <v>0.34225621414913959</v>
      </c>
      <c r="P242">
        <f t="shared" si="58"/>
        <v>223.5</v>
      </c>
      <c r="Q242">
        <f t="shared" si="59"/>
        <v>7</v>
      </c>
    </row>
    <row r="243" spans="1:17" x14ac:dyDescent="0.35">
      <c r="A243">
        <v>2024</v>
      </c>
      <c r="B243" s="6">
        <v>249</v>
      </c>
      <c r="C243" s="17">
        <v>31</v>
      </c>
      <c r="D243" s="3">
        <f t="shared" si="66"/>
        <v>31.125</v>
      </c>
      <c r="E243" s="10">
        <f t="shared" si="65"/>
        <v>0.62250000000000005</v>
      </c>
      <c r="F243" s="10">
        <f t="shared" si="64"/>
        <v>0.62</v>
      </c>
      <c r="G243" s="3">
        <f t="shared" si="62"/>
        <v>62.125</v>
      </c>
      <c r="H243" s="3">
        <f t="shared" si="61"/>
        <v>1</v>
      </c>
      <c r="I243" s="3">
        <f t="shared" si="53"/>
        <v>2.4503654495784315</v>
      </c>
      <c r="J243" s="3">
        <f t="shared" si="54"/>
        <v>-1.0933640185610671E-2</v>
      </c>
      <c r="K243" s="3">
        <f t="shared" si="55"/>
        <v>0.99999615519307206</v>
      </c>
      <c r="L243" s="3">
        <f t="shared" si="60"/>
        <v>-3.8448143192330797E-6</v>
      </c>
      <c r="M243" s="9">
        <f t="shared" si="56"/>
        <v>0.49899396378269617</v>
      </c>
      <c r="N243" s="9">
        <f t="shared" si="57"/>
        <v>0.50100603621730377</v>
      </c>
      <c r="P243">
        <f t="shared" si="58"/>
        <v>8</v>
      </c>
      <c r="Q243">
        <f t="shared" si="59"/>
        <v>239.5</v>
      </c>
    </row>
    <row r="244" spans="1:17" x14ac:dyDescent="0.35">
      <c r="A244">
        <v>2024</v>
      </c>
      <c r="B244" s="6">
        <v>196</v>
      </c>
      <c r="C244" s="17">
        <v>40</v>
      </c>
      <c r="D244" s="3">
        <f t="shared" si="66"/>
        <v>24.5</v>
      </c>
      <c r="E244" s="10">
        <f t="shared" si="65"/>
        <v>0.49</v>
      </c>
      <c r="F244" s="10">
        <f t="shared" si="64"/>
        <v>0.8</v>
      </c>
      <c r="G244" s="3">
        <f t="shared" si="62"/>
        <v>64.5</v>
      </c>
      <c r="H244" s="3">
        <f t="shared" si="61"/>
        <v>1</v>
      </c>
      <c r="I244" s="3">
        <f t="shared" si="53"/>
        <v>0.46497300633622218</v>
      </c>
      <c r="J244" s="3">
        <f t="shared" si="54"/>
        <v>1.1433041588683004</v>
      </c>
      <c r="K244" s="3">
        <f t="shared" si="55"/>
        <v>0.99999925856688898</v>
      </c>
      <c r="L244" s="3">
        <f t="shared" si="60"/>
        <v>-7.4143338587948457E-7</v>
      </c>
      <c r="M244" s="9">
        <f t="shared" si="56"/>
        <v>0.62015503875968991</v>
      </c>
      <c r="N244" s="9">
        <f t="shared" si="57"/>
        <v>0.37984496124031009</v>
      </c>
      <c r="P244">
        <f t="shared" si="58"/>
        <v>106.5</v>
      </c>
      <c r="Q244">
        <f t="shared" si="59"/>
        <v>50.5</v>
      </c>
    </row>
    <row r="245" spans="1:17" x14ac:dyDescent="0.35">
      <c r="A245">
        <v>2024</v>
      </c>
      <c r="B245" s="6">
        <v>162</v>
      </c>
      <c r="C245" s="17">
        <v>40</v>
      </c>
      <c r="D245" s="3">
        <f t="shared" si="66"/>
        <v>20.25</v>
      </c>
      <c r="E245" s="10">
        <f t="shared" si="65"/>
        <v>0.40500000000000003</v>
      </c>
      <c r="F245" s="10">
        <f t="shared" si="64"/>
        <v>0.8</v>
      </c>
      <c r="G245" s="3">
        <f t="shared" si="62"/>
        <v>60.25</v>
      </c>
      <c r="H245" s="3">
        <f t="shared" si="61"/>
        <v>1</v>
      </c>
      <c r="I245" s="3">
        <f t="shared" si="53"/>
        <v>-0.808674976121044</v>
      </c>
      <c r="J245" s="3">
        <f t="shared" si="54"/>
        <v>1.1433041588683004</v>
      </c>
      <c r="K245" s="3">
        <f t="shared" si="55"/>
        <v>0.99993605535006613</v>
      </c>
      <c r="L245" s="3">
        <f t="shared" si="60"/>
        <v>-6.394669448015352E-5</v>
      </c>
      <c r="M245" s="9">
        <f t="shared" si="56"/>
        <v>0.66390041493775931</v>
      </c>
      <c r="N245" s="9">
        <f t="shared" si="57"/>
        <v>0.33609958506224069</v>
      </c>
      <c r="P245">
        <f t="shared" si="58"/>
        <v>364.5</v>
      </c>
      <c r="Q245">
        <f t="shared" si="59"/>
        <v>50.5</v>
      </c>
    </row>
    <row r="246" spans="1:17" x14ac:dyDescent="0.35">
      <c r="A246">
        <v>2024</v>
      </c>
      <c r="B246" s="6">
        <v>206</v>
      </c>
      <c r="C246" s="17">
        <v>29</v>
      </c>
      <c r="D246" s="3">
        <f t="shared" si="66"/>
        <v>25.75</v>
      </c>
      <c r="E246" s="10">
        <f t="shared" si="65"/>
        <v>0.51500000000000001</v>
      </c>
      <c r="F246" s="10">
        <f t="shared" si="64"/>
        <v>0.57999999999999996</v>
      </c>
      <c r="G246" s="3">
        <f t="shared" si="62"/>
        <v>54.75</v>
      </c>
      <c r="H246" s="3">
        <f t="shared" si="61"/>
        <v>1</v>
      </c>
      <c r="I246" s="3">
        <f t="shared" si="53"/>
        <v>0.83957535411777107</v>
      </c>
      <c r="J246" s="3">
        <f t="shared" si="54"/>
        <v>-0.26743092886425757</v>
      </c>
      <c r="K246" s="3">
        <f t="shared" si="55"/>
        <v>0.99276742448359978</v>
      </c>
      <c r="L246" s="3">
        <f t="shared" si="60"/>
        <v>-7.2588573911372021E-3</v>
      </c>
      <c r="M246" s="9">
        <f t="shared" si="56"/>
        <v>0.52968036529680362</v>
      </c>
      <c r="N246" s="9">
        <f t="shared" si="57"/>
        <v>0.47031963470319632</v>
      </c>
      <c r="P246">
        <f t="shared" si="58"/>
        <v>61.5</v>
      </c>
      <c r="Q246">
        <f t="shared" si="59"/>
        <v>272.5</v>
      </c>
    </row>
    <row r="247" spans="1:17" x14ac:dyDescent="0.35">
      <c r="A247">
        <v>2024</v>
      </c>
      <c r="B247" s="6">
        <v>226</v>
      </c>
      <c r="C247" s="17">
        <v>40</v>
      </c>
      <c r="D247" s="3">
        <f t="shared" si="66"/>
        <v>28.25</v>
      </c>
      <c r="E247" s="10">
        <f t="shared" si="65"/>
        <v>0.56499999999999995</v>
      </c>
      <c r="F247" s="10">
        <f t="shared" si="64"/>
        <v>0.8</v>
      </c>
      <c r="G247" s="3">
        <f t="shared" si="62"/>
        <v>68.25</v>
      </c>
      <c r="H247" s="3">
        <f t="shared" si="61"/>
        <v>1</v>
      </c>
      <c r="I247" s="3">
        <f t="shared" si="53"/>
        <v>1.5887800496808688</v>
      </c>
      <c r="J247" s="3">
        <f t="shared" si="54"/>
        <v>1.1433041588683004</v>
      </c>
      <c r="K247" s="3">
        <f t="shared" si="55"/>
        <v>0.99999998547724411</v>
      </c>
      <c r="L247" s="3">
        <f t="shared" si="60"/>
        <v>-1.4522755992214107E-8</v>
      </c>
      <c r="M247" s="9">
        <f t="shared" si="56"/>
        <v>0.58608058608058611</v>
      </c>
      <c r="N247" s="9">
        <f t="shared" si="57"/>
        <v>0.41391941391941389</v>
      </c>
      <c r="P247">
        <f t="shared" si="58"/>
        <v>30</v>
      </c>
      <c r="Q247">
        <f t="shared" si="59"/>
        <v>50.5</v>
      </c>
    </row>
    <row r="248" spans="1:17" x14ac:dyDescent="0.35">
      <c r="A248">
        <v>2024</v>
      </c>
      <c r="B248" s="6">
        <v>229</v>
      </c>
      <c r="C248" s="17">
        <v>27</v>
      </c>
      <c r="D248" s="3">
        <f t="shared" si="66"/>
        <v>28.625</v>
      </c>
      <c r="E248" s="10">
        <f t="shared" si="65"/>
        <v>0.57250000000000001</v>
      </c>
      <c r="F248" s="10">
        <f t="shared" si="64"/>
        <v>0.54</v>
      </c>
      <c r="G248" s="3">
        <f t="shared" si="62"/>
        <v>55.625</v>
      </c>
      <c r="H248" s="3">
        <f t="shared" si="61"/>
        <v>1</v>
      </c>
      <c r="I248" s="3">
        <f t="shared" si="53"/>
        <v>1.7011607540153335</v>
      </c>
      <c r="J248" s="3">
        <f t="shared" si="54"/>
        <v>-0.52392821754290453</v>
      </c>
      <c r="K248" s="3">
        <f t="shared" si="55"/>
        <v>0.99759387973780433</v>
      </c>
      <c r="L248" s="3">
        <f t="shared" si="60"/>
        <v>-2.4090196212919173E-3</v>
      </c>
      <c r="M248" s="9">
        <f t="shared" si="56"/>
        <v>0.48539325842696629</v>
      </c>
      <c r="N248" s="9">
        <f t="shared" si="57"/>
        <v>0.51460674157303365</v>
      </c>
      <c r="P248">
        <f t="shared" si="58"/>
        <v>25.5</v>
      </c>
      <c r="Q248">
        <f t="shared" si="59"/>
        <v>294.5</v>
      </c>
    </row>
    <row r="249" spans="1:17" x14ac:dyDescent="0.35">
      <c r="A249">
        <v>2024</v>
      </c>
      <c r="B249" s="6">
        <v>152</v>
      </c>
      <c r="C249" s="17">
        <v>31</v>
      </c>
      <c r="D249" s="3">
        <f t="shared" si="66"/>
        <v>19</v>
      </c>
      <c r="E249" s="10">
        <f t="shared" si="65"/>
        <v>0.38</v>
      </c>
      <c r="F249" s="10">
        <f t="shared" si="64"/>
        <v>0.62</v>
      </c>
      <c r="G249" s="3">
        <f t="shared" si="62"/>
        <v>50</v>
      </c>
      <c r="H249" s="3">
        <f t="shared" si="61"/>
        <v>1</v>
      </c>
      <c r="I249" s="3">
        <f t="shared" si="53"/>
        <v>-1.1832773239025929</v>
      </c>
      <c r="J249" s="3">
        <f t="shared" si="54"/>
        <v>-1.0933640185610671E-2</v>
      </c>
      <c r="K249" s="3">
        <f t="shared" si="55"/>
        <v>0.43844072097369902</v>
      </c>
      <c r="L249" s="3">
        <f t="shared" si="60"/>
        <v>-0.82453066222920834</v>
      </c>
      <c r="M249" s="9">
        <f t="shared" si="56"/>
        <v>0.62</v>
      </c>
      <c r="N249" s="9">
        <f t="shared" si="57"/>
        <v>0.38</v>
      </c>
      <c r="P249">
        <f t="shared" si="58"/>
        <v>398</v>
      </c>
      <c r="Q249">
        <f t="shared" si="59"/>
        <v>239.5</v>
      </c>
    </row>
    <row r="250" spans="1:17" x14ac:dyDescent="0.35">
      <c r="A250">
        <v>2024</v>
      </c>
      <c r="B250" s="6">
        <v>226</v>
      </c>
      <c r="C250" s="17">
        <v>37</v>
      </c>
      <c r="D250" s="3">
        <f t="shared" si="66"/>
        <v>28.25</v>
      </c>
      <c r="E250" s="10">
        <f t="shared" si="65"/>
        <v>0.56499999999999995</v>
      </c>
      <c r="F250" s="10">
        <f t="shared" si="64"/>
        <v>0.74</v>
      </c>
      <c r="G250" s="3">
        <f t="shared" si="62"/>
        <v>65.25</v>
      </c>
      <c r="H250" s="3">
        <f t="shared" si="61"/>
        <v>1</v>
      </c>
      <c r="I250" s="3">
        <f t="shared" si="53"/>
        <v>1.5887800496808688</v>
      </c>
      <c r="J250" s="3">
        <f t="shared" si="54"/>
        <v>0.75855822585033006</v>
      </c>
      <c r="K250" s="3">
        <f t="shared" si="55"/>
        <v>0.99999974522734092</v>
      </c>
      <c r="L250" s="3">
        <f t="shared" si="60"/>
        <v>-2.5477269153525253E-7</v>
      </c>
      <c r="M250" s="9">
        <f t="shared" si="56"/>
        <v>0.56704980842911878</v>
      </c>
      <c r="N250" s="9">
        <f t="shared" si="57"/>
        <v>0.43295019157088122</v>
      </c>
      <c r="P250">
        <f t="shared" si="58"/>
        <v>30</v>
      </c>
      <c r="Q250">
        <f t="shared" si="59"/>
        <v>128</v>
      </c>
    </row>
    <row r="251" spans="1:17" x14ac:dyDescent="0.35">
      <c r="A251">
        <v>2024</v>
      </c>
      <c r="B251" s="6">
        <v>178</v>
      </c>
      <c r="C251" s="17">
        <v>42</v>
      </c>
      <c r="D251" s="3">
        <f t="shared" si="66"/>
        <v>22.25</v>
      </c>
      <c r="E251" s="10">
        <f t="shared" si="65"/>
        <v>0.44500000000000001</v>
      </c>
      <c r="F251" s="10">
        <f t="shared" si="64"/>
        <v>0.84</v>
      </c>
      <c r="G251" s="3">
        <f t="shared" si="62"/>
        <v>64.25</v>
      </c>
      <c r="H251" s="3">
        <f t="shared" si="61"/>
        <v>1</v>
      </c>
      <c r="I251" s="3">
        <f t="shared" si="53"/>
        <v>-0.20931121967056582</v>
      </c>
      <c r="J251" s="3">
        <f t="shared" si="54"/>
        <v>1.3998014475469474</v>
      </c>
      <c r="K251" s="3">
        <f t="shared" si="55"/>
        <v>0.99999883725854655</v>
      </c>
      <c r="L251" s="3">
        <f t="shared" si="60"/>
        <v>-1.1627421294375543E-6</v>
      </c>
      <c r="M251" s="9">
        <f t="shared" si="56"/>
        <v>0.65369649805447472</v>
      </c>
      <c r="N251" s="9">
        <f t="shared" si="57"/>
        <v>0.34630350194552528</v>
      </c>
      <c r="P251">
        <f t="shared" si="58"/>
        <v>230.5</v>
      </c>
      <c r="Q251">
        <f t="shared" si="59"/>
        <v>13.5</v>
      </c>
    </row>
    <row r="252" spans="1:17" x14ac:dyDescent="0.35">
      <c r="A252">
        <v>2024</v>
      </c>
      <c r="B252" s="6">
        <v>265</v>
      </c>
      <c r="C252" s="17">
        <v>27</v>
      </c>
      <c r="D252" s="3">
        <f t="shared" si="66"/>
        <v>33.125</v>
      </c>
      <c r="E252" s="10">
        <f t="shared" si="65"/>
        <v>0.66249999999999998</v>
      </c>
      <c r="F252" s="10">
        <f t="shared" si="64"/>
        <v>0.54</v>
      </c>
      <c r="G252" s="3">
        <f t="shared" si="62"/>
        <v>60.125</v>
      </c>
      <c r="H252" s="3">
        <f t="shared" si="61"/>
        <v>1</v>
      </c>
      <c r="I252" s="3">
        <f t="shared" si="53"/>
        <v>3.0497292060289096</v>
      </c>
      <c r="J252" s="3">
        <f t="shared" si="54"/>
        <v>-0.52392821754290453</v>
      </c>
      <c r="K252" s="3">
        <f t="shared" si="55"/>
        <v>0.99997848574524983</v>
      </c>
      <c r="L252" s="3">
        <f t="shared" si="60"/>
        <v>-2.1514486185063828E-5</v>
      </c>
      <c r="M252" s="9">
        <f t="shared" si="56"/>
        <v>0.44906444906444909</v>
      </c>
      <c r="N252" s="9">
        <f t="shared" si="57"/>
        <v>0.55093555093555091</v>
      </c>
      <c r="P252">
        <f t="shared" si="58"/>
        <v>6</v>
      </c>
      <c r="Q252">
        <f t="shared" si="59"/>
        <v>294.5</v>
      </c>
    </row>
    <row r="253" spans="1:17" x14ac:dyDescent="0.35">
      <c r="A253">
        <v>2024</v>
      </c>
      <c r="B253" s="6">
        <v>168</v>
      </c>
      <c r="C253" s="17">
        <v>42</v>
      </c>
      <c r="D253" s="3">
        <f t="shared" si="66"/>
        <v>21</v>
      </c>
      <c r="E253" s="10">
        <f t="shared" si="65"/>
        <v>0.42</v>
      </c>
      <c r="F253" s="10">
        <f t="shared" si="64"/>
        <v>0.84</v>
      </c>
      <c r="G253" s="3">
        <f t="shared" si="62"/>
        <v>63</v>
      </c>
      <c r="H253" s="3">
        <f t="shared" si="61"/>
        <v>1</v>
      </c>
      <c r="I253" s="3">
        <f t="shared" si="53"/>
        <v>-0.58391356745211476</v>
      </c>
      <c r="J253" s="3">
        <f t="shared" si="54"/>
        <v>1.3998014475469474</v>
      </c>
      <c r="K253" s="3">
        <f t="shared" si="55"/>
        <v>0.99999568656883264</v>
      </c>
      <c r="L253" s="3">
        <f t="shared" si="60"/>
        <v>-4.3134404702285758E-6</v>
      </c>
      <c r="M253" s="9">
        <f t="shared" si="56"/>
        <v>0.66666666666666663</v>
      </c>
      <c r="N253" s="9">
        <f t="shared" si="57"/>
        <v>0.33333333333333331</v>
      </c>
      <c r="P253">
        <f t="shared" si="58"/>
        <v>311.5</v>
      </c>
      <c r="Q253">
        <f t="shared" si="59"/>
        <v>13.5</v>
      </c>
    </row>
    <row r="254" spans="1:17" x14ac:dyDescent="0.35">
      <c r="A254">
        <v>2024</v>
      </c>
      <c r="B254" s="6">
        <v>162</v>
      </c>
      <c r="C254" s="17">
        <v>29</v>
      </c>
      <c r="D254" s="3">
        <f t="shared" si="66"/>
        <v>20.25</v>
      </c>
      <c r="E254" s="10">
        <f t="shared" si="65"/>
        <v>0.40500000000000003</v>
      </c>
      <c r="F254" s="10">
        <f t="shared" si="64"/>
        <v>0.57999999999999996</v>
      </c>
      <c r="G254" s="3">
        <f t="shared" si="62"/>
        <v>49.25</v>
      </c>
      <c r="H254" s="3">
        <f t="shared" si="61"/>
        <v>0</v>
      </c>
      <c r="I254" s="3">
        <f t="shared" si="53"/>
        <v>-0.808674976121044</v>
      </c>
      <c r="J254" s="3">
        <f t="shared" si="54"/>
        <v>-0.26743092886425757</v>
      </c>
      <c r="K254" s="3">
        <f t="shared" si="55"/>
        <v>0.30020823322158102</v>
      </c>
      <c r="L254" s="3">
        <f t="shared" si="60"/>
        <v>-0.35697246422433349</v>
      </c>
      <c r="M254" s="9">
        <f t="shared" si="56"/>
        <v>0.58883248730964466</v>
      </c>
      <c r="N254" s="9">
        <f t="shared" si="57"/>
        <v>0.41116751269035534</v>
      </c>
      <c r="P254">
        <f t="shared" si="58"/>
        <v>364.5</v>
      </c>
      <c r="Q254">
        <f t="shared" si="59"/>
        <v>272.5</v>
      </c>
    </row>
    <row r="255" spans="1:17" x14ac:dyDescent="0.35">
      <c r="A255">
        <v>2024</v>
      </c>
      <c r="B255" s="6">
        <v>191</v>
      </c>
      <c r="C255" s="17">
        <v>41</v>
      </c>
      <c r="D255" s="3">
        <f t="shared" si="66"/>
        <v>23.875</v>
      </c>
      <c r="E255" s="10">
        <f t="shared" si="65"/>
        <v>0.47749999999999998</v>
      </c>
      <c r="F255" s="10">
        <f t="shared" si="64"/>
        <v>0.82</v>
      </c>
      <c r="G255" s="3">
        <f t="shared" si="62"/>
        <v>64.875</v>
      </c>
      <c r="H255" s="3">
        <f t="shared" si="61"/>
        <v>1</v>
      </c>
      <c r="I255" s="3">
        <f t="shared" si="53"/>
        <v>0.27767183244544774</v>
      </c>
      <c r="J255" s="3">
        <f t="shared" si="54"/>
        <v>1.271552803207624</v>
      </c>
      <c r="K255" s="3">
        <f t="shared" si="55"/>
        <v>0.99999945040685467</v>
      </c>
      <c r="L255" s="3">
        <f t="shared" si="60"/>
        <v>-5.495932963533556E-7</v>
      </c>
      <c r="M255" s="9">
        <f t="shared" si="56"/>
        <v>0.63198458574181116</v>
      </c>
      <c r="N255" s="9">
        <f t="shared" si="57"/>
        <v>0.36801541425818884</v>
      </c>
      <c r="P255">
        <f t="shared" si="58"/>
        <v>137.5</v>
      </c>
      <c r="Q255">
        <f t="shared" si="59"/>
        <v>27</v>
      </c>
    </row>
    <row r="256" spans="1:17" x14ac:dyDescent="0.35">
      <c r="A256">
        <v>2024</v>
      </c>
      <c r="B256" s="6">
        <v>188</v>
      </c>
      <c r="C256" s="17">
        <v>36</v>
      </c>
      <c r="D256" s="3">
        <f t="shared" si="66"/>
        <v>23.5</v>
      </c>
      <c r="E256" s="10">
        <f t="shared" si="65"/>
        <v>0.47</v>
      </c>
      <c r="F256" s="10">
        <f t="shared" si="64"/>
        <v>0.72</v>
      </c>
      <c r="G256" s="3">
        <f t="shared" si="62"/>
        <v>59.5</v>
      </c>
      <c r="H256" s="3">
        <f t="shared" si="61"/>
        <v>1</v>
      </c>
      <c r="I256" s="3">
        <f t="shared" si="53"/>
        <v>0.16529112811098307</v>
      </c>
      <c r="J256" s="3">
        <f t="shared" si="54"/>
        <v>0.63030958151100658</v>
      </c>
      <c r="K256" s="3">
        <f t="shared" si="55"/>
        <v>0.99990354861778774</v>
      </c>
      <c r="L256" s="3">
        <f t="shared" si="60"/>
        <v>-9.6456033945937735E-5</v>
      </c>
      <c r="M256" s="9">
        <f t="shared" si="56"/>
        <v>0.60504201680672265</v>
      </c>
      <c r="N256" s="9">
        <f t="shared" si="57"/>
        <v>0.3949579831932773</v>
      </c>
      <c r="P256">
        <f t="shared" si="58"/>
        <v>155</v>
      </c>
      <c r="Q256">
        <f t="shared" si="59"/>
        <v>152</v>
      </c>
    </row>
    <row r="257" spans="1:17" x14ac:dyDescent="0.35">
      <c r="A257">
        <v>2024</v>
      </c>
      <c r="B257" s="6">
        <v>195</v>
      </c>
      <c r="C257" s="17">
        <v>41</v>
      </c>
      <c r="D257" s="3">
        <f t="shared" si="66"/>
        <v>24.375</v>
      </c>
      <c r="E257" s="10">
        <f t="shared" si="65"/>
        <v>0.48749999999999999</v>
      </c>
      <c r="F257" s="10">
        <f t="shared" si="64"/>
        <v>0.82</v>
      </c>
      <c r="G257" s="3">
        <f t="shared" si="62"/>
        <v>65.375</v>
      </c>
      <c r="H257" s="3">
        <f t="shared" si="61"/>
        <v>1</v>
      </c>
      <c r="I257" s="3">
        <f t="shared" si="53"/>
        <v>0.42751277155806727</v>
      </c>
      <c r="J257" s="3">
        <f t="shared" si="54"/>
        <v>1.271552803207624</v>
      </c>
      <c r="K257" s="3">
        <f t="shared" si="55"/>
        <v>0.99999967468433903</v>
      </c>
      <c r="L257" s="3">
        <f t="shared" si="60"/>
        <v>-3.2531571388020426E-7</v>
      </c>
      <c r="M257" s="9">
        <f t="shared" si="56"/>
        <v>0.62715105162523899</v>
      </c>
      <c r="N257" s="9">
        <f t="shared" si="57"/>
        <v>0.37284894837476101</v>
      </c>
      <c r="P257">
        <f t="shared" si="58"/>
        <v>113.5</v>
      </c>
      <c r="Q257">
        <f t="shared" si="59"/>
        <v>27</v>
      </c>
    </row>
    <row r="258" spans="1:17" x14ac:dyDescent="0.35">
      <c r="A258">
        <v>2024</v>
      </c>
      <c r="B258" s="6">
        <v>168</v>
      </c>
      <c r="C258" s="17">
        <v>30</v>
      </c>
      <c r="D258" s="3">
        <f t="shared" si="66"/>
        <v>21</v>
      </c>
      <c r="E258" s="10">
        <f t="shared" si="65"/>
        <v>0.42</v>
      </c>
      <c r="F258" s="10">
        <f t="shared" si="64"/>
        <v>0.6</v>
      </c>
      <c r="G258" s="3">
        <f t="shared" si="62"/>
        <v>51</v>
      </c>
      <c r="H258" s="3">
        <f t="shared" si="61"/>
        <v>1</v>
      </c>
      <c r="I258" s="3">
        <f t="shared" ref="I258:I321" si="67" xml:space="preserve"> (D:D - AVERAGE(D:D)) / STDEV(D:D)</f>
        <v>-0.58391356745211476</v>
      </c>
      <c r="J258" s="3">
        <f t="shared" ref="J258:J321" si="68" xml:space="preserve"> (C:C - AVERAGE(C:C)) / STDEV(C:C)</f>
        <v>-0.13918228452493411</v>
      </c>
      <c r="K258" s="3">
        <f t="shared" ref="K258:K321" si="69">1/(1+EXP(-($AD$68 +$AD$69 * I258 +$AD$70 * J258 )))</f>
        <v>0.70995228628364149</v>
      </c>
      <c r="L258" s="3">
        <f t="shared" si="60"/>
        <v>-0.34255751362236592</v>
      </c>
      <c r="M258" s="9">
        <f t="shared" si="56"/>
        <v>0.58823529411764708</v>
      </c>
      <c r="N258" s="9">
        <f t="shared" si="57"/>
        <v>0.41176470588235292</v>
      </c>
      <c r="P258">
        <f t="shared" si="58"/>
        <v>311.5</v>
      </c>
      <c r="Q258">
        <f t="shared" si="59"/>
        <v>259</v>
      </c>
    </row>
    <row r="259" spans="1:17" x14ac:dyDescent="0.35">
      <c r="A259">
        <v>2024</v>
      </c>
      <c r="B259" s="6">
        <v>215</v>
      </c>
      <c r="C259" s="17">
        <v>31</v>
      </c>
      <c r="D259" s="3">
        <f t="shared" si="66"/>
        <v>26.875</v>
      </c>
      <c r="E259" s="10">
        <f t="shared" si="65"/>
        <v>0.53749999999999998</v>
      </c>
      <c r="F259" s="10">
        <f t="shared" si="64"/>
        <v>0.62</v>
      </c>
      <c r="G259" s="3">
        <f t="shared" si="62"/>
        <v>57.875</v>
      </c>
      <c r="H259" s="3">
        <f t="shared" si="61"/>
        <v>1</v>
      </c>
      <c r="I259" s="3">
        <f t="shared" si="67"/>
        <v>1.1767174671211651</v>
      </c>
      <c r="J259" s="3">
        <f t="shared" si="68"/>
        <v>-1.0933640185610671E-2</v>
      </c>
      <c r="K259" s="3">
        <f t="shared" si="69"/>
        <v>0.99966849361504817</v>
      </c>
      <c r="L259" s="3">
        <f t="shared" si="60"/>
        <v>-3.315613453402769E-4</v>
      </c>
      <c r="M259" s="9">
        <f t="shared" ref="M259:M322" si="70">IF(G259=0, 0,  C259  / G259 )</f>
        <v>0.5356371490280778</v>
      </c>
      <c r="N259" s="9">
        <f t="shared" ref="N259:N322" si="71">IF(G259=0, 0,  D259  / G259 )</f>
        <v>0.46436285097192226</v>
      </c>
      <c r="P259">
        <f t="shared" ref="P259:P322" si="72">_xlfn.RANK.AVG(B259,$B$2:$B$435)</f>
        <v>47.5</v>
      </c>
      <c r="Q259">
        <f t="shared" ref="Q259:Q322" si="73">_xlfn.RANK.AVG(C259,$C$2:$C$435)</f>
        <v>239.5</v>
      </c>
    </row>
    <row r="260" spans="1:17" x14ac:dyDescent="0.35">
      <c r="A260">
        <v>2024</v>
      </c>
      <c r="B260" s="6">
        <v>232</v>
      </c>
      <c r="C260" s="17">
        <v>38</v>
      </c>
      <c r="D260" s="3">
        <f t="shared" si="66"/>
        <v>29</v>
      </c>
      <c r="E260" s="10">
        <f t="shared" si="65"/>
        <v>0.57999999999999996</v>
      </c>
      <c r="F260" s="10">
        <f t="shared" si="64"/>
        <v>0.76</v>
      </c>
      <c r="G260" s="3">
        <f t="shared" si="62"/>
        <v>67</v>
      </c>
      <c r="H260" s="3">
        <f t="shared" si="61"/>
        <v>1</v>
      </c>
      <c r="I260" s="3">
        <f t="shared" si="67"/>
        <v>1.8135414583497982</v>
      </c>
      <c r="J260" s="3">
        <f t="shared" si="68"/>
        <v>0.88680687018965354</v>
      </c>
      <c r="K260" s="3">
        <f t="shared" si="69"/>
        <v>0.99999995534737796</v>
      </c>
      <c r="L260" s="3">
        <f t="shared" ref="L260:L323" si="74">IF(K260=0, -1000, IF(K260=1, -1000, H260 * LN(K260) + (1 - H260) * LN(1 - K260)))</f>
        <v>-4.4652623041267199E-8</v>
      </c>
      <c r="M260" s="9">
        <f t="shared" si="70"/>
        <v>0.56716417910447758</v>
      </c>
      <c r="N260" s="9">
        <f t="shared" si="71"/>
        <v>0.43283582089552236</v>
      </c>
      <c r="P260">
        <f t="shared" si="72"/>
        <v>23</v>
      </c>
      <c r="Q260">
        <f t="shared" si="73"/>
        <v>103</v>
      </c>
    </row>
    <row r="261" spans="1:17" x14ac:dyDescent="0.35">
      <c r="A261">
        <v>2024</v>
      </c>
      <c r="B261" s="6">
        <v>349</v>
      </c>
      <c r="C261" s="17">
        <v>41</v>
      </c>
      <c r="D261" s="3">
        <f t="shared" si="66"/>
        <v>43.625</v>
      </c>
      <c r="E261" s="10">
        <f t="shared" si="65"/>
        <v>0.87250000000000005</v>
      </c>
      <c r="F261" s="10">
        <f t="shared" si="64"/>
        <v>0.82</v>
      </c>
      <c r="G261" s="3">
        <f t="shared" si="62"/>
        <v>84.625</v>
      </c>
      <c r="H261" s="3">
        <f t="shared" si="61"/>
        <v>1</v>
      </c>
      <c r="I261" s="3">
        <f t="shared" si="67"/>
        <v>6.1963889273939206</v>
      </c>
      <c r="J261" s="3">
        <f t="shared" si="68"/>
        <v>1.271552803207624</v>
      </c>
      <c r="K261" s="3">
        <f t="shared" si="69"/>
        <v>0.99999999999999933</v>
      </c>
      <c r="L261" s="3">
        <f t="shared" si="74"/>
        <v>-6.6613381477509412E-16</v>
      </c>
      <c r="M261" s="9">
        <f t="shared" si="70"/>
        <v>0.48449039881831613</v>
      </c>
      <c r="N261" s="9">
        <f t="shared" si="71"/>
        <v>0.51550960118168387</v>
      </c>
      <c r="P261">
        <f t="shared" si="72"/>
        <v>1</v>
      </c>
      <c r="Q261">
        <f t="shared" si="73"/>
        <v>27</v>
      </c>
    </row>
    <row r="262" spans="1:17" x14ac:dyDescent="0.35">
      <c r="A262">
        <v>2024</v>
      </c>
      <c r="B262" s="6">
        <v>174</v>
      </c>
      <c r="C262" s="17">
        <v>23</v>
      </c>
      <c r="D262" s="3">
        <f t="shared" si="66"/>
        <v>21.75</v>
      </c>
      <c r="E262" s="10">
        <f t="shared" si="65"/>
        <v>0.435</v>
      </c>
      <c r="F262" s="10">
        <f t="shared" si="64"/>
        <v>0.46</v>
      </c>
      <c r="G262" s="3">
        <f t="shared" si="62"/>
        <v>44.75</v>
      </c>
      <c r="H262" s="3">
        <f t="shared" si="61"/>
        <v>0</v>
      </c>
      <c r="I262" s="3">
        <f t="shared" si="67"/>
        <v>-0.3591521587831854</v>
      </c>
      <c r="J262" s="3">
        <f t="shared" si="68"/>
        <v>-1.0369227949001982</v>
      </c>
      <c r="K262" s="3">
        <f t="shared" si="69"/>
        <v>6.6764566096378262E-3</v>
      </c>
      <c r="L262" s="3">
        <f t="shared" si="74"/>
        <v>-6.6988438466501774E-3</v>
      </c>
      <c r="M262" s="9">
        <f t="shared" si="70"/>
        <v>0.51396648044692739</v>
      </c>
      <c r="N262" s="9">
        <f t="shared" si="71"/>
        <v>0.48603351955307261</v>
      </c>
      <c r="P262">
        <f t="shared" si="72"/>
        <v>261</v>
      </c>
      <c r="Q262">
        <f t="shared" si="73"/>
        <v>352.5</v>
      </c>
    </row>
    <row r="263" spans="1:17" x14ac:dyDescent="0.35">
      <c r="A263">
        <v>2024</v>
      </c>
      <c r="B263" s="6">
        <v>190</v>
      </c>
      <c r="C263" s="17">
        <v>41</v>
      </c>
      <c r="D263" s="3">
        <f t="shared" si="66"/>
        <v>23.75</v>
      </c>
      <c r="E263" s="10">
        <f t="shared" si="65"/>
        <v>0.47499999999999998</v>
      </c>
      <c r="F263" s="10">
        <f t="shared" si="64"/>
        <v>0.82</v>
      </c>
      <c r="G263" s="3">
        <f t="shared" si="62"/>
        <v>64.75</v>
      </c>
      <c r="H263" s="3">
        <f t="shared" si="61"/>
        <v>1</v>
      </c>
      <c r="I263" s="3">
        <f t="shared" si="67"/>
        <v>0.24021159766729286</v>
      </c>
      <c r="J263" s="3">
        <f t="shared" si="68"/>
        <v>1.271552803207624</v>
      </c>
      <c r="K263" s="3">
        <f t="shared" si="69"/>
        <v>0.99999937342165324</v>
      </c>
      <c r="L263" s="3">
        <f t="shared" si="74"/>
        <v>-6.2657854306323477E-7</v>
      </c>
      <c r="M263" s="9">
        <f t="shared" si="70"/>
        <v>0.63320463320463316</v>
      </c>
      <c r="N263" s="9">
        <f t="shared" si="71"/>
        <v>0.36679536679536678</v>
      </c>
      <c r="P263">
        <f t="shared" si="72"/>
        <v>145</v>
      </c>
      <c r="Q263">
        <f t="shared" si="73"/>
        <v>27</v>
      </c>
    </row>
    <row r="264" spans="1:17" x14ac:dyDescent="0.35">
      <c r="A264">
        <v>2024</v>
      </c>
      <c r="B264" s="6">
        <v>167</v>
      </c>
      <c r="C264" s="17">
        <v>37</v>
      </c>
      <c r="D264" s="3">
        <f t="shared" si="66"/>
        <v>20.875</v>
      </c>
      <c r="E264" s="10">
        <f t="shared" si="65"/>
        <v>0.41749999999999998</v>
      </c>
      <c r="F264" s="10">
        <f t="shared" si="64"/>
        <v>0.74</v>
      </c>
      <c r="G264" s="3">
        <f t="shared" si="62"/>
        <v>57.875</v>
      </c>
      <c r="H264" s="3">
        <f t="shared" si="61"/>
        <v>1</v>
      </c>
      <c r="I264" s="3">
        <f t="shared" si="67"/>
        <v>-0.62137380223026961</v>
      </c>
      <c r="J264" s="3">
        <f t="shared" si="68"/>
        <v>0.75855822585033006</v>
      </c>
      <c r="K264" s="3">
        <f t="shared" si="69"/>
        <v>0.99941788010365495</v>
      </c>
      <c r="L264" s="3">
        <f t="shared" si="74"/>
        <v>-5.8228939391370281E-4</v>
      </c>
      <c r="M264" s="9">
        <f t="shared" si="70"/>
        <v>0.63930885529157666</v>
      </c>
      <c r="N264" s="9">
        <f t="shared" si="71"/>
        <v>0.36069114470842334</v>
      </c>
      <c r="P264">
        <f t="shared" si="72"/>
        <v>323</v>
      </c>
      <c r="Q264">
        <f t="shared" si="73"/>
        <v>128</v>
      </c>
    </row>
    <row r="265" spans="1:17" x14ac:dyDescent="0.35">
      <c r="A265">
        <v>2024</v>
      </c>
      <c r="B265" s="6">
        <v>175</v>
      </c>
      <c r="C265" s="17">
        <v>41</v>
      </c>
      <c r="D265" s="3">
        <f t="shared" si="66"/>
        <v>21.875</v>
      </c>
      <c r="E265" s="10">
        <f t="shared" si="65"/>
        <v>0.4375</v>
      </c>
      <c r="F265" s="10">
        <f t="shared" si="64"/>
        <v>0.82</v>
      </c>
      <c r="G265" s="3">
        <f t="shared" si="62"/>
        <v>62.875</v>
      </c>
      <c r="H265" s="3">
        <f t="shared" si="61"/>
        <v>1</v>
      </c>
      <c r="I265" s="3">
        <f t="shared" si="67"/>
        <v>-0.32169192400503049</v>
      </c>
      <c r="J265" s="3">
        <f t="shared" si="68"/>
        <v>1.271552803207624</v>
      </c>
      <c r="K265" s="3">
        <f t="shared" si="69"/>
        <v>0.99999552301811756</v>
      </c>
      <c r="L265" s="3">
        <f t="shared" si="74"/>
        <v>-4.4769919041530224E-6</v>
      </c>
      <c r="M265" s="9">
        <f t="shared" si="70"/>
        <v>0.65208747514910537</v>
      </c>
      <c r="N265" s="9">
        <f t="shared" si="71"/>
        <v>0.34791252485089463</v>
      </c>
      <c r="P265">
        <f t="shared" si="72"/>
        <v>254</v>
      </c>
      <c r="Q265">
        <f t="shared" si="73"/>
        <v>27</v>
      </c>
    </row>
    <row r="266" spans="1:17" x14ac:dyDescent="0.35">
      <c r="A266">
        <v>2024</v>
      </c>
      <c r="B266" s="6">
        <v>143</v>
      </c>
      <c r="C266" s="17">
        <v>30</v>
      </c>
      <c r="D266" s="3">
        <f t="shared" si="66"/>
        <v>17.875</v>
      </c>
      <c r="E266" s="10">
        <f t="shared" si="65"/>
        <v>0.35749999999999998</v>
      </c>
      <c r="F266" s="10">
        <f t="shared" si="64"/>
        <v>0.6</v>
      </c>
      <c r="G266" s="3">
        <f t="shared" si="62"/>
        <v>47.875</v>
      </c>
      <c r="H266" s="3">
        <f t="shared" si="61"/>
        <v>0</v>
      </c>
      <c r="I266" s="3">
        <f t="shared" si="67"/>
        <v>-1.5204194369059869</v>
      </c>
      <c r="J266" s="3">
        <f t="shared" si="68"/>
        <v>-0.13918228452493411</v>
      </c>
      <c r="K266" s="3">
        <f t="shared" si="69"/>
        <v>8.4537172678700964E-2</v>
      </c>
      <c r="L266" s="3">
        <f t="shared" si="74"/>
        <v>-8.8325519382476486E-2</v>
      </c>
      <c r="M266" s="9">
        <f t="shared" si="70"/>
        <v>0.62663185378590081</v>
      </c>
      <c r="N266" s="9">
        <f t="shared" si="71"/>
        <v>0.37336814621409919</v>
      </c>
      <c r="P266">
        <f t="shared" si="72"/>
        <v>424</v>
      </c>
      <c r="Q266">
        <f t="shared" si="73"/>
        <v>259</v>
      </c>
    </row>
    <row r="267" spans="1:17" x14ac:dyDescent="0.35">
      <c r="A267">
        <v>2024</v>
      </c>
      <c r="B267" s="6">
        <v>157</v>
      </c>
      <c r="C267" s="17">
        <v>43</v>
      </c>
      <c r="D267" s="3">
        <f t="shared" si="66"/>
        <v>19.625</v>
      </c>
      <c r="E267" s="10">
        <f t="shared" si="65"/>
        <v>0.39250000000000002</v>
      </c>
      <c r="F267" s="10">
        <f t="shared" si="64"/>
        <v>0.86</v>
      </c>
      <c r="G267" s="3">
        <f t="shared" si="62"/>
        <v>62.625</v>
      </c>
      <c r="H267" s="3">
        <f t="shared" si="61"/>
        <v>1</v>
      </c>
      <c r="I267" s="3">
        <f t="shared" si="67"/>
        <v>-0.9959761500118185</v>
      </c>
      <c r="J267" s="3">
        <f t="shared" si="68"/>
        <v>1.5280500918862707</v>
      </c>
      <c r="K267" s="3">
        <f t="shared" si="69"/>
        <v>0.99999297905462481</v>
      </c>
      <c r="L267" s="3">
        <f t="shared" si="74"/>
        <v>-7.020970022143612E-6</v>
      </c>
      <c r="M267" s="9">
        <f t="shared" si="70"/>
        <v>0.68662674650698607</v>
      </c>
      <c r="N267" s="9">
        <f t="shared" si="71"/>
        <v>0.31337325349301398</v>
      </c>
      <c r="P267">
        <f t="shared" si="72"/>
        <v>384.5</v>
      </c>
      <c r="Q267">
        <f t="shared" si="73"/>
        <v>7</v>
      </c>
    </row>
    <row r="268" spans="1:17" x14ac:dyDescent="0.35">
      <c r="A268">
        <v>2024</v>
      </c>
      <c r="B268" s="6">
        <v>223</v>
      </c>
      <c r="C268" s="17">
        <v>38</v>
      </c>
      <c r="D268" s="3">
        <f t="shared" si="66"/>
        <v>27.875</v>
      </c>
      <c r="E268" s="10">
        <f t="shared" si="65"/>
        <v>0.5575</v>
      </c>
      <c r="F268" s="10">
        <f t="shared" si="64"/>
        <v>0.76</v>
      </c>
      <c r="G268" s="3">
        <f t="shared" si="62"/>
        <v>65.875</v>
      </c>
      <c r="H268" s="3">
        <f t="shared" si="61"/>
        <v>1</v>
      </c>
      <c r="I268" s="3">
        <f t="shared" si="67"/>
        <v>1.4763993453464042</v>
      </c>
      <c r="J268" s="3">
        <f t="shared" si="68"/>
        <v>0.88680687018965354</v>
      </c>
      <c r="K268" s="3">
        <f t="shared" si="69"/>
        <v>0.99999985470391994</v>
      </c>
      <c r="L268" s="3">
        <f t="shared" si="74"/>
        <v>-1.4529609061178835E-7</v>
      </c>
      <c r="M268" s="9">
        <f t="shared" si="70"/>
        <v>0.57685009487666039</v>
      </c>
      <c r="N268" s="9">
        <f t="shared" si="71"/>
        <v>0.42314990512333966</v>
      </c>
      <c r="P268">
        <f t="shared" si="72"/>
        <v>35</v>
      </c>
      <c r="Q268">
        <f t="shared" si="73"/>
        <v>103</v>
      </c>
    </row>
    <row r="269" spans="1:17" x14ac:dyDescent="0.35">
      <c r="A269">
        <v>2024</v>
      </c>
      <c r="B269" s="6">
        <v>185</v>
      </c>
      <c r="C269" s="17">
        <v>32</v>
      </c>
      <c r="D269" s="3">
        <f t="shared" si="66"/>
        <v>23.125</v>
      </c>
      <c r="E269" s="10">
        <f t="shared" si="65"/>
        <v>0.46250000000000002</v>
      </c>
      <c r="F269" s="10">
        <f t="shared" si="64"/>
        <v>0.64</v>
      </c>
      <c r="G269" s="3">
        <f t="shared" si="62"/>
        <v>55.125</v>
      </c>
      <c r="H269" s="3">
        <f t="shared" si="61"/>
        <v>1</v>
      </c>
      <c r="I269" s="3">
        <f t="shared" si="67"/>
        <v>5.2910423776518403E-2</v>
      </c>
      <c r="J269" s="3">
        <f t="shared" si="68"/>
        <v>0.11731500415371279</v>
      </c>
      <c r="K269" s="3">
        <f t="shared" si="69"/>
        <v>0.99352652733588498</v>
      </c>
      <c r="L269" s="3">
        <f t="shared" si="74"/>
        <v>-6.4945164550470709E-3</v>
      </c>
      <c r="M269" s="9">
        <f t="shared" si="70"/>
        <v>0.58049886621315194</v>
      </c>
      <c r="N269" s="9">
        <f t="shared" si="71"/>
        <v>0.41950113378684806</v>
      </c>
      <c r="P269">
        <f t="shared" si="72"/>
        <v>179.5</v>
      </c>
      <c r="Q269">
        <f t="shared" si="73"/>
        <v>222</v>
      </c>
    </row>
    <row r="270" spans="1:17" x14ac:dyDescent="0.35">
      <c r="A270">
        <v>2024</v>
      </c>
      <c r="B270" s="6">
        <v>174</v>
      </c>
      <c r="C270" s="17">
        <v>40</v>
      </c>
      <c r="D270" s="3">
        <f t="shared" si="66"/>
        <v>21.75</v>
      </c>
      <c r="E270" s="10">
        <f t="shared" si="65"/>
        <v>0.435</v>
      </c>
      <c r="F270" s="10">
        <f t="shared" si="64"/>
        <v>0.8</v>
      </c>
      <c r="G270" s="3">
        <f t="shared" si="62"/>
        <v>61.75</v>
      </c>
      <c r="H270" s="3">
        <f t="shared" si="61"/>
        <v>1</v>
      </c>
      <c r="I270" s="3">
        <f t="shared" si="67"/>
        <v>-0.3591521587831854</v>
      </c>
      <c r="J270" s="3">
        <f t="shared" si="68"/>
        <v>1.1433041588683004</v>
      </c>
      <c r="K270" s="3">
        <f t="shared" si="69"/>
        <v>0.99998673775871894</v>
      </c>
      <c r="L270" s="3">
        <f t="shared" si="74"/>
        <v>-1.3262329225364026E-5</v>
      </c>
      <c r="M270" s="9">
        <f t="shared" si="70"/>
        <v>0.64777327935222673</v>
      </c>
      <c r="N270" s="9">
        <f t="shared" si="71"/>
        <v>0.35222672064777327</v>
      </c>
      <c r="P270">
        <f t="shared" si="72"/>
        <v>261</v>
      </c>
      <c r="Q270">
        <f t="shared" si="73"/>
        <v>50.5</v>
      </c>
    </row>
    <row r="271" spans="1:17" x14ac:dyDescent="0.35">
      <c r="A271">
        <v>2024</v>
      </c>
      <c r="B271" s="6">
        <v>223</v>
      </c>
      <c r="C271" s="17">
        <v>31</v>
      </c>
      <c r="D271" s="3">
        <f t="shared" si="66"/>
        <v>27.875</v>
      </c>
      <c r="E271" s="10">
        <f t="shared" si="65"/>
        <v>0.5575</v>
      </c>
      <c r="F271" s="10">
        <f t="shared" si="64"/>
        <v>0.62</v>
      </c>
      <c r="G271" s="3">
        <f t="shared" si="62"/>
        <v>58.875</v>
      </c>
      <c r="H271" s="3">
        <f t="shared" si="61"/>
        <v>1</v>
      </c>
      <c r="I271" s="3">
        <f t="shared" si="67"/>
        <v>1.4763993453464042</v>
      </c>
      <c r="J271" s="3">
        <f t="shared" si="68"/>
        <v>-1.0933640185610671E-2</v>
      </c>
      <c r="K271" s="3">
        <f t="shared" si="69"/>
        <v>0.99988382503022233</v>
      </c>
      <c r="L271" s="3">
        <f t="shared" si="74"/>
        <v>-1.1618171861217507E-4</v>
      </c>
      <c r="M271" s="9">
        <f t="shared" si="70"/>
        <v>0.52653927813163481</v>
      </c>
      <c r="N271" s="9">
        <f t="shared" si="71"/>
        <v>0.47346072186836519</v>
      </c>
      <c r="P271">
        <f t="shared" si="72"/>
        <v>35</v>
      </c>
      <c r="Q271">
        <f t="shared" si="73"/>
        <v>239.5</v>
      </c>
    </row>
    <row r="272" spans="1:17" x14ac:dyDescent="0.35">
      <c r="A272">
        <v>2024</v>
      </c>
      <c r="B272" s="6">
        <v>190</v>
      </c>
      <c r="C272" s="17">
        <v>43</v>
      </c>
      <c r="D272" s="3">
        <f t="shared" si="66"/>
        <v>23.75</v>
      </c>
      <c r="E272" s="10">
        <f t="shared" si="65"/>
        <v>0.47499999999999998</v>
      </c>
      <c r="F272" s="10">
        <f t="shared" si="64"/>
        <v>0.86</v>
      </c>
      <c r="G272" s="3">
        <f t="shared" si="62"/>
        <v>66.75</v>
      </c>
      <c r="H272" s="3">
        <f t="shared" si="61"/>
        <v>1</v>
      </c>
      <c r="I272" s="3">
        <f t="shared" si="67"/>
        <v>0.24021159766729286</v>
      </c>
      <c r="J272" s="3">
        <f t="shared" si="68"/>
        <v>1.5280500918862707</v>
      </c>
      <c r="K272" s="3">
        <f t="shared" si="69"/>
        <v>0.99999990719464749</v>
      </c>
      <c r="L272" s="3">
        <f t="shared" si="74"/>
        <v>-9.2805356820408568E-8</v>
      </c>
      <c r="M272" s="9">
        <f t="shared" si="70"/>
        <v>0.64419475655430714</v>
      </c>
      <c r="N272" s="9">
        <f t="shared" si="71"/>
        <v>0.35580524344569286</v>
      </c>
      <c r="P272">
        <f t="shared" si="72"/>
        <v>145</v>
      </c>
      <c r="Q272">
        <f t="shared" si="73"/>
        <v>7</v>
      </c>
    </row>
    <row r="273" spans="1:17" x14ac:dyDescent="0.35">
      <c r="A273">
        <v>2024</v>
      </c>
      <c r="B273" s="6">
        <v>138</v>
      </c>
      <c r="C273" s="17">
        <v>36</v>
      </c>
      <c r="D273" s="3">
        <f t="shared" si="66"/>
        <v>17.25</v>
      </c>
      <c r="E273" s="10">
        <f t="shared" si="65"/>
        <v>0.34499999999999997</v>
      </c>
      <c r="F273" s="10">
        <f t="shared" si="64"/>
        <v>0.72</v>
      </c>
      <c r="G273" s="3">
        <f t="shared" si="62"/>
        <v>53.25</v>
      </c>
      <c r="H273" s="3">
        <f t="shared" si="61"/>
        <v>1</v>
      </c>
      <c r="I273" s="3">
        <f t="shared" si="67"/>
        <v>-1.7077206107967613</v>
      </c>
      <c r="J273" s="3">
        <f t="shared" si="68"/>
        <v>0.63030958151100658</v>
      </c>
      <c r="K273" s="3">
        <f t="shared" si="69"/>
        <v>0.9365287731539742</v>
      </c>
      <c r="L273" s="3">
        <f t="shared" si="74"/>
        <v>-6.5575033433318886E-2</v>
      </c>
      <c r="M273" s="9">
        <f t="shared" si="70"/>
        <v>0.676056338028169</v>
      </c>
      <c r="N273" s="9">
        <f t="shared" si="71"/>
        <v>0.323943661971831</v>
      </c>
      <c r="P273">
        <f t="shared" si="72"/>
        <v>431.5</v>
      </c>
      <c r="Q273">
        <f t="shared" si="73"/>
        <v>152</v>
      </c>
    </row>
    <row r="274" spans="1:17" x14ac:dyDescent="0.35">
      <c r="A274">
        <v>2024</v>
      </c>
      <c r="B274" s="6">
        <v>200</v>
      </c>
      <c r="C274" s="17">
        <v>40</v>
      </c>
      <c r="D274" s="3">
        <f t="shared" si="66"/>
        <v>25</v>
      </c>
      <c r="E274" s="10">
        <f t="shared" si="65"/>
        <v>0.5</v>
      </c>
      <c r="F274" s="10">
        <f t="shared" si="64"/>
        <v>0.8</v>
      </c>
      <c r="G274" s="3">
        <f t="shared" si="62"/>
        <v>65</v>
      </c>
      <c r="H274" s="3">
        <f t="shared" si="61"/>
        <v>1</v>
      </c>
      <c r="I274" s="3">
        <f t="shared" si="67"/>
        <v>0.61481394544884171</v>
      </c>
      <c r="J274" s="3">
        <f t="shared" si="68"/>
        <v>1.1433041588683004</v>
      </c>
      <c r="K274" s="3">
        <f t="shared" si="69"/>
        <v>0.99999956113022248</v>
      </c>
      <c r="L274" s="3">
        <f t="shared" si="74"/>
        <v>-4.3886987382264859E-7</v>
      </c>
      <c r="M274" s="9">
        <f t="shared" si="70"/>
        <v>0.61538461538461542</v>
      </c>
      <c r="N274" s="9">
        <f t="shared" si="71"/>
        <v>0.38461538461538464</v>
      </c>
      <c r="P274">
        <f t="shared" si="72"/>
        <v>85</v>
      </c>
      <c r="Q274">
        <f t="shared" si="73"/>
        <v>50.5</v>
      </c>
    </row>
    <row r="275" spans="1:17" x14ac:dyDescent="0.35">
      <c r="A275">
        <v>2024</v>
      </c>
      <c r="B275" s="6">
        <v>187</v>
      </c>
      <c r="C275" s="17">
        <v>42</v>
      </c>
      <c r="D275" s="3">
        <f t="shared" si="66"/>
        <v>23.375</v>
      </c>
      <c r="E275" s="10">
        <f t="shared" si="65"/>
        <v>0.46750000000000003</v>
      </c>
      <c r="F275" s="10">
        <f t="shared" si="64"/>
        <v>0.84</v>
      </c>
      <c r="G275" s="3">
        <f t="shared" si="62"/>
        <v>65.375</v>
      </c>
      <c r="H275" s="3">
        <f t="shared" si="61"/>
        <v>1</v>
      </c>
      <c r="I275" s="3">
        <f t="shared" si="67"/>
        <v>0.12783089333282818</v>
      </c>
      <c r="J275" s="3">
        <f t="shared" si="68"/>
        <v>1.3998014475469474</v>
      </c>
      <c r="K275" s="3">
        <f t="shared" si="69"/>
        <v>0.99999964266419905</v>
      </c>
      <c r="L275" s="3">
        <f t="shared" si="74"/>
        <v>-3.5733586479344051E-7</v>
      </c>
      <c r="M275" s="9">
        <f t="shared" si="70"/>
        <v>0.64244741873804967</v>
      </c>
      <c r="N275" s="9">
        <f t="shared" si="71"/>
        <v>0.35755258126195028</v>
      </c>
      <c r="P275">
        <f t="shared" si="72"/>
        <v>163</v>
      </c>
      <c r="Q275">
        <f t="shared" si="73"/>
        <v>13.5</v>
      </c>
    </row>
    <row r="276" spans="1:17" x14ac:dyDescent="0.35">
      <c r="A276">
        <v>2024</v>
      </c>
      <c r="B276" s="6">
        <v>186</v>
      </c>
      <c r="C276" s="17">
        <v>38</v>
      </c>
      <c r="D276" s="3">
        <f t="shared" si="66"/>
        <v>23.25</v>
      </c>
      <c r="E276" s="10">
        <f t="shared" si="65"/>
        <v>0.46500000000000002</v>
      </c>
      <c r="F276" s="10">
        <f t="shared" si="64"/>
        <v>0.76</v>
      </c>
      <c r="G276" s="3">
        <f t="shared" si="62"/>
        <v>61.25</v>
      </c>
      <c r="H276" s="3">
        <f t="shared" si="61"/>
        <v>1</v>
      </c>
      <c r="I276" s="3">
        <f t="shared" si="67"/>
        <v>9.03706585546733E-2</v>
      </c>
      <c r="J276" s="3">
        <f t="shared" si="68"/>
        <v>0.88680687018965354</v>
      </c>
      <c r="K276" s="3">
        <f t="shared" si="69"/>
        <v>0.99998143017084173</v>
      </c>
      <c r="L276" s="3">
        <f t="shared" si="74"/>
        <v>-1.8570001579677927E-5</v>
      </c>
      <c r="M276" s="9">
        <f t="shared" si="70"/>
        <v>0.62040816326530612</v>
      </c>
      <c r="N276" s="9">
        <f t="shared" si="71"/>
        <v>0.37959183673469388</v>
      </c>
      <c r="P276">
        <f t="shared" si="72"/>
        <v>171.5</v>
      </c>
      <c r="Q276">
        <f t="shared" si="73"/>
        <v>103</v>
      </c>
    </row>
    <row r="277" spans="1:17" x14ac:dyDescent="0.35">
      <c r="A277">
        <v>2024</v>
      </c>
      <c r="B277" s="6">
        <v>184</v>
      </c>
      <c r="C277" s="17">
        <v>40</v>
      </c>
      <c r="D277" s="3">
        <f t="shared" si="66"/>
        <v>23</v>
      </c>
      <c r="E277" s="10">
        <f t="shared" si="65"/>
        <v>0.46</v>
      </c>
      <c r="F277" s="10">
        <f t="shared" si="64"/>
        <v>0.8</v>
      </c>
      <c r="G277" s="3">
        <f t="shared" si="62"/>
        <v>63</v>
      </c>
      <c r="H277" s="3">
        <f t="shared" ref="H277:H340" si="75">IF(G277&gt;=50,1,0)</f>
        <v>1</v>
      </c>
      <c r="I277" s="3">
        <f t="shared" si="67"/>
        <v>1.5450188998363515E-2</v>
      </c>
      <c r="J277" s="3">
        <f t="shared" si="68"/>
        <v>1.1433041588683004</v>
      </c>
      <c r="K277" s="3">
        <f t="shared" si="69"/>
        <v>0.99999642496706143</v>
      </c>
      <c r="L277" s="3">
        <f t="shared" si="74"/>
        <v>-3.5750393290196828E-6</v>
      </c>
      <c r="M277" s="9">
        <f t="shared" si="70"/>
        <v>0.63492063492063489</v>
      </c>
      <c r="N277" s="9">
        <f t="shared" si="71"/>
        <v>0.36507936507936506</v>
      </c>
      <c r="P277">
        <f t="shared" si="72"/>
        <v>188.5</v>
      </c>
      <c r="Q277">
        <f t="shared" si="73"/>
        <v>50.5</v>
      </c>
    </row>
    <row r="278" spans="1:17" x14ac:dyDescent="0.35">
      <c r="A278">
        <v>2024</v>
      </c>
      <c r="B278" s="6">
        <v>178</v>
      </c>
      <c r="C278" s="17">
        <v>29</v>
      </c>
      <c r="D278" s="3">
        <f t="shared" si="66"/>
        <v>22.25</v>
      </c>
      <c r="E278" s="10">
        <f t="shared" si="65"/>
        <v>0.44500000000000001</v>
      </c>
      <c r="F278" s="10">
        <f t="shared" si="64"/>
        <v>0.57999999999999996</v>
      </c>
      <c r="G278" s="3">
        <f t="shared" si="62"/>
        <v>51.25</v>
      </c>
      <c r="H278" s="3">
        <f t="shared" si="75"/>
        <v>1</v>
      </c>
      <c r="I278" s="3">
        <f t="shared" si="67"/>
        <v>-0.20931121967056582</v>
      </c>
      <c r="J278" s="3">
        <f t="shared" si="68"/>
        <v>-0.26743092886425757</v>
      </c>
      <c r="K278" s="3">
        <f t="shared" si="69"/>
        <v>0.77751160030675537</v>
      </c>
      <c r="L278" s="3">
        <f t="shared" si="74"/>
        <v>-0.2516567150313615</v>
      </c>
      <c r="M278" s="9">
        <f t="shared" si="70"/>
        <v>0.56585365853658531</v>
      </c>
      <c r="N278" s="9">
        <f t="shared" si="71"/>
        <v>0.43414634146341463</v>
      </c>
      <c r="P278">
        <f t="shared" si="72"/>
        <v>230.5</v>
      </c>
      <c r="Q278">
        <f t="shared" si="73"/>
        <v>272.5</v>
      </c>
    </row>
    <row r="279" spans="1:17" x14ac:dyDescent="0.35">
      <c r="A279">
        <v>2024</v>
      </c>
      <c r="B279" s="6">
        <v>163</v>
      </c>
      <c r="C279" s="17">
        <v>41</v>
      </c>
      <c r="D279" s="3">
        <f t="shared" si="66"/>
        <v>20.375</v>
      </c>
      <c r="E279" s="10">
        <f t="shared" si="65"/>
        <v>0.40749999999999997</v>
      </c>
      <c r="F279" s="10">
        <f t="shared" si="64"/>
        <v>0.82</v>
      </c>
      <c r="G279" s="3">
        <f t="shared" si="62"/>
        <v>61.375</v>
      </c>
      <c r="H279" s="3">
        <f t="shared" si="75"/>
        <v>1</v>
      </c>
      <c r="I279" s="3">
        <f t="shared" si="67"/>
        <v>-0.77121474134288914</v>
      </c>
      <c r="J279" s="3">
        <f t="shared" si="68"/>
        <v>1.271552803207624</v>
      </c>
      <c r="K279" s="3">
        <f t="shared" si="69"/>
        <v>0.99997841325271031</v>
      </c>
      <c r="L279" s="3">
        <f t="shared" si="74"/>
        <v>-2.1586980286874837E-5</v>
      </c>
      <c r="M279" s="9">
        <f t="shared" si="70"/>
        <v>0.66802443991853355</v>
      </c>
      <c r="N279" s="9">
        <f t="shared" si="71"/>
        <v>0.33197556008146639</v>
      </c>
      <c r="P279">
        <f t="shared" si="72"/>
        <v>356.5</v>
      </c>
      <c r="Q279">
        <f t="shared" si="73"/>
        <v>27</v>
      </c>
    </row>
    <row r="280" spans="1:17" x14ac:dyDescent="0.35">
      <c r="A280">
        <v>2024</v>
      </c>
      <c r="B280" s="6">
        <v>182</v>
      </c>
      <c r="C280" s="17">
        <v>34</v>
      </c>
      <c r="D280" s="3">
        <f t="shared" si="66"/>
        <v>22.75</v>
      </c>
      <c r="E280" s="10">
        <f t="shared" si="65"/>
        <v>0.45500000000000002</v>
      </c>
      <c r="F280" s="10">
        <f t="shared" si="64"/>
        <v>0.68</v>
      </c>
      <c r="G280" s="3">
        <f t="shared" si="62"/>
        <v>56.75</v>
      </c>
      <c r="H280" s="3">
        <f t="shared" si="75"/>
        <v>1</v>
      </c>
      <c r="I280" s="3">
        <f t="shared" si="67"/>
        <v>-5.9470280557946266E-2</v>
      </c>
      <c r="J280" s="3">
        <f t="shared" si="68"/>
        <v>0.37381229283235973</v>
      </c>
      <c r="K280" s="3">
        <f t="shared" si="69"/>
        <v>0.99857197122607322</v>
      </c>
      <c r="L280" s="3">
        <f t="shared" si="74"/>
        <v>-1.4290493787674644E-3</v>
      </c>
      <c r="M280" s="9">
        <f t="shared" si="70"/>
        <v>0.59911894273127753</v>
      </c>
      <c r="N280" s="9">
        <f t="shared" si="71"/>
        <v>0.40088105726872247</v>
      </c>
      <c r="P280">
        <f t="shared" si="72"/>
        <v>204</v>
      </c>
      <c r="Q280">
        <f t="shared" si="73"/>
        <v>189.5</v>
      </c>
    </row>
    <row r="281" spans="1:17" x14ac:dyDescent="0.35">
      <c r="A281">
        <v>2024</v>
      </c>
      <c r="B281" s="6">
        <v>186</v>
      </c>
      <c r="C281" s="17">
        <v>26</v>
      </c>
      <c r="D281" s="3">
        <f t="shared" si="66"/>
        <v>23.25</v>
      </c>
      <c r="E281" s="10">
        <f t="shared" si="65"/>
        <v>0.46500000000000002</v>
      </c>
      <c r="F281" s="10">
        <f t="shared" si="64"/>
        <v>0.52</v>
      </c>
      <c r="G281" s="3">
        <f t="shared" si="62"/>
        <v>49.25</v>
      </c>
      <c r="H281" s="3">
        <f t="shared" si="75"/>
        <v>0</v>
      </c>
      <c r="I281" s="3">
        <f t="shared" si="67"/>
        <v>9.03706585546733E-2</v>
      </c>
      <c r="J281" s="3">
        <f t="shared" si="68"/>
        <v>-0.65217686188222801</v>
      </c>
      <c r="K281" s="3">
        <f t="shared" si="69"/>
        <v>0.36246842821625241</v>
      </c>
      <c r="L281" s="3">
        <f t="shared" si="74"/>
        <v>-0.45015147880918399</v>
      </c>
      <c r="M281" s="9">
        <f t="shared" si="70"/>
        <v>0.52791878172588835</v>
      </c>
      <c r="N281" s="9">
        <f t="shared" si="71"/>
        <v>0.4720812182741117</v>
      </c>
      <c r="P281">
        <f t="shared" si="72"/>
        <v>171.5</v>
      </c>
      <c r="Q281">
        <f t="shared" si="73"/>
        <v>312.5</v>
      </c>
    </row>
    <row r="282" spans="1:17" x14ac:dyDescent="0.35">
      <c r="A282">
        <v>2024</v>
      </c>
      <c r="B282" s="6">
        <v>149</v>
      </c>
      <c r="C282" s="17">
        <v>36</v>
      </c>
      <c r="D282" s="3">
        <f t="shared" si="66"/>
        <v>18.625</v>
      </c>
      <c r="E282" s="10">
        <f t="shared" si="65"/>
        <v>0.3725</v>
      </c>
      <c r="F282" s="10">
        <f t="shared" si="64"/>
        <v>0.72</v>
      </c>
      <c r="G282" s="3">
        <f t="shared" si="62"/>
        <v>54.625</v>
      </c>
      <c r="H282" s="3">
        <f t="shared" si="75"/>
        <v>1</v>
      </c>
      <c r="I282" s="3">
        <f t="shared" si="67"/>
        <v>-1.2956580282370576</v>
      </c>
      <c r="J282" s="3">
        <f t="shared" si="68"/>
        <v>0.63030958151100658</v>
      </c>
      <c r="K282" s="3">
        <f t="shared" si="69"/>
        <v>0.98422837448655665</v>
      </c>
      <c r="L282" s="3">
        <f t="shared" si="74"/>
        <v>-1.5897320965270113E-2</v>
      </c>
      <c r="M282" s="9">
        <f t="shared" si="70"/>
        <v>0.65903890160183065</v>
      </c>
      <c r="N282" s="9">
        <f t="shared" si="71"/>
        <v>0.34096109839816935</v>
      </c>
      <c r="P282">
        <f t="shared" si="72"/>
        <v>409</v>
      </c>
      <c r="Q282">
        <f t="shared" si="73"/>
        <v>152</v>
      </c>
    </row>
    <row r="283" spans="1:17" x14ac:dyDescent="0.35">
      <c r="A283">
        <v>2024</v>
      </c>
      <c r="B283" s="6">
        <v>300</v>
      </c>
      <c r="C283" s="17">
        <v>36</v>
      </c>
      <c r="D283" s="3">
        <f t="shared" si="66"/>
        <v>37.5</v>
      </c>
      <c r="E283" s="10">
        <f t="shared" si="65"/>
        <v>0.75</v>
      </c>
      <c r="F283" s="10">
        <f t="shared" si="64"/>
        <v>0.72</v>
      </c>
      <c r="G283" s="3">
        <f t="shared" si="62"/>
        <v>73.5</v>
      </c>
      <c r="H283" s="3">
        <f t="shared" si="75"/>
        <v>1</v>
      </c>
      <c r="I283" s="3">
        <f t="shared" si="67"/>
        <v>4.3608374232643303</v>
      </c>
      <c r="J283" s="3">
        <f t="shared" si="68"/>
        <v>0.63030958151100658</v>
      </c>
      <c r="K283" s="3">
        <f t="shared" si="69"/>
        <v>0.99999999995947442</v>
      </c>
      <c r="L283" s="3">
        <f t="shared" si="74"/>
        <v>-4.0525582890293553E-11</v>
      </c>
      <c r="M283" s="9">
        <f t="shared" si="70"/>
        <v>0.48979591836734693</v>
      </c>
      <c r="N283" s="9">
        <f t="shared" si="71"/>
        <v>0.51020408163265307</v>
      </c>
      <c r="P283">
        <f t="shared" si="72"/>
        <v>3</v>
      </c>
      <c r="Q283">
        <f t="shared" si="73"/>
        <v>152</v>
      </c>
    </row>
    <row r="284" spans="1:17" x14ac:dyDescent="0.35">
      <c r="A284">
        <v>2024</v>
      </c>
      <c r="B284" s="6">
        <v>200</v>
      </c>
      <c r="C284" s="17">
        <v>34</v>
      </c>
      <c r="D284" s="3">
        <f t="shared" si="66"/>
        <v>25</v>
      </c>
      <c r="E284" s="10">
        <f t="shared" si="65"/>
        <v>0.5</v>
      </c>
      <c r="F284" s="10">
        <f t="shared" si="64"/>
        <v>0.68</v>
      </c>
      <c r="G284" s="3">
        <f t="shared" si="62"/>
        <v>59</v>
      </c>
      <c r="H284" s="3">
        <f t="shared" si="75"/>
        <v>1</v>
      </c>
      <c r="I284" s="3">
        <f t="shared" si="67"/>
        <v>0.61481394544884171</v>
      </c>
      <c r="J284" s="3">
        <f t="shared" si="68"/>
        <v>0.37381229283235973</v>
      </c>
      <c r="K284" s="3">
        <f t="shared" si="69"/>
        <v>0.99986495298771916</v>
      </c>
      <c r="L284" s="3">
        <f t="shared" si="74"/>
        <v>-1.350561319496705E-4</v>
      </c>
      <c r="M284" s="9">
        <f t="shared" si="70"/>
        <v>0.57627118644067798</v>
      </c>
      <c r="N284" s="9">
        <f t="shared" si="71"/>
        <v>0.42372881355932202</v>
      </c>
      <c r="P284">
        <f t="shared" si="72"/>
        <v>85</v>
      </c>
      <c r="Q284">
        <f t="shared" si="73"/>
        <v>189.5</v>
      </c>
    </row>
    <row r="285" spans="1:17" x14ac:dyDescent="0.35">
      <c r="A285">
        <v>2024</v>
      </c>
      <c r="B285" s="6">
        <v>170</v>
      </c>
      <c r="C285" s="17">
        <v>36</v>
      </c>
      <c r="D285" s="3">
        <f t="shared" si="66"/>
        <v>21.25</v>
      </c>
      <c r="E285" s="10">
        <f t="shared" si="65"/>
        <v>0.42499999999999999</v>
      </c>
      <c r="F285" s="10">
        <f t="shared" si="64"/>
        <v>0.72</v>
      </c>
      <c r="G285" s="3">
        <f t="shared" si="62"/>
        <v>57.25</v>
      </c>
      <c r="H285" s="3">
        <f t="shared" si="75"/>
        <v>1</v>
      </c>
      <c r="I285" s="3">
        <f t="shared" si="67"/>
        <v>-0.50899309789580494</v>
      </c>
      <c r="J285" s="3">
        <f t="shared" si="68"/>
        <v>0.63030958151100658</v>
      </c>
      <c r="K285" s="3">
        <f t="shared" si="69"/>
        <v>0.99897971625355864</v>
      </c>
      <c r="L285" s="3">
        <f t="shared" si="74"/>
        <v>-1.0208045902054127E-3</v>
      </c>
      <c r="M285" s="9">
        <f t="shared" si="70"/>
        <v>0.62882096069868998</v>
      </c>
      <c r="N285" s="9">
        <f t="shared" si="71"/>
        <v>0.37117903930131002</v>
      </c>
      <c r="P285">
        <f t="shared" si="72"/>
        <v>287.5</v>
      </c>
      <c r="Q285">
        <f t="shared" si="73"/>
        <v>152</v>
      </c>
    </row>
    <row r="286" spans="1:17" x14ac:dyDescent="0.35">
      <c r="A286">
        <v>2024</v>
      </c>
      <c r="B286" s="6">
        <v>171</v>
      </c>
      <c r="C286" s="17">
        <v>37</v>
      </c>
      <c r="D286" s="3">
        <f t="shared" si="66"/>
        <v>21.375</v>
      </c>
      <c r="E286" s="10">
        <f t="shared" si="65"/>
        <v>0.42749999999999999</v>
      </c>
      <c r="F286" s="10">
        <f t="shared" si="64"/>
        <v>0.74</v>
      </c>
      <c r="G286" s="3">
        <f t="shared" si="62"/>
        <v>58.375</v>
      </c>
      <c r="H286" s="3">
        <f t="shared" si="75"/>
        <v>1</v>
      </c>
      <c r="I286" s="3">
        <f t="shared" si="67"/>
        <v>-0.47153286311765003</v>
      </c>
      <c r="J286" s="3">
        <f t="shared" si="68"/>
        <v>0.75855822585033006</v>
      </c>
      <c r="K286" s="3">
        <f t="shared" si="69"/>
        <v>0.99965534928092037</v>
      </c>
      <c r="L286" s="3">
        <f t="shared" si="74"/>
        <v>-3.4471012478858444E-4</v>
      </c>
      <c r="M286" s="9">
        <f t="shared" si="70"/>
        <v>0.63383297644539616</v>
      </c>
      <c r="N286" s="9">
        <f t="shared" si="71"/>
        <v>0.36616702355460384</v>
      </c>
      <c r="P286">
        <f t="shared" si="72"/>
        <v>278</v>
      </c>
      <c r="Q286">
        <f t="shared" si="73"/>
        <v>128</v>
      </c>
    </row>
    <row r="287" spans="1:17" x14ac:dyDescent="0.35">
      <c r="A287">
        <v>2024</v>
      </c>
      <c r="B287" s="6">
        <v>157</v>
      </c>
      <c r="C287" s="17">
        <v>39</v>
      </c>
      <c r="D287" s="3">
        <f t="shared" si="66"/>
        <v>19.625</v>
      </c>
      <c r="E287" s="10">
        <f t="shared" si="65"/>
        <v>0.39250000000000002</v>
      </c>
      <c r="F287" s="10">
        <f t="shared" si="64"/>
        <v>0.78</v>
      </c>
      <c r="G287" s="3">
        <f t="shared" si="62"/>
        <v>58.625</v>
      </c>
      <c r="H287" s="3">
        <f t="shared" si="75"/>
        <v>1</v>
      </c>
      <c r="I287" s="3">
        <f t="shared" si="67"/>
        <v>-0.9959761500118185</v>
      </c>
      <c r="J287" s="3">
        <f t="shared" si="68"/>
        <v>1.015055514528977</v>
      </c>
      <c r="K287" s="3">
        <f t="shared" si="69"/>
        <v>0.99968006271595489</v>
      </c>
      <c r="L287" s="3">
        <f t="shared" si="74"/>
        <v>-3.1998847489684006E-4</v>
      </c>
      <c r="M287" s="9">
        <f t="shared" si="70"/>
        <v>0.6652452025586354</v>
      </c>
      <c r="N287" s="9">
        <f t="shared" si="71"/>
        <v>0.3347547974413646</v>
      </c>
      <c r="P287">
        <f t="shared" si="72"/>
        <v>384.5</v>
      </c>
      <c r="Q287">
        <f t="shared" si="73"/>
        <v>76.5</v>
      </c>
    </row>
    <row r="288" spans="1:17" x14ac:dyDescent="0.35">
      <c r="A288">
        <v>2024</v>
      </c>
      <c r="B288" s="6">
        <v>241</v>
      </c>
      <c r="C288" s="17">
        <v>31</v>
      </c>
      <c r="D288" s="3">
        <f t="shared" si="66"/>
        <v>30.125</v>
      </c>
      <c r="E288" s="10">
        <f t="shared" si="65"/>
        <v>0.60250000000000004</v>
      </c>
      <c r="F288" s="10">
        <f t="shared" si="64"/>
        <v>0.62</v>
      </c>
      <c r="G288" s="3">
        <f t="shared" si="62"/>
        <v>61.125</v>
      </c>
      <c r="H288" s="3">
        <f t="shared" si="75"/>
        <v>1</v>
      </c>
      <c r="I288" s="3">
        <f t="shared" si="67"/>
        <v>2.1506835713531922</v>
      </c>
      <c r="J288" s="3">
        <f t="shared" si="68"/>
        <v>-1.0933640185610671E-2</v>
      </c>
      <c r="K288" s="3">
        <f t="shared" si="69"/>
        <v>0.99998902652174038</v>
      </c>
      <c r="L288" s="3">
        <f t="shared" si="74"/>
        <v>-1.097353846867683E-5</v>
      </c>
      <c r="M288" s="9">
        <f t="shared" si="70"/>
        <v>0.50715746421267893</v>
      </c>
      <c r="N288" s="9">
        <f t="shared" si="71"/>
        <v>0.49284253578732107</v>
      </c>
      <c r="P288">
        <f t="shared" si="72"/>
        <v>14</v>
      </c>
      <c r="Q288">
        <f t="shared" si="73"/>
        <v>239.5</v>
      </c>
    </row>
    <row r="289" spans="1:17" x14ac:dyDescent="0.35">
      <c r="A289">
        <v>2024</v>
      </c>
      <c r="B289" s="6">
        <v>312</v>
      </c>
      <c r="C289" s="17">
        <v>43</v>
      </c>
      <c r="D289" s="3">
        <f t="shared" si="66"/>
        <v>39</v>
      </c>
      <c r="E289" s="10">
        <f t="shared" si="65"/>
        <v>0.78</v>
      </c>
      <c r="F289" s="10">
        <f t="shared" si="64"/>
        <v>0.86</v>
      </c>
      <c r="G289" s="3">
        <f t="shared" si="62"/>
        <v>82</v>
      </c>
      <c r="H289" s="3">
        <f t="shared" si="75"/>
        <v>1</v>
      </c>
      <c r="I289" s="3">
        <f t="shared" si="67"/>
        <v>4.810360240602189</v>
      </c>
      <c r="J289" s="3">
        <f t="shared" si="68"/>
        <v>1.5280500918862707</v>
      </c>
      <c r="K289" s="3">
        <f t="shared" si="69"/>
        <v>0.99999999999998956</v>
      </c>
      <c r="L289" s="3">
        <f t="shared" si="74"/>
        <v>-1.0436096431476527E-14</v>
      </c>
      <c r="M289" s="9">
        <f t="shared" si="70"/>
        <v>0.52439024390243905</v>
      </c>
      <c r="N289" s="9">
        <f t="shared" si="71"/>
        <v>0.47560975609756095</v>
      </c>
      <c r="P289">
        <f t="shared" si="72"/>
        <v>2</v>
      </c>
      <c r="Q289">
        <f t="shared" si="73"/>
        <v>7</v>
      </c>
    </row>
    <row r="290" spans="1:17" x14ac:dyDescent="0.35">
      <c r="A290">
        <v>2024</v>
      </c>
      <c r="B290" s="6">
        <v>207</v>
      </c>
      <c r="C290" s="17">
        <v>36</v>
      </c>
      <c r="D290" s="3">
        <f t="shared" si="66"/>
        <v>25.875</v>
      </c>
      <c r="E290" s="10">
        <f t="shared" si="65"/>
        <v>0.51749999999999996</v>
      </c>
      <c r="F290" s="10">
        <f t="shared" si="64"/>
        <v>0.72</v>
      </c>
      <c r="G290" s="3">
        <f t="shared" si="62"/>
        <v>61.875</v>
      </c>
      <c r="H290" s="3">
        <f t="shared" si="75"/>
        <v>1</v>
      </c>
      <c r="I290" s="3">
        <f t="shared" si="67"/>
        <v>0.87703558889592592</v>
      </c>
      <c r="J290" s="3">
        <f t="shared" si="68"/>
        <v>0.63030958151100658</v>
      </c>
      <c r="K290" s="3">
        <f t="shared" si="69"/>
        <v>0.99999200904260344</v>
      </c>
      <c r="L290" s="3">
        <f t="shared" si="74"/>
        <v>-7.9909893244343374E-6</v>
      </c>
      <c r="M290" s="9">
        <f t="shared" si="70"/>
        <v>0.58181818181818179</v>
      </c>
      <c r="N290" s="9">
        <f t="shared" si="71"/>
        <v>0.41818181818181815</v>
      </c>
      <c r="P290">
        <f t="shared" si="72"/>
        <v>58.5</v>
      </c>
      <c r="Q290">
        <f t="shared" si="73"/>
        <v>152</v>
      </c>
    </row>
    <row r="291" spans="1:17" x14ac:dyDescent="0.35">
      <c r="A291">
        <v>2024</v>
      </c>
      <c r="B291" s="6">
        <v>181</v>
      </c>
      <c r="C291" s="17">
        <v>16</v>
      </c>
      <c r="D291" s="3">
        <f t="shared" si="66"/>
        <v>22.625</v>
      </c>
      <c r="E291" s="10">
        <f t="shared" si="65"/>
        <v>0.45250000000000001</v>
      </c>
      <c r="F291" s="10">
        <f t="shared" si="64"/>
        <v>0.32</v>
      </c>
      <c r="G291" s="3">
        <f t="shared" si="62"/>
        <v>38.625</v>
      </c>
      <c r="H291" s="3">
        <f t="shared" si="75"/>
        <v>0</v>
      </c>
      <c r="I291" s="3">
        <f t="shared" si="67"/>
        <v>-9.6930515336101156E-2</v>
      </c>
      <c r="J291" s="3">
        <f t="shared" si="68"/>
        <v>-1.9346633052754625</v>
      </c>
      <c r="K291" s="3">
        <f t="shared" si="69"/>
        <v>2.1041459384383822E-5</v>
      </c>
      <c r="L291" s="3">
        <f t="shared" si="74"/>
        <v>-2.1041680759030697E-5</v>
      </c>
      <c r="M291" s="9">
        <f t="shared" si="70"/>
        <v>0.41423948220064727</v>
      </c>
      <c r="N291" s="9">
        <f t="shared" si="71"/>
        <v>0.58576051779935279</v>
      </c>
      <c r="P291">
        <f t="shared" si="72"/>
        <v>209.5</v>
      </c>
      <c r="Q291">
        <f t="shared" si="73"/>
        <v>420.5</v>
      </c>
    </row>
    <row r="292" spans="1:17" x14ac:dyDescent="0.35">
      <c r="A292">
        <v>2024</v>
      </c>
      <c r="B292" s="6">
        <v>157</v>
      </c>
      <c r="C292" s="17">
        <v>42</v>
      </c>
      <c r="D292" s="3">
        <f t="shared" si="66"/>
        <v>19.625</v>
      </c>
      <c r="E292" s="10">
        <f t="shared" si="65"/>
        <v>0.39250000000000002</v>
      </c>
      <c r="F292" s="10">
        <f t="shared" si="64"/>
        <v>0.84</v>
      </c>
      <c r="G292" s="3">
        <f t="shared" si="62"/>
        <v>61.625</v>
      </c>
      <c r="H292" s="3">
        <f t="shared" si="75"/>
        <v>1</v>
      </c>
      <c r="I292" s="3">
        <f t="shared" si="67"/>
        <v>-0.9959761500118185</v>
      </c>
      <c r="J292" s="3">
        <f t="shared" si="68"/>
        <v>1.3998014475469474</v>
      </c>
      <c r="K292" s="3">
        <f t="shared" si="69"/>
        <v>0.99998175717822013</v>
      </c>
      <c r="L292" s="3">
        <f t="shared" si="74"/>
        <v>-1.8242988182165039E-5</v>
      </c>
      <c r="M292" s="9">
        <f t="shared" si="70"/>
        <v>0.68154158215010141</v>
      </c>
      <c r="N292" s="9">
        <f t="shared" si="71"/>
        <v>0.31845841784989859</v>
      </c>
      <c r="P292">
        <f t="shared" si="72"/>
        <v>384.5</v>
      </c>
      <c r="Q292">
        <f t="shared" si="73"/>
        <v>13.5</v>
      </c>
    </row>
    <row r="293" spans="1:17" x14ac:dyDescent="0.35">
      <c r="A293">
        <v>2024</v>
      </c>
      <c r="B293" s="6">
        <v>168</v>
      </c>
      <c r="C293" s="17">
        <v>19</v>
      </c>
      <c r="D293" s="3">
        <f t="shared" si="66"/>
        <v>21</v>
      </c>
      <c r="E293" s="10">
        <f t="shared" si="65"/>
        <v>0.42</v>
      </c>
      <c r="F293" s="10">
        <f t="shared" si="64"/>
        <v>0.38</v>
      </c>
      <c r="G293" s="3">
        <f t="shared" si="62"/>
        <v>40</v>
      </c>
      <c r="H293" s="3">
        <f t="shared" si="75"/>
        <v>0</v>
      </c>
      <c r="I293" s="3">
        <f t="shared" si="67"/>
        <v>-0.58391356745211476</v>
      </c>
      <c r="J293" s="3">
        <f t="shared" si="68"/>
        <v>-1.5499173722574922</v>
      </c>
      <c r="K293" s="3">
        <f t="shared" si="69"/>
        <v>6.7145406839039449E-5</v>
      </c>
      <c r="L293" s="3">
        <f t="shared" si="74"/>
        <v>-6.7147661192796477E-5</v>
      </c>
      <c r="M293" s="9">
        <f t="shared" si="70"/>
        <v>0.47499999999999998</v>
      </c>
      <c r="N293" s="9">
        <f t="shared" si="71"/>
        <v>0.52500000000000002</v>
      </c>
      <c r="P293">
        <f t="shared" si="72"/>
        <v>311.5</v>
      </c>
      <c r="Q293">
        <f t="shared" si="73"/>
        <v>397.5</v>
      </c>
    </row>
    <row r="294" spans="1:17" x14ac:dyDescent="0.35">
      <c r="A294">
        <v>2024</v>
      </c>
      <c r="B294" s="6">
        <v>173</v>
      </c>
      <c r="C294" s="17">
        <v>36</v>
      </c>
      <c r="D294" s="3">
        <f t="shared" si="66"/>
        <v>21.625</v>
      </c>
      <c r="E294" s="10">
        <f t="shared" si="65"/>
        <v>0.4325</v>
      </c>
      <c r="F294" s="10">
        <f t="shared" si="64"/>
        <v>0.72</v>
      </c>
      <c r="G294" s="3">
        <f t="shared" si="62"/>
        <v>57.625</v>
      </c>
      <c r="H294" s="3">
        <f t="shared" si="75"/>
        <v>1</v>
      </c>
      <c r="I294" s="3">
        <f t="shared" si="67"/>
        <v>-0.39661239356134026</v>
      </c>
      <c r="J294" s="3">
        <f t="shared" si="68"/>
        <v>0.63030958151100658</v>
      </c>
      <c r="K294" s="3">
        <f t="shared" si="69"/>
        <v>0.99931124819735717</v>
      </c>
      <c r="L294" s="3">
        <f t="shared" si="74"/>
        <v>-6.8898910113174793E-4</v>
      </c>
      <c r="M294" s="9">
        <f t="shared" si="70"/>
        <v>0.62472885032537961</v>
      </c>
      <c r="N294" s="9">
        <f t="shared" si="71"/>
        <v>0.37527114967462039</v>
      </c>
      <c r="P294">
        <f t="shared" si="72"/>
        <v>267</v>
      </c>
      <c r="Q294">
        <f t="shared" si="73"/>
        <v>152</v>
      </c>
    </row>
    <row r="295" spans="1:17" x14ac:dyDescent="0.35">
      <c r="A295">
        <v>2024</v>
      </c>
      <c r="B295" s="6">
        <v>204</v>
      </c>
      <c r="C295" s="17">
        <v>23</v>
      </c>
      <c r="D295" s="3">
        <f t="shared" si="66"/>
        <v>25.5</v>
      </c>
      <c r="E295" s="10">
        <f t="shared" si="65"/>
        <v>0.51</v>
      </c>
      <c r="F295" s="10">
        <f t="shared" si="64"/>
        <v>0.46</v>
      </c>
      <c r="G295" s="3">
        <f t="shared" ref="G295:G358" si="76">SUM(D295 + C295)</f>
        <v>48.5</v>
      </c>
      <c r="H295" s="3">
        <f t="shared" si="75"/>
        <v>0</v>
      </c>
      <c r="I295" s="3">
        <f t="shared" si="67"/>
        <v>0.76465488456146125</v>
      </c>
      <c r="J295" s="3">
        <f t="shared" si="68"/>
        <v>-1.0369227949001982</v>
      </c>
      <c r="K295" s="3">
        <f t="shared" si="69"/>
        <v>0.25547913114399839</v>
      </c>
      <c r="L295" s="3">
        <f t="shared" si="74"/>
        <v>-0.29501439655112532</v>
      </c>
      <c r="M295" s="9">
        <f t="shared" si="70"/>
        <v>0.47422680412371132</v>
      </c>
      <c r="N295" s="9">
        <f t="shared" si="71"/>
        <v>0.52577319587628868</v>
      </c>
      <c r="P295">
        <f t="shared" si="72"/>
        <v>68.5</v>
      </c>
      <c r="Q295">
        <f t="shared" si="73"/>
        <v>352.5</v>
      </c>
    </row>
    <row r="296" spans="1:17" x14ac:dyDescent="0.35">
      <c r="A296">
        <v>2024</v>
      </c>
      <c r="B296" s="6">
        <v>171</v>
      </c>
      <c r="C296" s="17">
        <v>36</v>
      </c>
      <c r="D296" s="3">
        <f t="shared" si="66"/>
        <v>21.375</v>
      </c>
      <c r="E296" s="10">
        <f t="shared" si="65"/>
        <v>0.42749999999999999</v>
      </c>
      <c r="F296" s="10">
        <f t="shared" si="64"/>
        <v>0.72</v>
      </c>
      <c r="G296" s="3">
        <f t="shared" si="76"/>
        <v>57.375</v>
      </c>
      <c r="H296" s="3">
        <f t="shared" si="75"/>
        <v>1</v>
      </c>
      <c r="I296" s="3">
        <f t="shared" si="67"/>
        <v>-0.47153286311765003</v>
      </c>
      <c r="J296" s="3">
        <f t="shared" si="68"/>
        <v>0.63030958151100658</v>
      </c>
      <c r="K296" s="3">
        <f t="shared" si="69"/>
        <v>0.99910496234756296</v>
      </c>
      <c r="L296" s="3">
        <f t="shared" si="74"/>
        <v>-8.9543843779984859E-4</v>
      </c>
      <c r="M296" s="9">
        <f t="shared" si="70"/>
        <v>0.62745098039215685</v>
      </c>
      <c r="N296" s="9">
        <f t="shared" si="71"/>
        <v>0.37254901960784315</v>
      </c>
      <c r="P296">
        <f t="shared" si="72"/>
        <v>278</v>
      </c>
      <c r="Q296">
        <f t="shared" si="73"/>
        <v>152</v>
      </c>
    </row>
    <row r="297" spans="1:17" x14ac:dyDescent="0.35">
      <c r="A297">
        <v>2024</v>
      </c>
      <c r="B297" s="6">
        <v>183</v>
      </c>
      <c r="C297" s="17">
        <v>41</v>
      </c>
      <c r="D297" s="3">
        <f t="shared" si="66"/>
        <v>22.875</v>
      </c>
      <c r="E297" s="10">
        <f t="shared" si="65"/>
        <v>0.45750000000000002</v>
      </c>
      <c r="F297" s="10">
        <f t="shared" ref="F297:F360" si="77">C297 / 50</f>
        <v>0.82</v>
      </c>
      <c r="G297" s="3">
        <f t="shared" si="76"/>
        <v>63.875</v>
      </c>
      <c r="H297" s="3">
        <f t="shared" si="75"/>
        <v>1</v>
      </c>
      <c r="I297" s="3">
        <f t="shared" si="67"/>
        <v>-2.2010045779791373E-2</v>
      </c>
      <c r="J297" s="3">
        <f t="shared" si="68"/>
        <v>1.271552803207624</v>
      </c>
      <c r="K297" s="3">
        <f t="shared" si="69"/>
        <v>0.99999843139450362</v>
      </c>
      <c r="L297" s="3">
        <f t="shared" si="74"/>
        <v>-1.5686067266454905E-6</v>
      </c>
      <c r="M297" s="9">
        <f t="shared" si="70"/>
        <v>0.64187866927592951</v>
      </c>
      <c r="N297" s="9">
        <f t="shared" si="71"/>
        <v>0.35812133072407043</v>
      </c>
      <c r="P297">
        <f t="shared" si="72"/>
        <v>197</v>
      </c>
      <c r="Q297">
        <f t="shared" si="73"/>
        <v>27</v>
      </c>
    </row>
    <row r="298" spans="1:17" x14ac:dyDescent="0.35">
      <c r="A298">
        <v>2024</v>
      </c>
      <c r="B298" s="6">
        <v>288</v>
      </c>
      <c r="C298" s="17">
        <v>39</v>
      </c>
      <c r="D298" s="3">
        <f t="shared" si="66"/>
        <v>36</v>
      </c>
      <c r="E298" s="10">
        <f t="shared" si="65"/>
        <v>0.72</v>
      </c>
      <c r="F298" s="10">
        <f t="shared" si="77"/>
        <v>0.78</v>
      </c>
      <c r="G298" s="3">
        <f t="shared" si="76"/>
        <v>75</v>
      </c>
      <c r="H298" s="3">
        <f t="shared" si="75"/>
        <v>1</v>
      </c>
      <c r="I298" s="3">
        <f t="shared" si="67"/>
        <v>3.9113146059264721</v>
      </c>
      <c r="J298" s="3">
        <f t="shared" si="68"/>
        <v>1.015055514528977</v>
      </c>
      <c r="K298" s="3">
        <f t="shared" si="69"/>
        <v>0.99999999998886135</v>
      </c>
      <c r="L298" s="3">
        <f t="shared" si="74"/>
        <v>-1.1138645561521306E-11</v>
      </c>
      <c r="M298" s="9">
        <f t="shared" si="70"/>
        <v>0.52</v>
      </c>
      <c r="N298" s="9">
        <f t="shared" si="71"/>
        <v>0.48</v>
      </c>
      <c r="P298">
        <f t="shared" si="72"/>
        <v>4</v>
      </c>
      <c r="Q298">
        <f t="shared" si="73"/>
        <v>76.5</v>
      </c>
    </row>
    <row r="299" spans="1:17" x14ac:dyDescent="0.35">
      <c r="A299">
        <v>2024</v>
      </c>
      <c r="B299" s="6">
        <v>191</v>
      </c>
      <c r="C299" s="17">
        <v>43</v>
      </c>
      <c r="D299" s="3">
        <f t="shared" si="66"/>
        <v>23.875</v>
      </c>
      <c r="E299" s="10">
        <f t="shared" si="65"/>
        <v>0.47749999999999998</v>
      </c>
      <c r="F299" s="10">
        <f t="shared" si="77"/>
        <v>0.86</v>
      </c>
      <c r="G299" s="3">
        <f t="shared" si="76"/>
        <v>66.875</v>
      </c>
      <c r="H299" s="3">
        <f t="shared" si="75"/>
        <v>1</v>
      </c>
      <c r="I299" s="3">
        <f t="shared" si="67"/>
        <v>0.27767183244544774</v>
      </c>
      <c r="J299" s="3">
        <f t="shared" si="68"/>
        <v>1.5280500918862707</v>
      </c>
      <c r="K299" s="3">
        <f t="shared" si="69"/>
        <v>0.99999991859727921</v>
      </c>
      <c r="L299" s="3">
        <f t="shared" si="74"/>
        <v>-8.1402724099473851E-8</v>
      </c>
      <c r="M299" s="9">
        <f t="shared" si="70"/>
        <v>0.64299065420560753</v>
      </c>
      <c r="N299" s="9">
        <f t="shared" si="71"/>
        <v>0.35700934579439253</v>
      </c>
      <c r="P299">
        <f t="shared" si="72"/>
        <v>137.5</v>
      </c>
      <c r="Q299">
        <f t="shared" si="73"/>
        <v>7</v>
      </c>
    </row>
    <row r="300" spans="1:17" x14ac:dyDescent="0.35">
      <c r="A300">
        <v>2024</v>
      </c>
      <c r="B300" s="6">
        <v>189</v>
      </c>
      <c r="C300" s="17">
        <v>34</v>
      </c>
      <c r="D300" s="3">
        <f t="shared" si="66"/>
        <v>23.625</v>
      </c>
      <c r="E300" s="10">
        <f t="shared" si="65"/>
        <v>0.47249999999999998</v>
      </c>
      <c r="F300" s="10">
        <f t="shared" si="77"/>
        <v>0.68</v>
      </c>
      <c r="G300" s="3">
        <f t="shared" si="76"/>
        <v>57.625</v>
      </c>
      <c r="H300" s="3">
        <f t="shared" si="75"/>
        <v>1</v>
      </c>
      <c r="I300" s="3">
        <f t="shared" si="67"/>
        <v>0.20275136288913795</v>
      </c>
      <c r="J300" s="3">
        <f t="shared" si="68"/>
        <v>0.37381229283235973</v>
      </c>
      <c r="K300" s="3">
        <f t="shared" si="69"/>
        <v>0.99942908584374657</v>
      </c>
      <c r="L300" s="3">
        <f t="shared" si="74"/>
        <v>-5.7107718979539568E-4</v>
      </c>
      <c r="M300" s="9">
        <f t="shared" si="70"/>
        <v>0.59002169197396959</v>
      </c>
      <c r="N300" s="9">
        <f t="shared" si="71"/>
        <v>0.40997830802603036</v>
      </c>
      <c r="P300">
        <f t="shared" si="72"/>
        <v>150</v>
      </c>
      <c r="Q300">
        <f t="shared" si="73"/>
        <v>189.5</v>
      </c>
    </row>
    <row r="301" spans="1:17" x14ac:dyDescent="0.35">
      <c r="A301">
        <v>2024</v>
      </c>
      <c r="B301" s="6">
        <v>167</v>
      </c>
      <c r="C301" s="17">
        <v>34</v>
      </c>
      <c r="D301" s="3">
        <f t="shared" si="66"/>
        <v>20.875</v>
      </c>
      <c r="E301" s="10">
        <f t="shared" ref="E301:E364" si="78">B301 / 400</f>
        <v>0.41749999999999998</v>
      </c>
      <c r="F301" s="10">
        <f t="shared" si="77"/>
        <v>0.68</v>
      </c>
      <c r="G301" s="3">
        <f t="shared" si="76"/>
        <v>54.875</v>
      </c>
      <c r="H301" s="3">
        <f t="shared" si="75"/>
        <v>1</v>
      </c>
      <c r="I301" s="3">
        <f t="shared" si="67"/>
        <v>-0.62137380223026961</v>
      </c>
      <c r="J301" s="3">
        <f t="shared" si="68"/>
        <v>0.37381229283235973</v>
      </c>
      <c r="K301" s="3">
        <f t="shared" si="69"/>
        <v>0.98988527505735358</v>
      </c>
      <c r="L301" s="3">
        <f t="shared" si="74"/>
        <v>-1.0166226348996443E-2</v>
      </c>
      <c r="M301" s="9">
        <f t="shared" si="70"/>
        <v>0.61958997722095677</v>
      </c>
      <c r="N301" s="9">
        <f t="shared" si="71"/>
        <v>0.38041002277904329</v>
      </c>
      <c r="P301">
        <f t="shared" si="72"/>
        <v>323</v>
      </c>
      <c r="Q301">
        <f t="shared" si="73"/>
        <v>189.5</v>
      </c>
    </row>
    <row r="302" spans="1:17" x14ac:dyDescent="0.35">
      <c r="A302">
        <v>2024</v>
      </c>
      <c r="B302" s="6">
        <v>204</v>
      </c>
      <c r="C302" s="17">
        <v>39</v>
      </c>
      <c r="D302" s="3">
        <f t="shared" si="66"/>
        <v>25.5</v>
      </c>
      <c r="E302" s="10">
        <f t="shared" si="78"/>
        <v>0.51</v>
      </c>
      <c r="F302" s="10">
        <f t="shared" si="77"/>
        <v>0.78</v>
      </c>
      <c r="G302" s="3">
        <f t="shared" si="76"/>
        <v>64.5</v>
      </c>
      <c r="H302" s="3">
        <f t="shared" si="75"/>
        <v>1</v>
      </c>
      <c r="I302" s="3">
        <f t="shared" si="67"/>
        <v>0.76465488456146125</v>
      </c>
      <c r="J302" s="3">
        <f t="shared" si="68"/>
        <v>1.015055514528977</v>
      </c>
      <c r="K302" s="3">
        <f t="shared" si="69"/>
        <v>0.99999932500519084</v>
      </c>
      <c r="L302" s="3">
        <f t="shared" si="74"/>
        <v>-6.7499503696687931E-7</v>
      </c>
      <c r="M302" s="9">
        <f t="shared" si="70"/>
        <v>0.60465116279069764</v>
      </c>
      <c r="N302" s="9">
        <f t="shared" si="71"/>
        <v>0.39534883720930231</v>
      </c>
      <c r="P302">
        <f t="shared" si="72"/>
        <v>68.5</v>
      </c>
      <c r="Q302">
        <f t="shared" si="73"/>
        <v>76.5</v>
      </c>
    </row>
    <row r="303" spans="1:17" x14ac:dyDescent="0.35">
      <c r="A303">
        <v>2024</v>
      </c>
      <c r="B303" s="6">
        <v>198</v>
      </c>
      <c r="C303" s="17">
        <v>21</v>
      </c>
      <c r="D303" s="3">
        <f t="shared" si="66"/>
        <v>24.75</v>
      </c>
      <c r="E303" s="10">
        <f t="shared" si="78"/>
        <v>0.495</v>
      </c>
      <c r="F303" s="10">
        <f t="shared" si="77"/>
        <v>0.42</v>
      </c>
      <c r="G303" s="3">
        <f t="shared" si="76"/>
        <v>45.75</v>
      </c>
      <c r="H303" s="3">
        <f t="shared" si="75"/>
        <v>0</v>
      </c>
      <c r="I303" s="3">
        <f t="shared" si="67"/>
        <v>0.539893475892532</v>
      </c>
      <c r="J303" s="3">
        <f t="shared" si="68"/>
        <v>-1.2934200835788452</v>
      </c>
      <c r="K303" s="3">
        <f t="shared" si="69"/>
        <v>2.2622146401762407E-2</v>
      </c>
      <c r="L303" s="3">
        <f t="shared" si="74"/>
        <v>-2.2881952886279189E-2</v>
      </c>
      <c r="M303" s="9">
        <f t="shared" si="70"/>
        <v>0.45901639344262296</v>
      </c>
      <c r="N303" s="9">
        <f t="shared" si="71"/>
        <v>0.54098360655737709</v>
      </c>
      <c r="P303">
        <f t="shared" si="72"/>
        <v>97.5</v>
      </c>
      <c r="Q303">
        <f t="shared" si="73"/>
        <v>378.5</v>
      </c>
    </row>
    <row r="304" spans="1:17" x14ac:dyDescent="0.35">
      <c r="A304">
        <v>2024</v>
      </c>
      <c r="B304" s="6">
        <v>185</v>
      </c>
      <c r="C304" s="17">
        <v>18</v>
      </c>
      <c r="D304" s="3">
        <f t="shared" ref="D304:D367" si="79">B304 / 8</f>
        <v>23.125</v>
      </c>
      <c r="E304" s="10">
        <f t="shared" si="78"/>
        <v>0.46250000000000002</v>
      </c>
      <c r="F304" s="10">
        <f t="shared" si="77"/>
        <v>0.36</v>
      </c>
      <c r="G304" s="3">
        <f t="shared" si="76"/>
        <v>41.125</v>
      </c>
      <c r="H304" s="3">
        <f t="shared" si="75"/>
        <v>0</v>
      </c>
      <c r="I304" s="3">
        <f t="shared" si="67"/>
        <v>5.2910423776518403E-2</v>
      </c>
      <c r="J304" s="3">
        <f t="shared" si="68"/>
        <v>-1.6781660165968155</v>
      </c>
      <c r="K304" s="3">
        <f t="shared" si="69"/>
        <v>2.3994947209313205E-4</v>
      </c>
      <c r="L304" s="3">
        <f t="shared" si="74"/>
        <v>-2.3997826457365743E-4</v>
      </c>
      <c r="M304" s="9">
        <f t="shared" si="70"/>
        <v>0.43768996960486323</v>
      </c>
      <c r="N304" s="9">
        <f t="shared" si="71"/>
        <v>0.56231003039513683</v>
      </c>
      <c r="P304">
        <f t="shared" si="72"/>
        <v>179.5</v>
      </c>
      <c r="Q304">
        <f t="shared" si="73"/>
        <v>409</v>
      </c>
    </row>
    <row r="305" spans="1:17" x14ac:dyDescent="0.35">
      <c r="A305">
        <v>2024</v>
      </c>
      <c r="B305" s="6">
        <v>181</v>
      </c>
      <c r="C305" s="17">
        <v>41</v>
      </c>
      <c r="D305" s="3">
        <f t="shared" si="79"/>
        <v>22.625</v>
      </c>
      <c r="E305" s="10">
        <f t="shared" si="78"/>
        <v>0.45250000000000001</v>
      </c>
      <c r="F305" s="10">
        <f t="shared" si="77"/>
        <v>0.82</v>
      </c>
      <c r="G305" s="3">
        <f t="shared" si="76"/>
        <v>63.625</v>
      </c>
      <c r="H305" s="3">
        <f t="shared" si="75"/>
        <v>1</v>
      </c>
      <c r="I305" s="3">
        <f t="shared" si="67"/>
        <v>-9.6930515336101156E-2</v>
      </c>
      <c r="J305" s="3">
        <f t="shared" si="68"/>
        <v>1.271552803207624</v>
      </c>
      <c r="K305" s="3">
        <f t="shared" si="69"/>
        <v>0.99999796116657391</v>
      </c>
      <c r="L305" s="3">
        <f t="shared" si="74"/>
        <v>-2.0388355045115998E-6</v>
      </c>
      <c r="M305" s="9">
        <f t="shared" si="70"/>
        <v>0.64440078585461691</v>
      </c>
      <c r="N305" s="9">
        <f t="shared" si="71"/>
        <v>0.35559921414538309</v>
      </c>
      <c r="P305">
        <f t="shared" si="72"/>
        <v>209.5</v>
      </c>
      <c r="Q305">
        <f t="shared" si="73"/>
        <v>27</v>
      </c>
    </row>
    <row r="306" spans="1:17" x14ac:dyDescent="0.35">
      <c r="A306">
        <v>2024</v>
      </c>
      <c r="B306" s="6">
        <v>157</v>
      </c>
      <c r="C306" s="17">
        <v>26</v>
      </c>
      <c r="D306" s="3">
        <f t="shared" si="79"/>
        <v>19.625</v>
      </c>
      <c r="E306" s="10">
        <f t="shared" si="78"/>
        <v>0.39250000000000002</v>
      </c>
      <c r="F306" s="10">
        <f t="shared" si="77"/>
        <v>0.52</v>
      </c>
      <c r="G306" s="3">
        <f t="shared" si="76"/>
        <v>45.625</v>
      </c>
      <c r="H306" s="3">
        <f t="shared" si="75"/>
        <v>0</v>
      </c>
      <c r="I306" s="3">
        <f t="shared" si="67"/>
        <v>-0.9959761500118185</v>
      </c>
      <c r="J306" s="3">
        <f t="shared" si="68"/>
        <v>-0.65217686188222801</v>
      </c>
      <c r="K306" s="3">
        <f t="shared" si="69"/>
        <v>1.2537186681113413E-2</v>
      </c>
      <c r="L306" s="3">
        <f t="shared" si="74"/>
        <v>-1.2616440314513568E-2</v>
      </c>
      <c r="M306" s="9">
        <f t="shared" si="70"/>
        <v>0.56986301369863013</v>
      </c>
      <c r="N306" s="9">
        <f t="shared" si="71"/>
        <v>0.43013698630136987</v>
      </c>
      <c r="P306">
        <f t="shared" si="72"/>
        <v>384.5</v>
      </c>
      <c r="Q306">
        <f t="shared" si="73"/>
        <v>312.5</v>
      </c>
    </row>
    <row r="307" spans="1:17" x14ac:dyDescent="0.35">
      <c r="A307">
        <v>2024</v>
      </c>
      <c r="B307" s="6">
        <v>246</v>
      </c>
      <c r="C307" s="17">
        <v>33</v>
      </c>
      <c r="D307" s="3">
        <f t="shared" si="79"/>
        <v>30.75</v>
      </c>
      <c r="E307" s="10">
        <f t="shared" si="78"/>
        <v>0.61499999999999999</v>
      </c>
      <c r="F307" s="10">
        <f t="shared" si="77"/>
        <v>0.66</v>
      </c>
      <c r="G307" s="3">
        <f t="shared" si="76"/>
        <v>63.75</v>
      </c>
      <c r="H307" s="3">
        <f t="shared" si="75"/>
        <v>1</v>
      </c>
      <c r="I307" s="3">
        <f t="shared" si="67"/>
        <v>2.3379847452439666</v>
      </c>
      <c r="J307" s="3">
        <f t="shared" si="68"/>
        <v>0.24556364849303625</v>
      </c>
      <c r="K307" s="3">
        <f t="shared" si="69"/>
        <v>0.9999991561299475</v>
      </c>
      <c r="L307" s="3">
        <f t="shared" si="74"/>
        <v>-8.4387040856117076E-7</v>
      </c>
      <c r="M307" s="9">
        <f t="shared" si="70"/>
        <v>0.51764705882352946</v>
      </c>
      <c r="N307" s="9">
        <f t="shared" si="71"/>
        <v>0.4823529411764706</v>
      </c>
      <c r="P307">
        <f t="shared" si="72"/>
        <v>9.5</v>
      </c>
      <c r="Q307">
        <f t="shared" si="73"/>
        <v>208.5</v>
      </c>
    </row>
    <row r="308" spans="1:17" x14ac:dyDescent="0.35">
      <c r="A308">
        <v>2024</v>
      </c>
      <c r="B308" s="6">
        <v>191</v>
      </c>
      <c r="C308" s="17">
        <v>40</v>
      </c>
      <c r="D308" s="3">
        <f t="shared" si="79"/>
        <v>23.875</v>
      </c>
      <c r="E308" s="10">
        <f t="shared" si="78"/>
        <v>0.47749999999999998</v>
      </c>
      <c r="F308" s="10">
        <f t="shared" si="77"/>
        <v>0.8</v>
      </c>
      <c r="G308" s="3">
        <f t="shared" si="76"/>
        <v>63.875</v>
      </c>
      <c r="H308" s="3">
        <f t="shared" si="75"/>
        <v>1</v>
      </c>
      <c r="I308" s="3">
        <f t="shared" si="67"/>
        <v>0.27767183244544774</v>
      </c>
      <c r="J308" s="3">
        <f t="shared" si="68"/>
        <v>1.1433041588683004</v>
      </c>
      <c r="K308" s="3">
        <f t="shared" si="69"/>
        <v>0.99999857195392183</v>
      </c>
      <c r="L308" s="3">
        <f t="shared" si="74"/>
        <v>-1.4280470978255939E-6</v>
      </c>
      <c r="M308" s="9">
        <f t="shared" si="70"/>
        <v>0.6262230919765166</v>
      </c>
      <c r="N308" s="9">
        <f t="shared" si="71"/>
        <v>0.37377690802348335</v>
      </c>
      <c r="P308">
        <f t="shared" si="72"/>
        <v>137.5</v>
      </c>
      <c r="Q308">
        <f t="shared" si="73"/>
        <v>50.5</v>
      </c>
    </row>
    <row r="309" spans="1:17" x14ac:dyDescent="0.35">
      <c r="A309">
        <v>2024</v>
      </c>
      <c r="B309" s="6">
        <v>174</v>
      </c>
      <c r="C309" s="17">
        <v>36</v>
      </c>
      <c r="D309" s="3">
        <f t="shared" si="79"/>
        <v>21.75</v>
      </c>
      <c r="E309" s="10">
        <f t="shared" si="78"/>
        <v>0.435</v>
      </c>
      <c r="F309" s="10">
        <f t="shared" si="77"/>
        <v>0.72</v>
      </c>
      <c r="G309" s="3">
        <f t="shared" si="76"/>
        <v>57.75</v>
      </c>
      <c r="H309" s="3">
        <f t="shared" si="75"/>
        <v>1</v>
      </c>
      <c r="I309" s="3">
        <f t="shared" si="67"/>
        <v>-0.3591521587831854</v>
      </c>
      <c r="J309" s="3">
        <f t="shared" si="68"/>
        <v>0.63030958151100658</v>
      </c>
      <c r="K309" s="3">
        <f t="shared" si="69"/>
        <v>0.99939582132351235</v>
      </c>
      <c r="L309" s="3">
        <f t="shared" si="74"/>
        <v>-6.0436126597236846E-4</v>
      </c>
      <c r="M309" s="9">
        <f t="shared" si="70"/>
        <v>0.62337662337662336</v>
      </c>
      <c r="N309" s="9">
        <f t="shared" si="71"/>
        <v>0.37662337662337664</v>
      </c>
      <c r="P309">
        <f t="shared" si="72"/>
        <v>261</v>
      </c>
      <c r="Q309">
        <f t="shared" si="73"/>
        <v>152</v>
      </c>
    </row>
    <row r="310" spans="1:17" x14ac:dyDescent="0.35">
      <c r="A310">
        <v>2024</v>
      </c>
      <c r="B310" s="6">
        <v>156</v>
      </c>
      <c r="C310" s="17">
        <v>39</v>
      </c>
      <c r="D310" s="3">
        <f t="shared" si="79"/>
        <v>19.5</v>
      </c>
      <c r="E310" s="10">
        <f t="shared" si="78"/>
        <v>0.39</v>
      </c>
      <c r="F310" s="10">
        <f t="shared" si="77"/>
        <v>0.78</v>
      </c>
      <c r="G310" s="3">
        <f t="shared" si="76"/>
        <v>58.5</v>
      </c>
      <c r="H310" s="3">
        <f t="shared" si="75"/>
        <v>1</v>
      </c>
      <c r="I310" s="3">
        <f t="shared" si="67"/>
        <v>-1.0334363847899735</v>
      </c>
      <c r="J310" s="3">
        <f t="shared" si="68"/>
        <v>1.015055514528977</v>
      </c>
      <c r="K310" s="3">
        <f t="shared" si="69"/>
        <v>0.99963526327067109</v>
      </c>
      <c r="L310" s="3">
        <f t="shared" si="74"/>
        <v>-3.6480326194818642E-4</v>
      </c>
      <c r="M310" s="9">
        <f t="shared" si="70"/>
        <v>0.66666666666666663</v>
      </c>
      <c r="N310" s="9">
        <f t="shared" si="71"/>
        <v>0.33333333333333331</v>
      </c>
      <c r="P310">
        <f t="shared" si="72"/>
        <v>390</v>
      </c>
      <c r="Q310">
        <f t="shared" si="73"/>
        <v>76.5</v>
      </c>
    </row>
    <row r="311" spans="1:17" x14ac:dyDescent="0.35">
      <c r="A311">
        <v>2024</v>
      </c>
      <c r="B311" s="6">
        <v>187</v>
      </c>
      <c r="C311" s="17">
        <v>43</v>
      </c>
      <c r="D311" s="3">
        <f t="shared" si="79"/>
        <v>23.375</v>
      </c>
      <c r="E311" s="10">
        <f t="shared" si="78"/>
        <v>0.46750000000000003</v>
      </c>
      <c r="F311" s="10">
        <f t="shared" si="77"/>
        <v>0.86</v>
      </c>
      <c r="G311" s="3">
        <f t="shared" si="76"/>
        <v>66.375</v>
      </c>
      <c r="H311" s="3">
        <f t="shared" si="75"/>
        <v>1</v>
      </c>
      <c r="I311" s="3">
        <f t="shared" si="67"/>
        <v>0.12783089333282818</v>
      </c>
      <c r="J311" s="3">
        <f t="shared" si="68"/>
        <v>1.5280500918862707</v>
      </c>
      <c r="K311" s="3">
        <f t="shared" si="69"/>
        <v>0.99999986247700234</v>
      </c>
      <c r="L311" s="3">
        <f t="shared" si="74"/>
        <v>-1.3752300711263577E-7</v>
      </c>
      <c r="M311" s="9">
        <f t="shared" si="70"/>
        <v>0.64783427495291901</v>
      </c>
      <c r="N311" s="9">
        <f t="shared" si="71"/>
        <v>0.35216572504708099</v>
      </c>
      <c r="P311">
        <f t="shared" si="72"/>
        <v>163</v>
      </c>
      <c r="Q311">
        <f t="shared" si="73"/>
        <v>7</v>
      </c>
    </row>
    <row r="312" spans="1:17" x14ac:dyDescent="0.35">
      <c r="A312">
        <v>2024</v>
      </c>
      <c r="B312" s="6">
        <v>167</v>
      </c>
      <c r="C312" s="17">
        <v>32</v>
      </c>
      <c r="D312" s="3">
        <f t="shared" si="79"/>
        <v>20.875</v>
      </c>
      <c r="E312" s="10">
        <f t="shared" si="78"/>
        <v>0.41749999999999998</v>
      </c>
      <c r="F312" s="10">
        <f t="shared" si="77"/>
        <v>0.64</v>
      </c>
      <c r="G312" s="3">
        <f t="shared" si="76"/>
        <v>52.875</v>
      </c>
      <c r="H312" s="3">
        <f t="shared" si="75"/>
        <v>1</v>
      </c>
      <c r="I312" s="3">
        <f t="shared" si="67"/>
        <v>-0.62137380223026961</v>
      </c>
      <c r="J312" s="3">
        <f t="shared" si="68"/>
        <v>0.11731500415371279</v>
      </c>
      <c r="K312" s="3">
        <f t="shared" si="69"/>
        <v>0.93546443954216907</v>
      </c>
      <c r="L312" s="3">
        <f t="shared" si="74"/>
        <v>-6.6712146238291539E-2</v>
      </c>
      <c r="M312" s="9">
        <f t="shared" si="70"/>
        <v>0.60520094562647753</v>
      </c>
      <c r="N312" s="9">
        <f t="shared" si="71"/>
        <v>0.39479905437352247</v>
      </c>
      <c r="P312">
        <f t="shared" si="72"/>
        <v>323</v>
      </c>
      <c r="Q312">
        <f t="shared" si="73"/>
        <v>222</v>
      </c>
    </row>
    <row r="313" spans="1:17" x14ac:dyDescent="0.35">
      <c r="A313">
        <v>2024</v>
      </c>
      <c r="B313" s="6">
        <v>200</v>
      </c>
      <c r="C313" s="17">
        <v>23</v>
      </c>
      <c r="D313" s="3">
        <f t="shared" si="79"/>
        <v>25</v>
      </c>
      <c r="E313" s="10">
        <f t="shared" si="78"/>
        <v>0.5</v>
      </c>
      <c r="F313" s="10">
        <f t="shared" si="77"/>
        <v>0.46</v>
      </c>
      <c r="G313" s="3">
        <f t="shared" si="76"/>
        <v>48</v>
      </c>
      <c r="H313" s="3">
        <f t="shared" si="75"/>
        <v>0</v>
      </c>
      <c r="I313" s="3">
        <f t="shared" si="67"/>
        <v>0.61481394544884171</v>
      </c>
      <c r="J313" s="3">
        <f t="shared" si="68"/>
        <v>-1.0369227949001982</v>
      </c>
      <c r="K313" s="3">
        <f t="shared" si="69"/>
        <v>0.16882430045384136</v>
      </c>
      <c r="L313" s="3">
        <f t="shared" si="74"/>
        <v>-0.18491407501168253</v>
      </c>
      <c r="M313" s="9">
        <f t="shared" si="70"/>
        <v>0.47916666666666669</v>
      </c>
      <c r="N313" s="9">
        <f t="shared" si="71"/>
        <v>0.52083333333333337</v>
      </c>
      <c r="P313">
        <f t="shared" si="72"/>
        <v>85</v>
      </c>
      <c r="Q313">
        <f t="shared" si="73"/>
        <v>352.5</v>
      </c>
    </row>
    <row r="314" spans="1:17" x14ac:dyDescent="0.35">
      <c r="A314">
        <v>2024</v>
      </c>
      <c r="B314" s="6">
        <v>202</v>
      </c>
      <c r="C314" s="17">
        <v>41</v>
      </c>
      <c r="D314" s="3">
        <f t="shared" si="79"/>
        <v>25.25</v>
      </c>
      <c r="E314" s="10">
        <f t="shared" si="78"/>
        <v>0.505</v>
      </c>
      <c r="F314" s="10">
        <f t="shared" si="77"/>
        <v>0.82</v>
      </c>
      <c r="G314" s="3">
        <f t="shared" si="76"/>
        <v>66.25</v>
      </c>
      <c r="H314" s="3">
        <f t="shared" si="75"/>
        <v>1</v>
      </c>
      <c r="I314" s="3">
        <f t="shared" si="67"/>
        <v>0.68973441500515154</v>
      </c>
      <c r="J314" s="3">
        <f t="shared" si="68"/>
        <v>1.271552803207624</v>
      </c>
      <c r="K314" s="3">
        <f t="shared" si="69"/>
        <v>0.99999987005298818</v>
      </c>
      <c r="L314" s="3">
        <f t="shared" si="74"/>
        <v>-1.2994702026079076E-7</v>
      </c>
      <c r="M314" s="9">
        <f t="shared" si="70"/>
        <v>0.61886792452830186</v>
      </c>
      <c r="N314" s="9">
        <f t="shared" si="71"/>
        <v>0.38113207547169814</v>
      </c>
      <c r="P314">
        <f t="shared" si="72"/>
        <v>74.5</v>
      </c>
      <c r="Q314">
        <f t="shared" si="73"/>
        <v>27</v>
      </c>
    </row>
    <row r="315" spans="1:17" x14ac:dyDescent="0.35">
      <c r="A315">
        <v>2024</v>
      </c>
      <c r="B315" s="6">
        <v>148</v>
      </c>
      <c r="C315" s="17">
        <v>33</v>
      </c>
      <c r="D315" s="3">
        <f t="shared" si="79"/>
        <v>18.5</v>
      </c>
      <c r="E315" s="10">
        <f t="shared" si="78"/>
        <v>0.37</v>
      </c>
      <c r="F315" s="10">
        <f t="shared" si="77"/>
        <v>0.66</v>
      </c>
      <c r="G315" s="3">
        <f t="shared" si="76"/>
        <v>51.5</v>
      </c>
      <c r="H315" s="3">
        <f t="shared" si="75"/>
        <v>1</v>
      </c>
      <c r="I315" s="3">
        <f t="shared" si="67"/>
        <v>-1.3331182630152125</v>
      </c>
      <c r="J315" s="3">
        <f t="shared" si="68"/>
        <v>0.24556364849303625</v>
      </c>
      <c r="K315" s="3">
        <f t="shared" si="69"/>
        <v>0.75729291164133916</v>
      </c>
      <c r="L315" s="3">
        <f t="shared" si="74"/>
        <v>-0.27800516294665256</v>
      </c>
      <c r="M315" s="9">
        <f t="shared" si="70"/>
        <v>0.64077669902912626</v>
      </c>
      <c r="N315" s="9">
        <f t="shared" si="71"/>
        <v>0.35922330097087379</v>
      </c>
      <c r="P315">
        <f t="shared" si="72"/>
        <v>412</v>
      </c>
      <c r="Q315">
        <f t="shared" si="73"/>
        <v>208.5</v>
      </c>
    </row>
    <row r="316" spans="1:17" x14ac:dyDescent="0.35">
      <c r="A316">
        <v>2024</v>
      </c>
      <c r="B316" s="6">
        <v>258</v>
      </c>
      <c r="C316" s="17">
        <v>33</v>
      </c>
      <c r="D316" s="3">
        <f t="shared" si="79"/>
        <v>32.25</v>
      </c>
      <c r="E316" s="10">
        <f t="shared" si="78"/>
        <v>0.64500000000000002</v>
      </c>
      <c r="F316" s="10">
        <f t="shared" si="77"/>
        <v>0.66</v>
      </c>
      <c r="G316" s="3">
        <f t="shared" si="76"/>
        <v>65.25</v>
      </c>
      <c r="H316" s="3">
        <f t="shared" si="75"/>
        <v>1</v>
      </c>
      <c r="I316" s="3">
        <f t="shared" si="67"/>
        <v>2.7875075625818253</v>
      </c>
      <c r="J316" s="3">
        <f t="shared" si="68"/>
        <v>0.24556364849303625</v>
      </c>
      <c r="K316" s="3">
        <f t="shared" si="69"/>
        <v>0.99999982498850937</v>
      </c>
      <c r="L316" s="3">
        <f t="shared" si="74"/>
        <v>-1.7501150594743858E-7</v>
      </c>
      <c r="M316" s="9">
        <f t="shared" si="70"/>
        <v>0.50574712643678166</v>
      </c>
      <c r="N316" s="9">
        <f t="shared" si="71"/>
        <v>0.4942528735632184</v>
      </c>
      <c r="P316">
        <f t="shared" si="72"/>
        <v>7</v>
      </c>
      <c r="Q316">
        <f t="shared" si="73"/>
        <v>208.5</v>
      </c>
    </row>
    <row r="317" spans="1:17" x14ac:dyDescent="0.35">
      <c r="A317">
        <v>2024</v>
      </c>
      <c r="B317" s="6">
        <v>165</v>
      </c>
      <c r="C317" s="17">
        <v>34</v>
      </c>
      <c r="D317" s="3">
        <f t="shared" si="79"/>
        <v>20.625</v>
      </c>
      <c r="E317" s="10">
        <f t="shared" si="78"/>
        <v>0.41249999999999998</v>
      </c>
      <c r="F317" s="10">
        <f t="shared" si="77"/>
        <v>0.68</v>
      </c>
      <c r="G317" s="3">
        <f t="shared" si="76"/>
        <v>54.625</v>
      </c>
      <c r="H317" s="3">
        <f t="shared" si="75"/>
        <v>1</v>
      </c>
      <c r="I317" s="3">
        <f t="shared" si="67"/>
        <v>-0.69629427178657943</v>
      </c>
      <c r="J317" s="3">
        <f t="shared" si="68"/>
        <v>0.37381229283235973</v>
      </c>
      <c r="K317" s="3">
        <f t="shared" si="69"/>
        <v>0.9868928749294571</v>
      </c>
      <c r="L317" s="3">
        <f t="shared" si="74"/>
        <v>-1.3193781478168137E-2</v>
      </c>
      <c r="M317" s="9">
        <f t="shared" si="70"/>
        <v>0.62242562929061784</v>
      </c>
      <c r="N317" s="9">
        <f t="shared" si="71"/>
        <v>0.37757437070938216</v>
      </c>
      <c r="P317">
        <f t="shared" si="72"/>
        <v>342.5</v>
      </c>
      <c r="Q317">
        <f t="shared" si="73"/>
        <v>189.5</v>
      </c>
    </row>
    <row r="318" spans="1:17" x14ac:dyDescent="0.35">
      <c r="A318">
        <v>2024</v>
      </c>
      <c r="B318" s="6">
        <v>183</v>
      </c>
      <c r="C318" s="17">
        <v>39</v>
      </c>
      <c r="D318" s="3">
        <f t="shared" si="79"/>
        <v>22.875</v>
      </c>
      <c r="E318" s="10">
        <f t="shared" si="78"/>
        <v>0.45750000000000002</v>
      </c>
      <c r="F318" s="10">
        <f t="shared" si="77"/>
        <v>0.78</v>
      </c>
      <c r="G318" s="3">
        <f t="shared" si="76"/>
        <v>61.875</v>
      </c>
      <c r="H318" s="3">
        <f t="shared" si="75"/>
        <v>1</v>
      </c>
      <c r="I318" s="3">
        <f t="shared" si="67"/>
        <v>-2.2010045779791373E-2</v>
      </c>
      <c r="J318" s="3">
        <f t="shared" si="68"/>
        <v>1.015055514528977</v>
      </c>
      <c r="K318" s="3">
        <f t="shared" si="69"/>
        <v>0.99998940959901483</v>
      </c>
      <c r="L318" s="3">
        <f t="shared" si="74"/>
        <v>-1.0590457063858948E-5</v>
      </c>
      <c r="M318" s="9">
        <f t="shared" si="70"/>
        <v>0.63030303030303025</v>
      </c>
      <c r="N318" s="9">
        <f t="shared" si="71"/>
        <v>0.36969696969696969</v>
      </c>
      <c r="P318">
        <f t="shared" si="72"/>
        <v>197</v>
      </c>
      <c r="Q318">
        <f t="shared" si="73"/>
        <v>76.5</v>
      </c>
    </row>
    <row r="319" spans="1:17" x14ac:dyDescent="0.35">
      <c r="A319">
        <v>2024</v>
      </c>
      <c r="B319" s="6">
        <v>197</v>
      </c>
      <c r="C319" s="17">
        <v>27</v>
      </c>
      <c r="D319" s="3">
        <f t="shared" si="79"/>
        <v>24.625</v>
      </c>
      <c r="E319" s="10">
        <f t="shared" si="78"/>
        <v>0.49249999999999999</v>
      </c>
      <c r="F319" s="10">
        <f t="shared" si="77"/>
        <v>0.54</v>
      </c>
      <c r="G319" s="3">
        <f t="shared" si="76"/>
        <v>51.625</v>
      </c>
      <c r="H319" s="3">
        <f t="shared" si="75"/>
        <v>1</v>
      </c>
      <c r="I319" s="3">
        <f t="shared" si="67"/>
        <v>0.50243324111437704</v>
      </c>
      <c r="J319" s="3">
        <f t="shared" si="68"/>
        <v>-0.52392821754290453</v>
      </c>
      <c r="K319" s="3">
        <f t="shared" si="69"/>
        <v>0.86203198809662274</v>
      </c>
      <c r="L319" s="3">
        <f t="shared" si="74"/>
        <v>-0.1484628998461566</v>
      </c>
      <c r="M319" s="9">
        <f t="shared" si="70"/>
        <v>0.52300242130750607</v>
      </c>
      <c r="N319" s="9">
        <f t="shared" si="71"/>
        <v>0.47699757869249393</v>
      </c>
      <c r="P319">
        <f t="shared" si="72"/>
        <v>102.5</v>
      </c>
      <c r="Q319">
        <f t="shared" si="73"/>
        <v>294.5</v>
      </c>
    </row>
    <row r="320" spans="1:17" x14ac:dyDescent="0.35">
      <c r="A320">
        <v>2024</v>
      </c>
      <c r="B320" s="6">
        <v>151</v>
      </c>
      <c r="C320" s="17">
        <v>29</v>
      </c>
      <c r="D320" s="3">
        <f t="shared" si="79"/>
        <v>18.875</v>
      </c>
      <c r="E320" s="10">
        <f t="shared" si="78"/>
        <v>0.3775</v>
      </c>
      <c r="F320" s="10">
        <f t="shared" si="77"/>
        <v>0.57999999999999996</v>
      </c>
      <c r="G320" s="3">
        <f t="shared" si="76"/>
        <v>47.875</v>
      </c>
      <c r="H320" s="3">
        <f t="shared" si="75"/>
        <v>0</v>
      </c>
      <c r="I320" s="3">
        <f t="shared" si="67"/>
        <v>-1.2207375586807478</v>
      </c>
      <c r="J320" s="3">
        <f t="shared" si="68"/>
        <v>-0.26743092886425757</v>
      </c>
      <c r="K320" s="3">
        <f t="shared" si="69"/>
        <v>9.2091714149812279E-2</v>
      </c>
      <c r="L320" s="3">
        <f t="shared" si="74"/>
        <v>-9.6611912255292434E-2</v>
      </c>
      <c r="M320" s="9">
        <f t="shared" si="70"/>
        <v>0.60574412532637079</v>
      </c>
      <c r="N320" s="9">
        <f t="shared" si="71"/>
        <v>0.39425587467362927</v>
      </c>
      <c r="P320">
        <f t="shared" si="72"/>
        <v>402.5</v>
      </c>
      <c r="Q320">
        <f t="shared" si="73"/>
        <v>272.5</v>
      </c>
    </row>
    <row r="321" spans="1:17" x14ac:dyDescent="0.35">
      <c r="A321">
        <v>2024</v>
      </c>
      <c r="B321" s="6">
        <v>163</v>
      </c>
      <c r="C321" s="17">
        <v>35</v>
      </c>
      <c r="D321" s="3">
        <f t="shared" si="79"/>
        <v>20.375</v>
      </c>
      <c r="E321" s="10">
        <f t="shared" si="78"/>
        <v>0.40749999999999997</v>
      </c>
      <c r="F321" s="10">
        <f t="shared" si="77"/>
        <v>0.7</v>
      </c>
      <c r="G321" s="3">
        <f t="shared" si="76"/>
        <v>55.375</v>
      </c>
      <c r="H321" s="3">
        <f t="shared" si="75"/>
        <v>1</v>
      </c>
      <c r="I321" s="3">
        <f t="shared" si="67"/>
        <v>-0.77121474134288914</v>
      </c>
      <c r="J321" s="3">
        <f t="shared" si="68"/>
        <v>0.50206093717168321</v>
      </c>
      <c r="K321" s="3">
        <f t="shared" si="69"/>
        <v>0.99340023290671675</v>
      </c>
      <c r="L321" s="3">
        <f t="shared" si="74"/>
        <v>-6.6216418548005005E-3</v>
      </c>
      <c r="M321" s="9">
        <f t="shared" si="70"/>
        <v>0.6320541760722348</v>
      </c>
      <c r="N321" s="9">
        <f t="shared" si="71"/>
        <v>0.36794582392776526</v>
      </c>
      <c r="P321">
        <f t="shared" si="72"/>
        <v>356.5</v>
      </c>
      <c r="Q321">
        <f t="shared" si="73"/>
        <v>171.5</v>
      </c>
    </row>
    <row r="322" spans="1:17" x14ac:dyDescent="0.35">
      <c r="A322">
        <v>2024</v>
      </c>
      <c r="B322" s="6">
        <v>184</v>
      </c>
      <c r="C322" s="17">
        <v>40</v>
      </c>
      <c r="D322" s="3">
        <f t="shared" si="79"/>
        <v>23</v>
      </c>
      <c r="E322" s="10">
        <f t="shared" si="78"/>
        <v>0.46</v>
      </c>
      <c r="F322" s="10">
        <f t="shared" si="77"/>
        <v>0.8</v>
      </c>
      <c r="G322" s="3">
        <f t="shared" si="76"/>
        <v>63</v>
      </c>
      <c r="H322" s="3">
        <f t="shared" si="75"/>
        <v>1</v>
      </c>
      <c r="I322" s="3">
        <f t="shared" ref="I322:I385" si="80" xml:space="preserve"> (D:D - AVERAGE(D:D)) / STDEV(D:D)</f>
        <v>1.5450188998363515E-2</v>
      </c>
      <c r="J322" s="3">
        <f t="shared" ref="J322:J385" si="81" xml:space="preserve"> (C:C - AVERAGE(C:C)) / STDEV(C:C)</f>
        <v>1.1433041588683004</v>
      </c>
      <c r="K322" s="3">
        <f t="shared" ref="K322:K385" si="82">1/(1+EXP(-($AD$68 +$AD$69 * I322 +$AD$70 * J322 )))</f>
        <v>0.99999642496706143</v>
      </c>
      <c r="L322" s="3">
        <f t="shared" si="74"/>
        <v>-3.5750393290196828E-6</v>
      </c>
      <c r="M322" s="9">
        <f t="shared" si="70"/>
        <v>0.63492063492063489</v>
      </c>
      <c r="N322" s="9">
        <f t="shared" si="71"/>
        <v>0.36507936507936506</v>
      </c>
      <c r="P322">
        <f t="shared" si="72"/>
        <v>188.5</v>
      </c>
      <c r="Q322">
        <f t="shared" si="73"/>
        <v>50.5</v>
      </c>
    </row>
    <row r="323" spans="1:17" x14ac:dyDescent="0.35">
      <c r="A323">
        <v>2024</v>
      </c>
      <c r="B323" s="6">
        <v>179</v>
      </c>
      <c r="C323" s="17">
        <v>35</v>
      </c>
      <c r="D323" s="3">
        <f t="shared" si="79"/>
        <v>22.375</v>
      </c>
      <c r="E323" s="10">
        <f t="shared" si="78"/>
        <v>0.44750000000000001</v>
      </c>
      <c r="F323" s="10">
        <f t="shared" si="77"/>
        <v>0.7</v>
      </c>
      <c r="G323" s="3">
        <f t="shared" si="76"/>
        <v>57.375</v>
      </c>
      <c r="H323" s="3">
        <f t="shared" si="75"/>
        <v>1</v>
      </c>
      <c r="I323" s="3">
        <f t="shared" si="80"/>
        <v>-0.17185098489241094</v>
      </c>
      <c r="J323" s="3">
        <f t="shared" si="81"/>
        <v>0.50206093717168321</v>
      </c>
      <c r="K323" s="3">
        <f t="shared" si="82"/>
        <v>0.99918509953445867</v>
      </c>
      <c r="L323" s="3">
        <f t="shared" si="74"/>
        <v>-8.1523267741770791E-4</v>
      </c>
      <c r="M323" s="9">
        <f t="shared" ref="M323:M386" si="83">IF(G323=0, 0,  C323  / G323 )</f>
        <v>0.61002178649237471</v>
      </c>
      <c r="N323" s="9">
        <f t="shared" ref="N323:N386" si="84">IF(G323=0, 0,  D323  / G323 )</f>
        <v>0.38997821350762529</v>
      </c>
      <c r="P323">
        <f t="shared" ref="P323:P386" si="85">_xlfn.RANK.AVG(B323,$B$2:$B$435)</f>
        <v>223.5</v>
      </c>
      <c r="Q323">
        <f t="shared" ref="Q323:Q386" si="86">_xlfn.RANK.AVG(C323,$C$2:$C$435)</f>
        <v>171.5</v>
      </c>
    </row>
    <row r="324" spans="1:17" x14ac:dyDescent="0.35">
      <c r="A324">
        <v>2024</v>
      </c>
      <c r="B324" s="6">
        <v>170</v>
      </c>
      <c r="C324" s="17">
        <v>40</v>
      </c>
      <c r="D324" s="3">
        <f t="shared" si="79"/>
        <v>21.25</v>
      </c>
      <c r="E324" s="10">
        <f t="shared" si="78"/>
        <v>0.42499999999999999</v>
      </c>
      <c r="F324" s="10">
        <f t="shared" si="77"/>
        <v>0.8</v>
      </c>
      <c r="G324" s="3">
        <f t="shared" si="76"/>
        <v>61.25</v>
      </c>
      <c r="H324" s="3">
        <f t="shared" si="75"/>
        <v>1</v>
      </c>
      <c r="I324" s="3">
        <f t="shared" si="80"/>
        <v>-0.50899309789580494</v>
      </c>
      <c r="J324" s="3">
        <f t="shared" si="81"/>
        <v>1.1433041588683004</v>
      </c>
      <c r="K324" s="3">
        <f t="shared" si="82"/>
        <v>0.99997759477096748</v>
      </c>
      <c r="L324" s="3">
        <f t="shared" ref="L324:L387" si="87">IF(K324=0, -1000, IF(K324=1, -1000, H324 * LN(K324) + (1 - H324) * LN(1 - K324)))</f>
        <v>-2.2405480033411455E-5</v>
      </c>
      <c r="M324" s="9">
        <f t="shared" si="83"/>
        <v>0.65306122448979587</v>
      </c>
      <c r="N324" s="9">
        <f t="shared" si="84"/>
        <v>0.34693877551020408</v>
      </c>
      <c r="P324">
        <f t="shared" si="85"/>
        <v>287.5</v>
      </c>
      <c r="Q324">
        <f t="shared" si="86"/>
        <v>50.5</v>
      </c>
    </row>
    <row r="325" spans="1:17" x14ac:dyDescent="0.35">
      <c r="A325">
        <v>2024</v>
      </c>
      <c r="B325" s="6">
        <v>190</v>
      </c>
      <c r="C325" s="17">
        <v>23</v>
      </c>
      <c r="D325" s="3">
        <f t="shared" si="79"/>
        <v>23.75</v>
      </c>
      <c r="E325" s="10">
        <f t="shared" si="78"/>
        <v>0.47499999999999998</v>
      </c>
      <c r="F325" s="10">
        <f t="shared" si="77"/>
        <v>0.46</v>
      </c>
      <c r="G325" s="3">
        <f t="shared" si="76"/>
        <v>46.75</v>
      </c>
      <c r="H325" s="3">
        <f t="shared" si="75"/>
        <v>0</v>
      </c>
      <c r="I325" s="3">
        <f t="shared" si="80"/>
        <v>0.24021159766729286</v>
      </c>
      <c r="J325" s="3">
        <f t="shared" si="81"/>
        <v>-1.0369227949001982</v>
      </c>
      <c r="K325" s="3">
        <f t="shared" si="82"/>
        <v>5.1909951704783387E-2</v>
      </c>
      <c r="L325" s="3">
        <f t="shared" si="87"/>
        <v>-5.3305793584974656E-2</v>
      </c>
      <c r="M325" s="9">
        <f t="shared" si="83"/>
        <v>0.49197860962566847</v>
      </c>
      <c r="N325" s="9">
        <f t="shared" si="84"/>
        <v>0.50802139037433158</v>
      </c>
      <c r="P325">
        <f t="shared" si="85"/>
        <v>145</v>
      </c>
      <c r="Q325">
        <f t="shared" si="86"/>
        <v>352.5</v>
      </c>
    </row>
    <row r="326" spans="1:17" x14ac:dyDescent="0.35">
      <c r="A326">
        <v>2024</v>
      </c>
      <c r="B326" s="6">
        <v>217</v>
      </c>
      <c r="C326" s="17">
        <v>23</v>
      </c>
      <c r="D326" s="3">
        <f t="shared" si="79"/>
        <v>27.125</v>
      </c>
      <c r="E326" s="10">
        <f t="shared" si="78"/>
        <v>0.54249999999999998</v>
      </c>
      <c r="F326" s="10">
        <f t="shared" si="77"/>
        <v>0.46</v>
      </c>
      <c r="G326" s="3">
        <f t="shared" si="76"/>
        <v>50.125</v>
      </c>
      <c r="H326" s="3">
        <f t="shared" si="75"/>
        <v>1</v>
      </c>
      <c r="I326" s="3">
        <f t="shared" si="80"/>
        <v>1.2516379366774748</v>
      </c>
      <c r="J326" s="3">
        <f t="shared" si="81"/>
        <v>-1.0369227949001982</v>
      </c>
      <c r="K326" s="3">
        <f t="shared" si="82"/>
        <v>0.65354150778560938</v>
      </c>
      <c r="L326" s="3">
        <f t="shared" si="87"/>
        <v>-0.42534923181310386</v>
      </c>
      <c r="M326" s="9">
        <f t="shared" si="83"/>
        <v>0.45885286783042395</v>
      </c>
      <c r="N326" s="9">
        <f t="shared" si="84"/>
        <v>0.54114713216957611</v>
      </c>
      <c r="P326">
        <f t="shared" si="85"/>
        <v>44.5</v>
      </c>
      <c r="Q326">
        <f t="shared" si="86"/>
        <v>352.5</v>
      </c>
    </row>
    <row r="327" spans="1:17" x14ac:dyDescent="0.35">
      <c r="A327">
        <v>2025</v>
      </c>
      <c r="B327" s="6">
        <v>244</v>
      </c>
      <c r="C327" s="3">
        <v>39</v>
      </c>
      <c r="D327" s="3">
        <f t="shared" si="79"/>
        <v>30.5</v>
      </c>
      <c r="E327" s="10">
        <f t="shared" si="78"/>
        <v>0.61</v>
      </c>
      <c r="F327" s="10">
        <f t="shared" si="77"/>
        <v>0.78</v>
      </c>
      <c r="G327" s="3">
        <f t="shared" si="76"/>
        <v>69.5</v>
      </c>
      <c r="H327" s="3">
        <f t="shared" si="75"/>
        <v>1</v>
      </c>
      <c r="I327" s="3">
        <f t="shared" si="80"/>
        <v>2.2630642756876567</v>
      </c>
      <c r="J327" s="3">
        <f t="shared" si="81"/>
        <v>1.015055514528977</v>
      </c>
      <c r="K327" s="3">
        <f t="shared" si="82"/>
        <v>0.99999999643601067</v>
      </c>
      <c r="L327" s="3">
        <f t="shared" si="87"/>
        <v>-3.563989332234209E-9</v>
      </c>
      <c r="M327" s="9">
        <f t="shared" si="83"/>
        <v>0.5611510791366906</v>
      </c>
      <c r="N327" s="9">
        <f t="shared" si="84"/>
        <v>0.43884892086330934</v>
      </c>
      <c r="P327">
        <f t="shared" si="85"/>
        <v>13</v>
      </c>
      <c r="Q327">
        <f t="shared" si="86"/>
        <v>76.5</v>
      </c>
    </row>
    <row r="328" spans="1:17" x14ac:dyDescent="0.35">
      <c r="A328">
        <v>2025</v>
      </c>
      <c r="B328" s="6">
        <v>216</v>
      </c>
      <c r="C328" s="3">
        <v>41</v>
      </c>
      <c r="D328" s="3">
        <f t="shared" si="79"/>
        <v>27</v>
      </c>
      <c r="E328" s="10">
        <f t="shared" si="78"/>
        <v>0.54</v>
      </c>
      <c r="F328" s="10">
        <f t="shared" si="77"/>
        <v>0.82</v>
      </c>
      <c r="G328" s="3">
        <f t="shared" si="76"/>
        <v>68</v>
      </c>
      <c r="H328" s="3">
        <f t="shared" si="75"/>
        <v>1</v>
      </c>
      <c r="I328" s="3">
        <f t="shared" si="80"/>
        <v>1.2141777018993201</v>
      </c>
      <c r="J328" s="3">
        <f t="shared" si="81"/>
        <v>1.271552803207624</v>
      </c>
      <c r="K328" s="3">
        <f t="shared" si="82"/>
        <v>0.99999997926572637</v>
      </c>
      <c r="L328" s="3">
        <f t="shared" si="87"/>
        <v>-2.0734273846317098E-8</v>
      </c>
      <c r="M328" s="9">
        <f t="shared" si="83"/>
        <v>0.6029411764705882</v>
      </c>
      <c r="N328" s="9">
        <f t="shared" si="84"/>
        <v>0.39705882352941174</v>
      </c>
      <c r="P328">
        <f t="shared" si="85"/>
        <v>46</v>
      </c>
      <c r="Q328">
        <f t="shared" si="86"/>
        <v>27</v>
      </c>
    </row>
    <row r="329" spans="1:17" x14ac:dyDescent="0.35">
      <c r="A329">
        <v>2025</v>
      </c>
      <c r="B329" s="6">
        <v>191</v>
      </c>
      <c r="C329" s="3">
        <v>43</v>
      </c>
      <c r="D329" s="3">
        <f t="shared" si="79"/>
        <v>23.875</v>
      </c>
      <c r="E329" s="10">
        <f t="shared" si="78"/>
        <v>0.47749999999999998</v>
      </c>
      <c r="F329" s="10">
        <f t="shared" si="77"/>
        <v>0.86</v>
      </c>
      <c r="G329" s="3">
        <f t="shared" si="76"/>
        <v>66.875</v>
      </c>
      <c r="H329" s="3">
        <f t="shared" si="75"/>
        <v>1</v>
      </c>
      <c r="I329" s="3">
        <f t="shared" si="80"/>
        <v>0.27767183244544774</v>
      </c>
      <c r="J329" s="3">
        <f t="shared" si="81"/>
        <v>1.5280500918862707</v>
      </c>
      <c r="K329" s="3">
        <f t="shared" si="82"/>
        <v>0.99999991859727921</v>
      </c>
      <c r="L329" s="3">
        <f t="shared" si="87"/>
        <v>-8.1402724099473851E-8</v>
      </c>
      <c r="M329" s="9">
        <f t="shared" si="83"/>
        <v>0.64299065420560753</v>
      </c>
      <c r="N329" s="9">
        <f t="shared" si="84"/>
        <v>0.35700934579439253</v>
      </c>
      <c r="P329">
        <f t="shared" si="85"/>
        <v>137.5</v>
      </c>
      <c r="Q329">
        <f t="shared" si="86"/>
        <v>7</v>
      </c>
    </row>
    <row r="330" spans="1:17" x14ac:dyDescent="0.35">
      <c r="A330">
        <v>2025</v>
      </c>
      <c r="B330" s="6">
        <v>219</v>
      </c>
      <c r="C330" s="3">
        <v>39</v>
      </c>
      <c r="D330" s="3">
        <f t="shared" si="79"/>
        <v>27.375</v>
      </c>
      <c r="E330" s="10">
        <f t="shared" si="78"/>
        <v>0.54749999999999999</v>
      </c>
      <c r="F330" s="10">
        <f t="shared" si="77"/>
        <v>0.78</v>
      </c>
      <c r="G330" s="3">
        <f t="shared" si="76"/>
        <v>66.375</v>
      </c>
      <c r="H330" s="3">
        <f t="shared" si="75"/>
        <v>1</v>
      </c>
      <c r="I330" s="3">
        <f t="shared" si="80"/>
        <v>1.3265584062337847</v>
      </c>
      <c r="J330" s="3">
        <f t="shared" si="81"/>
        <v>1.015055514528977</v>
      </c>
      <c r="K330" s="3">
        <f t="shared" si="82"/>
        <v>0.99999990553105644</v>
      </c>
      <c r="L330" s="3">
        <f t="shared" si="87"/>
        <v>-9.446894801888237E-8</v>
      </c>
      <c r="M330" s="9">
        <f t="shared" si="83"/>
        <v>0.58757062146892658</v>
      </c>
      <c r="N330" s="9">
        <f t="shared" si="84"/>
        <v>0.41242937853107342</v>
      </c>
      <c r="P330">
        <f t="shared" si="85"/>
        <v>41.5</v>
      </c>
      <c r="Q330">
        <f t="shared" si="86"/>
        <v>76.5</v>
      </c>
    </row>
    <row r="331" spans="1:17" x14ac:dyDescent="0.35">
      <c r="A331">
        <v>2025</v>
      </c>
      <c r="B331" s="6">
        <v>224</v>
      </c>
      <c r="C331" s="3">
        <v>37</v>
      </c>
      <c r="D331" s="3">
        <f t="shared" si="79"/>
        <v>28</v>
      </c>
      <c r="E331" s="10">
        <f t="shared" si="78"/>
        <v>0.56000000000000005</v>
      </c>
      <c r="F331" s="10">
        <f t="shared" si="77"/>
        <v>0.74</v>
      </c>
      <c r="G331" s="3">
        <f t="shared" si="76"/>
        <v>65</v>
      </c>
      <c r="H331" s="3">
        <f t="shared" si="75"/>
        <v>1</v>
      </c>
      <c r="I331" s="3">
        <f t="shared" si="80"/>
        <v>1.5138595801245591</v>
      </c>
      <c r="J331" s="3">
        <f t="shared" si="81"/>
        <v>0.75855822585033006</v>
      </c>
      <c r="K331" s="3">
        <f t="shared" si="82"/>
        <v>0.99999966885286384</v>
      </c>
      <c r="L331" s="3">
        <f t="shared" si="87"/>
        <v>-3.3114719098589814E-7</v>
      </c>
      <c r="M331" s="9">
        <f t="shared" si="83"/>
        <v>0.56923076923076921</v>
      </c>
      <c r="N331" s="9">
        <f t="shared" si="84"/>
        <v>0.43076923076923079</v>
      </c>
      <c r="P331">
        <f t="shared" si="85"/>
        <v>33</v>
      </c>
      <c r="Q331">
        <f t="shared" si="86"/>
        <v>128</v>
      </c>
    </row>
    <row r="332" spans="1:17" x14ac:dyDescent="0.35">
      <c r="A332">
        <v>2025</v>
      </c>
      <c r="B332" s="6">
        <v>192</v>
      </c>
      <c r="C332" s="3">
        <v>41</v>
      </c>
      <c r="D332" s="3">
        <f t="shared" si="79"/>
        <v>24</v>
      </c>
      <c r="E332" s="10">
        <f t="shared" si="78"/>
        <v>0.48</v>
      </c>
      <c r="F332" s="10">
        <f t="shared" si="77"/>
        <v>0.82</v>
      </c>
      <c r="G332" s="3">
        <f t="shared" si="76"/>
        <v>65</v>
      </c>
      <c r="H332" s="3">
        <f t="shared" si="75"/>
        <v>1</v>
      </c>
      <c r="I332" s="3">
        <f t="shared" si="80"/>
        <v>0.31513206722360265</v>
      </c>
      <c r="J332" s="3">
        <f t="shared" si="81"/>
        <v>1.271552803207624</v>
      </c>
      <c r="K332" s="3">
        <f t="shared" si="82"/>
        <v>0.99999951793319364</v>
      </c>
      <c r="L332" s="3">
        <f t="shared" si="87"/>
        <v>-4.8206692255633164E-7</v>
      </c>
      <c r="M332" s="9">
        <f t="shared" si="83"/>
        <v>0.63076923076923075</v>
      </c>
      <c r="N332" s="9">
        <f t="shared" si="84"/>
        <v>0.36923076923076925</v>
      </c>
      <c r="P332">
        <f t="shared" si="85"/>
        <v>129.5</v>
      </c>
      <c r="Q332">
        <f t="shared" si="86"/>
        <v>27</v>
      </c>
    </row>
    <row r="333" spans="1:17" x14ac:dyDescent="0.35">
      <c r="A333">
        <v>2025</v>
      </c>
      <c r="B333" s="6">
        <v>204</v>
      </c>
      <c r="C333" s="3">
        <v>39</v>
      </c>
      <c r="D333" s="3">
        <f t="shared" si="79"/>
        <v>25.5</v>
      </c>
      <c r="E333" s="10">
        <f t="shared" si="78"/>
        <v>0.51</v>
      </c>
      <c r="F333" s="10">
        <f t="shared" si="77"/>
        <v>0.78</v>
      </c>
      <c r="G333" s="3">
        <f t="shared" si="76"/>
        <v>64.5</v>
      </c>
      <c r="H333" s="3">
        <f t="shared" si="75"/>
        <v>1</v>
      </c>
      <c r="I333" s="3">
        <f t="shared" si="80"/>
        <v>0.76465488456146125</v>
      </c>
      <c r="J333" s="3">
        <f t="shared" si="81"/>
        <v>1.015055514528977</v>
      </c>
      <c r="K333" s="3">
        <f t="shared" si="82"/>
        <v>0.99999932500519084</v>
      </c>
      <c r="L333" s="3">
        <f t="shared" si="87"/>
        <v>-6.7499503696687931E-7</v>
      </c>
      <c r="M333" s="9">
        <f t="shared" si="83"/>
        <v>0.60465116279069764</v>
      </c>
      <c r="N333" s="9">
        <f t="shared" si="84"/>
        <v>0.39534883720930231</v>
      </c>
      <c r="P333">
        <f t="shared" si="85"/>
        <v>68.5</v>
      </c>
      <c r="Q333">
        <f t="shared" si="86"/>
        <v>76.5</v>
      </c>
    </row>
    <row r="334" spans="1:17" x14ac:dyDescent="0.35">
      <c r="A334">
        <v>2025</v>
      </c>
      <c r="B334" s="8">
        <v>210</v>
      </c>
      <c r="C334" s="13">
        <v>38</v>
      </c>
      <c r="D334" s="3">
        <f t="shared" si="79"/>
        <v>26.25</v>
      </c>
      <c r="E334" s="10">
        <f t="shared" si="78"/>
        <v>0.52500000000000002</v>
      </c>
      <c r="F334" s="10">
        <f t="shared" si="77"/>
        <v>0.76</v>
      </c>
      <c r="G334" s="3">
        <f t="shared" si="76"/>
        <v>64.25</v>
      </c>
      <c r="H334" s="3">
        <f t="shared" si="75"/>
        <v>1</v>
      </c>
      <c r="I334" s="3">
        <f t="shared" si="80"/>
        <v>0.9894162932303906</v>
      </c>
      <c r="J334" s="3">
        <f t="shared" si="81"/>
        <v>0.88680687018965354</v>
      </c>
      <c r="K334" s="3">
        <f t="shared" si="82"/>
        <v>0.99999920127546771</v>
      </c>
      <c r="L334" s="3">
        <f t="shared" si="87"/>
        <v>-7.9872485127218167E-7</v>
      </c>
      <c r="M334" s="9">
        <f t="shared" si="83"/>
        <v>0.59143968871595332</v>
      </c>
      <c r="N334" s="9">
        <f t="shared" si="84"/>
        <v>0.40856031128404668</v>
      </c>
      <c r="P334">
        <f t="shared" si="85"/>
        <v>52</v>
      </c>
      <c r="Q334">
        <f t="shared" si="86"/>
        <v>103</v>
      </c>
    </row>
    <row r="335" spans="1:17" x14ac:dyDescent="0.35">
      <c r="A335">
        <v>2025</v>
      </c>
      <c r="B335" s="6">
        <v>210</v>
      </c>
      <c r="C335" s="3">
        <v>38</v>
      </c>
      <c r="D335" s="3">
        <f t="shared" si="79"/>
        <v>26.25</v>
      </c>
      <c r="E335" s="10">
        <f t="shared" si="78"/>
        <v>0.52500000000000002</v>
      </c>
      <c r="F335" s="10">
        <f t="shared" si="77"/>
        <v>0.76</v>
      </c>
      <c r="G335" s="3">
        <f t="shared" si="76"/>
        <v>64.25</v>
      </c>
      <c r="H335" s="3">
        <f t="shared" si="75"/>
        <v>1</v>
      </c>
      <c r="I335" s="3">
        <f t="shared" si="80"/>
        <v>0.9894162932303906</v>
      </c>
      <c r="J335" s="3">
        <f t="shared" si="81"/>
        <v>0.88680687018965354</v>
      </c>
      <c r="K335" s="3">
        <f t="shared" si="82"/>
        <v>0.99999920127546771</v>
      </c>
      <c r="L335" s="3">
        <f t="shared" si="87"/>
        <v>-7.9872485127218167E-7</v>
      </c>
      <c r="M335" s="9">
        <f t="shared" si="83"/>
        <v>0.59143968871595332</v>
      </c>
      <c r="N335" s="9">
        <f t="shared" si="84"/>
        <v>0.40856031128404668</v>
      </c>
      <c r="P335">
        <f t="shared" si="85"/>
        <v>52</v>
      </c>
      <c r="Q335">
        <f t="shared" si="86"/>
        <v>103</v>
      </c>
    </row>
    <row r="336" spans="1:17" x14ac:dyDescent="0.35">
      <c r="A336">
        <v>2025</v>
      </c>
      <c r="B336" s="6">
        <v>176</v>
      </c>
      <c r="C336" s="3">
        <v>42</v>
      </c>
      <c r="D336" s="3">
        <f t="shared" si="79"/>
        <v>22</v>
      </c>
      <c r="E336" s="10">
        <f t="shared" si="78"/>
        <v>0.44</v>
      </c>
      <c r="F336" s="10">
        <f t="shared" si="77"/>
        <v>0.84</v>
      </c>
      <c r="G336" s="3">
        <f t="shared" si="76"/>
        <v>64</v>
      </c>
      <c r="H336" s="3">
        <f t="shared" si="75"/>
        <v>1</v>
      </c>
      <c r="I336" s="3">
        <f t="shared" si="80"/>
        <v>-0.28423168922687558</v>
      </c>
      <c r="J336" s="3">
        <f t="shared" si="81"/>
        <v>1.3998014475469474</v>
      </c>
      <c r="K336" s="3">
        <f t="shared" si="82"/>
        <v>0.9999984886981238</v>
      </c>
      <c r="L336" s="3">
        <f t="shared" si="87"/>
        <v>-1.5113030182181307E-6</v>
      </c>
      <c r="M336" s="9">
        <f t="shared" si="83"/>
        <v>0.65625</v>
      </c>
      <c r="N336" s="9">
        <f t="shared" si="84"/>
        <v>0.34375</v>
      </c>
      <c r="P336">
        <f t="shared" si="85"/>
        <v>245.5</v>
      </c>
      <c r="Q336">
        <f t="shared" si="86"/>
        <v>13.5</v>
      </c>
    </row>
    <row r="337" spans="1:17" x14ac:dyDescent="0.35">
      <c r="A337">
        <v>2025</v>
      </c>
      <c r="B337" s="6">
        <v>199</v>
      </c>
      <c r="C337" s="3">
        <v>39</v>
      </c>
      <c r="D337" s="3">
        <f t="shared" si="79"/>
        <v>24.875</v>
      </c>
      <c r="E337" s="10">
        <f t="shared" si="78"/>
        <v>0.4975</v>
      </c>
      <c r="F337" s="10">
        <f t="shared" si="77"/>
        <v>0.78</v>
      </c>
      <c r="G337" s="3">
        <f t="shared" si="76"/>
        <v>63.875</v>
      </c>
      <c r="H337" s="3">
        <f t="shared" si="75"/>
        <v>1</v>
      </c>
      <c r="I337" s="3">
        <f t="shared" si="80"/>
        <v>0.57735371067068686</v>
      </c>
      <c r="J337" s="3">
        <f t="shared" si="81"/>
        <v>1.015055514528977</v>
      </c>
      <c r="K337" s="3">
        <f t="shared" si="82"/>
        <v>0.99999869991812429</v>
      </c>
      <c r="L337" s="3">
        <f t="shared" si="87"/>
        <v>-1.3000827208174648E-6</v>
      </c>
      <c r="M337" s="9">
        <f t="shared" si="83"/>
        <v>0.61056751467710368</v>
      </c>
      <c r="N337" s="9">
        <f t="shared" si="84"/>
        <v>0.38943248532289626</v>
      </c>
      <c r="P337">
        <f t="shared" si="85"/>
        <v>91.5</v>
      </c>
      <c r="Q337">
        <f t="shared" si="86"/>
        <v>76.5</v>
      </c>
    </row>
    <row r="338" spans="1:17" x14ac:dyDescent="0.35">
      <c r="A338">
        <v>2025</v>
      </c>
      <c r="B338" s="6">
        <v>178</v>
      </c>
      <c r="C338" s="3">
        <v>41</v>
      </c>
      <c r="D338" s="3">
        <f t="shared" si="79"/>
        <v>22.25</v>
      </c>
      <c r="E338" s="10">
        <f t="shared" si="78"/>
        <v>0.44500000000000001</v>
      </c>
      <c r="F338" s="10">
        <f t="shared" si="77"/>
        <v>0.82</v>
      </c>
      <c r="G338" s="3">
        <f t="shared" si="76"/>
        <v>63.25</v>
      </c>
      <c r="H338" s="3">
        <f t="shared" si="75"/>
        <v>1</v>
      </c>
      <c r="I338" s="3">
        <f t="shared" si="80"/>
        <v>-0.20931121967056582</v>
      </c>
      <c r="J338" s="3">
        <f t="shared" si="81"/>
        <v>1.271552803207624</v>
      </c>
      <c r="K338" s="3">
        <f t="shared" si="82"/>
        <v>0.99999697877100657</v>
      </c>
      <c r="L338" s="3">
        <f t="shared" si="87"/>
        <v>-3.0212335573487794E-6</v>
      </c>
      <c r="M338" s="9">
        <f t="shared" si="83"/>
        <v>0.64822134387351782</v>
      </c>
      <c r="N338" s="9">
        <f t="shared" si="84"/>
        <v>0.35177865612648224</v>
      </c>
      <c r="P338">
        <f t="shared" si="85"/>
        <v>230.5</v>
      </c>
      <c r="Q338">
        <f t="shared" si="86"/>
        <v>27</v>
      </c>
    </row>
    <row r="339" spans="1:17" x14ac:dyDescent="0.35">
      <c r="A339">
        <v>2025</v>
      </c>
      <c r="B339" s="6">
        <v>185</v>
      </c>
      <c r="C339" s="3">
        <v>40</v>
      </c>
      <c r="D339" s="3">
        <f t="shared" si="79"/>
        <v>23.125</v>
      </c>
      <c r="E339" s="10">
        <f t="shared" si="78"/>
        <v>0.46250000000000002</v>
      </c>
      <c r="F339" s="10">
        <f t="shared" si="77"/>
        <v>0.8</v>
      </c>
      <c r="G339" s="3">
        <f t="shared" si="76"/>
        <v>63.125</v>
      </c>
      <c r="H339" s="3">
        <f t="shared" si="75"/>
        <v>1</v>
      </c>
      <c r="I339" s="3">
        <f t="shared" si="80"/>
        <v>5.2910423776518403E-2</v>
      </c>
      <c r="J339" s="3">
        <f t="shared" si="81"/>
        <v>1.1433041588683004</v>
      </c>
      <c r="K339" s="3">
        <f t="shared" si="82"/>
        <v>0.99999686421607203</v>
      </c>
      <c r="L339" s="3">
        <f t="shared" si="87"/>
        <v>-3.1357888445462404E-6</v>
      </c>
      <c r="M339" s="9">
        <f t="shared" si="83"/>
        <v>0.63366336633663367</v>
      </c>
      <c r="N339" s="9">
        <f t="shared" si="84"/>
        <v>0.36633663366336633</v>
      </c>
      <c r="P339">
        <f t="shared" si="85"/>
        <v>179.5</v>
      </c>
      <c r="Q339">
        <f t="shared" si="86"/>
        <v>50.5</v>
      </c>
    </row>
    <row r="340" spans="1:17" x14ac:dyDescent="0.35">
      <c r="A340">
        <v>2025</v>
      </c>
      <c r="B340" s="6">
        <v>200</v>
      </c>
      <c r="C340" s="3">
        <v>38</v>
      </c>
      <c r="D340" s="3">
        <f t="shared" si="79"/>
        <v>25</v>
      </c>
      <c r="E340" s="10">
        <f t="shared" si="78"/>
        <v>0.5</v>
      </c>
      <c r="F340" s="10">
        <f t="shared" si="77"/>
        <v>0.76</v>
      </c>
      <c r="G340" s="3">
        <f t="shared" si="76"/>
        <v>63</v>
      </c>
      <c r="H340" s="3">
        <f t="shared" si="75"/>
        <v>1</v>
      </c>
      <c r="I340" s="3">
        <f t="shared" si="80"/>
        <v>0.61481394544884171</v>
      </c>
      <c r="J340" s="3">
        <f t="shared" si="81"/>
        <v>0.88680687018965354</v>
      </c>
      <c r="K340" s="3">
        <f t="shared" si="82"/>
        <v>0.99999703696236231</v>
      </c>
      <c r="L340" s="3">
        <f t="shared" si="87"/>
        <v>-2.9630420274979257E-6</v>
      </c>
      <c r="M340" s="9">
        <f t="shared" si="83"/>
        <v>0.60317460317460314</v>
      </c>
      <c r="N340" s="9">
        <f t="shared" si="84"/>
        <v>0.3968253968253968</v>
      </c>
      <c r="P340">
        <f t="shared" si="85"/>
        <v>85</v>
      </c>
      <c r="Q340">
        <f t="shared" si="86"/>
        <v>103</v>
      </c>
    </row>
    <row r="341" spans="1:17" x14ac:dyDescent="0.35">
      <c r="A341">
        <v>2025</v>
      </c>
      <c r="B341" s="6">
        <v>189</v>
      </c>
      <c r="C341" s="3">
        <v>39</v>
      </c>
      <c r="D341" s="3">
        <f t="shared" si="79"/>
        <v>23.625</v>
      </c>
      <c r="E341" s="10">
        <f t="shared" si="78"/>
        <v>0.47249999999999998</v>
      </c>
      <c r="F341" s="10">
        <f t="shared" si="77"/>
        <v>0.78</v>
      </c>
      <c r="G341" s="3">
        <f t="shared" si="76"/>
        <v>62.625</v>
      </c>
      <c r="H341" s="3">
        <f t="shared" ref="H341:H404" si="88">IF(G341&gt;=50,1,0)</f>
        <v>1</v>
      </c>
      <c r="I341" s="3">
        <f t="shared" si="80"/>
        <v>0.20275136288913795</v>
      </c>
      <c r="J341" s="3">
        <f t="shared" si="81"/>
        <v>1.015055514528977</v>
      </c>
      <c r="K341" s="3">
        <f t="shared" si="82"/>
        <v>0.9999951770777773</v>
      </c>
      <c r="L341" s="3">
        <f t="shared" si="87"/>
        <v>-4.8229338530293081E-6</v>
      </c>
      <c r="M341" s="9">
        <f t="shared" si="83"/>
        <v>0.6227544910179641</v>
      </c>
      <c r="N341" s="9">
        <f t="shared" si="84"/>
        <v>0.3772455089820359</v>
      </c>
      <c r="P341">
        <f t="shared" si="85"/>
        <v>150</v>
      </c>
      <c r="Q341">
        <f t="shared" si="86"/>
        <v>76.5</v>
      </c>
    </row>
    <row r="342" spans="1:17" x14ac:dyDescent="0.35">
      <c r="A342">
        <v>2025</v>
      </c>
      <c r="B342" s="6">
        <v>192</v>
      </c>
      <c r="C342" s="3">
        <v>38</v>
      </c>
      <c r="D342" s="3">
        <f t="shared" si="79"/>
        <v>24</v>
      </c>
      <c r="E342" s="10">
        <f t="shared" si="78"/>
        <v>0.48</v>
      </c>
      <c r="F342" s="10">
        <f t="shared" si="77"/>
        <v>0.76</v>
      </c>
      <c r="G342" s="3">
        <f t="shared" si="76"/>
        <v>62</v>
      </c>
      <c r="H342" s="3">
        <f t="shared" si="88"/>
        <v>1</v>
      </c>
      <c r="I342" s="3">
        <f t="shared" si="80"/>
        <v>0.31513206722360265</v>
      </c>
      <c r="J342" s="3">
        <f t="shared" si="81"/>
        <v>0.88680687018965354</v>
      </c>
      <c r="K342" s="3">
        <f t="shared" si="82"/>
        <v>0.99999154316904093</v>
      </c>
      <c r="L342" s="3">
        <f t="shared" si="87"/>
        <v>-8.4568667182658913E-6</v>
      </c>
      <c r="M342" s="9">
        <f t="shared" si="83"/>
        <v>0.61290322580645162</v>
      </c>
      <c r="N342" s="9">
        <f t="shared" si="84"/>
        <v>0.38709677419354838</v>
      </c>
      <c r="P342">
        <f t="shared" si="85"/>
        <v>129.5</v>
      </c>
      <c r="Q342">
        <f t="shared" si="86"/>
        <v>103</v>
      </c>
    </row>
    <row r="343" spans="1:17" x14ac:dyDescent="0.35">
      <c r="A343">
        <v>2025</v>
      </c>
      <c r="B343" s="6">
        <v>175</v>
      </c>
      <c r="C343" s="3">
        <v>40</v>
      </c>
      <c r="D343" s="3">
        <f t="shared" si="79"/>
        <v>21.875</v>
      </c>
      <c r="E343" s="10">
        <f t="shared" si="78"/>
        <v>0.4375</v>
      </c>
      <c r="F343" s="10">
        <f t="shared" si="77"/>
        <v>0.8</v>
      </c>
      <c r="G343" s="3">
        <f t="shared" si="76"/>
        <v>61.875</v>
      </c>
      <c r="H343" s="3">
        <f t="shared" si="88"/>
        <v>1</v>
      </c>
      <c r="I343" s="3">
        <f t="shared" si="80"/>
        <v>-0.32169192400503049</v>
      </c>
      <c r="J343" s="3">
        <f t="shared" si="81"/>
        <v>1.1433041588683004</v>
      </c>
      <c r="K343" s="3">
        <f t="shared" si="82"/>
        <v>0.99998836721975148</v>
      </c>
      <c r="L343" s="3">
        <f t="shared" si="87"/>
        <v>-1.1632847909828987E-5</v>
      </c>
      <c r="M343" s="9">
        <f t="shared" si="83"/>
        <v>0.64646464646464652</v>
      </c>
      <c r="N343" s="9">
        <f t="shared" si="84"/>
        <v>0.35353535353535354</v>
      </c>
      <c r="P343">
        <f t="shared" si="85"/>
        <v>254</v>
      </c>
      <c r="Q343">
        <f t="shared" si="86"/>
        <v>50.5</v>
      </c>
    </row>
    <row r="344" spans="1:17" x14ac:dyDescent="0.35">
      <c r="A344">
        <v>2025</v>
      </c>
      <c r="B344" s="6">
        <v>191</v>
      </c>
      <c r="C344" s="3">
        <v>38</v>
      </c>
      <c r="D344" s="3">
        <f t="shared" si="79"/>
        <v>23.875</v>
      </c>
      <c r="E344" s="10">
        <f t="shared" si="78"/>
        <v>0.47749999999999998</v>
      </c>
      <c r="F344" s="10">
        <f t="shared" si="77"/>
        <v>0.76</v>
      </c>
      <c r="G344" s="3">
        <f t="shared" si="76"/>
        <v>61.875</v>
      </c>
      <c r="H344" s="3">
        <f t="shared" si="88"/>
        <v>1</v>
      </c>
      <c r="I344" s="3">
        <f t="shared" si="80"/>
        <v>0.27767183244544774</v>
      </c>
      <c r="J344" s="3">
        <f t="shared" si="81"/>
        <v>0.88680687018965354</v>
      </c>
      <c r="K344" s="3">
        <f t="shared" si="82"/>
        <v>0.99999035857463558</v>
      </c>
      <c r="L344" s="3">
        <f t="shared" si="87"/>
        <v>-9.6414718432553122E-6</v>
      </c>
      <c r="M344" s="9">
        <f t="shared" si="83"/>
        <v>0.6141414141414141</v>
      </c>
      <c r="N344" s="9">
        <f t="shared" si="84"/>
        <v>0.38585858585858585</v>
      </c>
      <c r="P344">
        <f t="shared" si="85"/>
        <v>137.5</v>
      </c>
      <c r="Q344">
        <f t="shared" si="86"/>
        <v>103</v>
      </c>
    </row>
    <row r="345" spans="1:17" x14ac:dyDescent="0.35">
      <c r="A345">
        <v>2025</v>
      </c>
      <c r="B345" s="6">
        <v>174</v>
      </c>
      <c r="C345" s="3">
        <v>40</v>
      </c>
      <c r="D345" s="3">
        <f t="shared" si="79"/>
        <v>21.75</v>
      </c>
      <c r="E345" s="10">
        <f t="shared" si="78"/>
        <v>0.435</v>
      </c>
      <c r="F345" s="10">
        <f t="shared" si="77"/>
        <v>0.8</v>
      </c>
      <c r="G345" s="3">
        <f t="shared" si="76"/>
        <v>61.75</v>
      </c>
      <c r="H345" s="3">
        <f t="shared" si="88"/>
        <v>1</v>
      </c>
      <c r="I345" s="3">
        <f t="shared" si="80"/>
        <v>-0.3591521587831854</v>
      </c>
      <c r="J345" s="3">
        <f t="shared" si="81"/>
        <v>1.1433041588683004</v>
      </c>
      <c r="K345" s="3">
        <f t="shared" si="82"/>
        <v>0.99998673775871894</v>
      </c>
      <c r="L345" s="3">
        <f t="shared" si="87"/>
        <v>-1.3262329225364026E-5</v>
      </c>
      <c r="M345" s="9">
        <f t="shared" si="83"/>
        <v>0.64777327935222673</v>
      </c>
      <c r="N345" s="9">
        <f t="shared" si="84"/>
        <v>0.35222672064777327</v>
      </c>
      <c r="P345">
        <f t="shared" si="85"/>
        <v>261</v>
      </c>
      <c r="Q345">
        <f t="shared" si="86"/>
        <v>50.5</v>
      </c>
    </row>
    <row r="346" spans="1:17" x14ac:dyDescent="0.35">
      <c r="A346">
        <v>2025</v>
      </c>
      <c r="B346" s="6">
        <v>180</v>
      </c>
      <c r="C346" s="3">
        <v>39</v>
      </c>
      <c r="D346" s="3">
        <f t="shared" si="79"/>
        <v>22.5</v>
      </c>
      <c r="E346" s="10">
        <f t="shared" si="78"/>
        <v>0.45</v>
      </c>
      <c r="F346" s="10">
        <f t="shared" si="77"/>
        <v>0.78</v>
      </c>
      <c r="G346" s="3">
        <f t="shared" si="76"/>
        <v>61.5</v>
      </c>
      <c r="H346" s="3">
        <f t="shared" si="88"/>
        <v>1</v>
      </c>
      <c r="I346" s="3">
        <f t="shared" si="80"/>
        <v>-0.13439075011425605</v>
      </c>
      <c r="J346" s="3">
        <f t="shared" si="81"/>
        <v>1.015055514528977</v>
      </c>
      <c r="K346" s="3">
        <f t="shared" si="82"/>
        <v>0.99998430676373118</v>
      </c>
      <c r="L346" s="3">
        <f t="shared" si="87"/>
        <v>-1.5693359408941739E-5</v>
      </c>
      <c r="M346" s="9">
        <f t="shared" si="83"/>
        <v>0.63414634146341464</v>
      </c>
      <c r="N346" s="9">
        <f t="shared" si="84"/>
        <v>0.36585365853658536</v>
      </c>
      <c r="P346">
        <f t="shared" si="85"/>
        <v>216.5</v>
      </c>
      <c r="Q346">
        <f t="shared" si="86"/>
        <v>76.5</v>
      </c>
    </row>
    <row r="347" spans="1:17" x14ac:dyDescent="0.35">
      <c r="A347">
        <v>2025</v>
      </c>
      <c r="B347" s="6">
        <v>233</v>
      </c>
      <c r="C347" s="3">
        <v>32</v>
      </c>
      <c r="D347" s="3">
        <f t="shared" si="79"/>
        <v>29.125</v>
      </c>
      <c r="E347" s="10">
        <f t="shared" si="78"/>
        <v>0.58250000000000002</v>
      </c>
      <c r="F347" s="10">
        <f t="shared" si="77"/>
        <v>0.64</v>
      </c>
      <c r="G347" s="3">
        <f t="shared" si="76"/>
        <v>61.125</v>
      </c>
      <c r="H347" s="3">
        <f t="shared" si="88"/>
        <v>1</v>
      </c>
      <c r="I347" s="3">
        <f t="shared" si="80"/>
        <v>1.8510016931279532</v>
      </c>
      <c r="J347" s="3">
        <f t="shared" si="81"/>
        <v>0.11731500415371279</v>
      </c>
      <c r="K347" s="3">
        <f t="shared" si="82"/>
        <v>0.99998794643786171</v>
      </c>
      <c r="L347" s="3">
        <f t="shared" si="87"/>
        <v>-1.2053634783056092E-5</v>
      </c>
      <c r="M347" s="9">
        <f t="shared" si="83"/>
        <v>0.52351738241308798</v>
      </c>
      <c r="N347" s="9">
        <f t="shared" si="84"/>
        <v>0.47648261758691207</v>
      </c>
      <c r="P347">
        <f t="shared" si="85"/>
        <v>20</v>
      </c>
      <c r="Q347">
        <f t="shared" si="86"/>
        <v>222</v>
      </c>
    </row>
    <row r="348" spans="1:17" x14ac:dyDescent="0.35">
      <c r="A348">
        <v>2025</v>
      </c>
      <c r="B348" s="6">
        <v>177</v>
      </c>
      <c r="C348" s="3">
        <v>39</v>
      </c>
      <c r="D348" s="3">
        <f t="shared" si="79"/>
        <v>22.125</v>
      </c>
      <c r="E348" s="10">
        <f t="shared" si="78"/>
        <v>0.4425</v>
      </c>
      <c r="F348" s="10">
        <f t="shared" si="77"/>
        <v>0.78</v>
      </c>
      <c r="G348" s="3">
        <f t="shared" si="76"/>
        <v>61.125</v>
      </c>
      <c r="H348" s="3">
        <f t="shared" si="88"/>
        <v>1</v>
      </c>
      <c r="I348" s="3">
        <f t="shared" si="80"/>
        <v>-0.2467714544487207</v>
      </c>
      <c r="J348" s="3">
        <f t="shared" si="81"/>
        <v>1.015055514528977</v>
      </c>
      <c r="K348" s="3">
        <f t="shared" si="82"/>
        <v>0.99997674525644453</v>
      </c>
      <c r="L348" s="3">
        <f t="shared" si="87"/>
        <v>-2.3255013951208441E-5</v>
      </c>
      <c r="M348" s="9">
        <f t="shared" si="83"/>
        <v>0.6380368098159509</v>
      </c>
      <c r="N348" s="9">
        <f t="shared" si="84"/>
        <v>0.3619631901840491</v>
      </c>
      <c r="P348">
        <f t="shared" si="85"/>
        <v>237.5</v>
      </c>
      <c r="Q348">
        <f t="shared" si="86"/>
        <v>76.5</v>
      </c>
    </row>
    <row r="349" spans="1:17" x14ac:dyDescent="0.35">
      <c r="A349">
        <v>2025</v>
      </c>
      <c r="B349" s="6">
        <v>176</v>
      </c>
      <c r="C349" s="3">
        <v>39</v>
      </c>
      <c r="D349" s="3">
        <f t="shared" si="79"/>
        <v>22</v>
      </c>
      <c r="E349" s="10">
        <f t="shared" si="78"/>
        <v>0.44</v>
      </c>
      <c r="F349" s="10">
        <f t="shared" si="77"/>
        <v>0.78</v>
      </c>
      <c r="G349" s="3">
        <f t="shared" si="76"/>
        <v>61</v>
      </c>
      <c r="H349" s="3">
        <f t="shared" si="88"/>
        <v>1</v>
      </c>
      <c r="I349" s="3">
        <f t="shared" si="80"/>
        <v>-0.28423168922687558</v>
      </c>
      <c r="J349" s="3">
        <f t="shared" si="81"/>
        <v>1.015055514528977</v>
      </c>
      <c r="K349" s="3">
        <f t="shared" si="82"/>
        <v>0.99997348789272278</v>
      </c>
      <c r="L349" s="3">
        <f t="shared" si="87"/>
        <v>-2.6512458729349174E-5</v>
      </c>
      <c r="M349" s="9">
        <f t="shared" si="83"/>
        <v>0.63934426229508201</v>
      </c>
      <c r="N349" s="9">
        <f t="shared" si="84"/>
        <v>0.36065573770491804</v>
      </c>
      <c r="P349">
        <f t="shared" si="85"/>
        <v>245.5</v>
      </c>
      <c r="Q349">
        <f t="shared" si="86"/>
        <v>76.5</v>
      </c>
    </row>
    <row r="350" spans="1:17" x14ac:dyDescent="0.35">
      <c r="A350">
        <v>2025</v>
      </c>
      <c r="B350" s="6">
        <v>184</v>
      </c>
      <c r="C350" s="3">
        <v>38</v>
      </c>
      <c r="D350" s="3">
        <f t="shared" si="79"/>
        <v>23</v>
      </c>
      <c r="E350" s="10">
        <f t="shared" si="78"/>
        <v>0.46</v>
      </c>
      <c r="F350" s="10">
        <f t="shared" si="77"/>
        <v>0.76</v>
      </c>
      <c r="G350" s="3">
        <f t="shared" si="76"/>
        <v>61</v>
      </c>
      <c r="H350" s="3">
        <f t="shared" si="88"/>
        <v>1</v>
      </c>
      <c r="I350" s="3">
        <f t="shared" si="80"/>
        <v>1.5450188998363515E-2</v>
      </c>
      <c r="J350" s="3">
        <f t="shared" si="81"/>
        <v>0.88680687018965354</v>
      </c>
      <c r="K350" s="3">
        <f t="shared" si="82"/>
        <v>0.99997586353258749</v>
      </c>
      <c r="L350" s="3">
        <f t="shared" si="87"/>
        <v>-2.413675870172224E-5</v>
      </c>
      <c r="M350" s="9">
        <f t="shared" si="83"/>
        <v>0.62295081967213117</v>
      </c>
      <c r="N350" s="9">
        <f t="shared" si="84"/>
        <v>0.37704918032786883</v>
      </c>
      <c r="P350">
        <f t="shared" si="85"/>
        <v>188.5</v>
      </c>
      <c r="Q350">
        <f t="shared" si="86"/>
        <v>103</v>
      </c>
    </row>
    <row r="351" spans="1:17" x14ac:dyDescent="0.35">
      <c r="A351">
        <v>2025</v>
      </c>
      <c r="B351" s="6">
        <v>166</v>
      </c>
      <c r="C351" s="3">
        <v>40</v>
      </c>
      <c r="D351" s="3">
        <f t="shared" si="79"/>
        <v>20.75</v>
      </c>
      <c r="E351" s="10">
        <f t="shared" si="78"/>
        <v>0.41499999999999998</v>
      </c>
      <c r="F351" s="10">
        <f t="shared" si="77"/>
        <v>0.8</v>
      </c>
      <c r="G351" s="3">
        <f t="shared" si="76"/>
        <v>60.75</v>
      </c>
      <c r="H351" s="3">
        <f t="shared" si="88"/>
        <v>1</v>
      </c>
      <c r="I351" s="3">
        <f t="shared" si="80"/>
        <v>-0.65883403700842447</v>
      </c>
      <c r="J351" s="3">
        <f t="shared" si="81"/>
        <v>1.1433041588683004</v>
      </c>
      <c r="K351" s="3">
        <f t="shared" si="82"/>
        <v>0.99996214884700285</v>
      </c>
      <c r="L351" s="3">
        <f t="shared" si="87"/>
        <v>-3.7851869370116831E-5</v>
      </c>
      <c r="M351" s="9">
        <f t="shared" si="83"/>
        <v>0.65843621399176955</v>
      </c>
      <c r="N351" s="9">
        <f t="shared" si="84"/>
        <v>0.34156378600823045</v>
      </c>
      <c r="P351">
        <f t="shared" si="85"/>
        <v>334.5</v>
      </c>
      <c r="Q351">
        <f t="shared" si="86"/>
        <v>50.5</v>
      </c>
    </row>
    <row r="352" spans="1:17" x14ac:dyDescent="0.35">
      <c r="A352">
        <v>2025</v>
      </c>
      <c r="B352" s="6">
        <v>190</v>
      </c>
      <c r="C352" s="3">
        <v>37</v>
      </c>
      <c r="D352" s="3">
        <f t="shared" si="79"/>
        <v>23.75</v>
      </c>
      <c r="E352" s="10">
        <f t="shared" si="78"/>
        <v>0.47499999999999998</v>
      </c>
      <c r="F352" s="10">
        <f t="shared" si="77"/>
        <v>0.74</v>
      </c>
      <c r="G352" s="3">
        <f t="shared" si="76"/>
        <v>60.75</v>
      </c>
      <c r="H352" s="3">
        <f t="shared" si="88"/>
        <v>1</v>
      </c>
      <c r="I352" s="3">
        <f t="shared" si="80"/>
        <v>0.24021159766729286</v>
      </c>
      <c r="J352" s="3">
        <f t="shared" si="81"/>
        <v>0.75855822585033006</v>
      </c>
      <c r="K352" s="3">
        <f t="shared" si="82"/>
        <v>0.9999714393274296</v>
      </c>
      <c r="L352" s="3">
        <f t="shared" si="87"/>
        <v>-2.8561080434173834E-5</v>
      </c>
      <c r="M352" s="9">
        <f t="shared" si="83"/>
        <v>0.60905349794238683</v>
      </c>
      <c r="N352" s="9">
        <f t="shared" si="84"/>
        <v>0.39094650205761317</v>
      </c>
      <c r="P352">
        <f t="shared" si="85"/>
        <v>145</v>
      </c>
      <c r="Q352">
        <f t="shared" si="86"/>
        <v>128</v>
      </c>
    </row>
    <row r="353" spans="1:17" x14ac:dyDescent="0.35">
      <c r="A353">
        <v>2025</v>
      </c>
      <c r="B353" s="6">
        <v>158</v>
      </c>
      <c r="C353" s="3">
        <v>41</v>
      </c>
      <c r="D353" s="3">
        <f t="shared" si="79"/>
        <v>19.75</v>
      </c>
      <c r="E353" s="10">
        <f t="shared" si="78"/>
        <v>0.39500000000000002</v>
      </c>
      <c r="F353" s="10">
        <f t="shared" si="77"/>
        <v>0.82</v>
      </c>
      <c r="G353" s="3">
        <f t="shared" si="76"/>
        <v>60.75</v>
      </c>
      <c r="H353" s="3">
        <f t="shared" si="88"/>
        <v>1</v>
      </c>
      <c r="I353" s="3">
        <f t="shared" si="80"/>
        <v>-0.95851591523366364</v>
      </c>
      <c r="J353" s="3">
        <f t="shared" si="81"/>
        <v>1.271552803207624</v>
      </c>
      <c r="K353" s="3">
        <f t="shared" si="82"/>
        <v>0.99995842339075414</v>
      </c>
      <c r="L353" s="3">
        <f t="shared" si="87"/>
        <v>-4.1577473577039175E-5</v>
      </c>
      <c r="M353" s="9">
        <f t="shared" si="83"/>
        <v>0.67489711934156382</v>
      </c>
      <c r="N353" s="9">
        <f t="shared" si="84"/>
        <v>0.32510288065843623</v>
      </c>
      <c r="P353">
        <f t="shared" si="85"/>
        <v>380.5</v>
      </c>
      <c r="Q353">
        <f t="shared" si="86"/>
        <v>27</v>
      </c>
    </row>
    <row r="354" spans="1:17" x14ac:dyDescent="0.35">
      <c r="A354">
        <v>2025</v>
      </c>
      <c r="B354" s="6">
        <v>166</v>
      </c>
      <c r="C354" s="3">
        <v>40</v>
      </c>
      <c r="D354" s="3">
        <f t="shared" si="79"/>
        <v>20.75</v>
      </c>
      <c r="E354" s="10">
        <f t="shared" si="78"/>
        <v>0.41499999999999998</v>
      </c>
      <c r="F354" s="10">
        <f t="shared" si="77"/>
        <v>0.8</v>
      </c>
      <c r="G354" s="3">
        <f t="shared" si="76"/>
        <v>60.75</v>
      </c>
      <c r="H354" s="3">
        <f t="shared" si="88"/>
        <v>1</v>
      </c>
      <c r="I354" s="3">
        <f t="shared" si="80"/>
        <v>-0.65883403700842447</v>
      </c>
      <c r="J354" s="3">
        <f t="shared" si="81"/>
        <v>1.1433041588683004</v>
      </c>
      <c r="K354" s="3">
        <f t="shared" si="82"/>
        <v>0.99996214884700285</v>
      </c>
      <c r="L354" s="3">
        <f t="shared" si="87"/>
        <v>-3.7851869370116831E-5</v>
      </c>
      <c r="M354" s="9">
        <f t="shared" si="83"/>
        <v>0.65843621399176955</v>
      </c>
      <c r="N354" s="9">
        <f t="shared" si="84"/>
        <v>0.34156378600823045</v>
      </c>
      <c r="P354">
        <f t="shared" si="85"/>
        <v>334.5</v>
      </c>
      <c r="Q354">
        <f t="shared" si="86"/>
        <v>50.5</v>
      </c>
    </row>
    <row r="355" spans="1:17" x14ac:dyDescent="0.35">
      <c r="A355">
        <v>2025</v>
      </c>
      <c r="B355" s="6">
        <v>172</v>
      </c>
      <c r="C355" s="3">
        <v>39</v>
      </c>
      <c r="D355" s="3">
        <f t="shared" si="79"/>
        <v>21.5</v>
      </c>
      <c r="E355" s="10">
        <f t="shared" si="78"/>
        <v>0.43</v>
      </c>
      <c r="F355" s="10">
        <f t="shared" si="77"/>
        <v>0.78</v>
      </c>
      <c r="G355" s="3">
        <f t="shared" si="76"/>
        <v>60.5</v>
      </c>
      <c r="H355" s="3">
        <f t="shared" si="88"/>
        <v>1</v>
      </c>
      <c r="I355" s="3">
        <f t="shared" si="80"/>
        <v>-0.43407262833949517</v>
      </c>
      <c r="J355" s="3">
        <f t="shared" si="81"/>
        <v>1.015055514528977</v>
      </c>
      <c r="K355" s="3">
        <f t="shared" si="82"/>
        <v>0.99995521085787009</v>
      </c>
      <c r="L355" s="3">
        <f t="shared" si="87"/>
        <v>-4.4790145193485859E-5</v>
      </c>
      <c r="M355" s="9">
        <f t="shared" si="83"/>
        <v>0.64462809917355368</v>
      </c>
      <c r="N355" s="9">
        <f t="shared" si="84"/>
        <v>0.35537190082644626</v>
      </c>
      <c r="P355">
        <f t="shared" si="85"/>
        <v>271</v>
      </c>
      <c r="Q355">
        <f t="shared" si="86"/>
        <v>76.5</v>
      </c>
    </row>
    <row r="356" spans="1:17" x14ac:dyDescent="0.35">
      <c r="A356">
        <v>2025</v>
      </c>
      <c r="B356" s="6">
        <v>162</v>
      </c>
      <c r="C356" s="3">
        <v>40</v>
      </c>
      <c r="D356" s="3">
        <f t="shared" si="79"/>
        <v>20.25</v>
      </c>
      <c r="E356" s="10">
        <f t="shared" si="78"/>
        <v>0.40500000000000003</v>
      </c>
      <c r="F356" s="10">
        <f t="shared" si="77"/>
        <v>0.8</v>
      </c>
      <c r="G356" s="3">
        <f t="shared" si="76"/>
        <v>60.25</v>
      </c>
      <c r="H356" s="3">
        <f t="shared" si="88"/>
        <v>1</v>
      </c>
      <c r="I356" s="3">
        <f t="shared" si="80"/>
        <v>-0.808674976121044</v>
      </c>
      <c r="J356" s="3">
        <f t="shared" si="81"/>
        <v>1.1433041588683004</v>
      </c>
      <c r="K356" s="3">
        <f t="shared" si="82"/>
        <v>0.99993605535006613</v>
      </c>
      <c r="L356" s="3">
        <f t="shared" si="87"/>
        <v>-6.394669448015352E-5</v>
      </c>
      <c r="M356" s="9">
        <f t="shared" si="83"/>
        <v>0.66390041493775931</v>
      </c>
      <c r="N356" s="9">
        <f t="shared" si="84"/>
        <v>0.33609958506224069</v>
      </c>
      <c r="P356">
        <f t="shared" si="85"/>
        <v>364.5</v>
      </c>
      <c r="Q356">
        <f t="shared" si="86"/>
        <v>50.5</v>
      </c>
    </row>
    <row r="357" spans="1:17" x14ac:dyDescent="0.35">
      <c r="A357">
        <v>2025</v>
      </c>
      <c r="B357" s="6">
        <v>178</v>
      </c>
      <c r="C357" s="3">
        <v>38</v>
      </c>
      <c r="D357" s="3">
        <f t="shared" si="79"/>
        <v>22.25</v>
      </c>
      <c r="E357" s="10">
        <f t="shared" si="78"/>
        <v>0.44500000000000001</v>
      </c>
      <c r="F357" s="10">
        <f t="shared" si="77"/>
        <v>0.76</v>
      </c>
      <c r="G357" s="3">
        <f t="shared" si="76"/>
        <v>60.25</v>
      </c>
      <c r="H357" s="3">
        <f t="shared" si="88"/>
        <v>1</v>
      </c>
      <c r="I357" s="3">
        <f t="shared" si="80"/>
        <v>-0.20931121967056582</v>
      </c>
      <c r="J357" s="3">
        <f t="shared" si="81"/>
        <v>0.88680687018965354</v>
      </c>
      <c r="K357" s="3">
        <f t="shared" si="82"/>
        <v>0.99994700122604818</v>
      </c>
      <c r="L357" s="3">
        <f t="shared" si="87"/>
        <v>-5.3000178436462242E-5</v>
      </c>
      <c r="M357" s="9">
        <f t="shared" si="83"/>
        <v>0.63070539419087135</v>
      </c>
      <c r="N357" s="9">
        <f t="shared" si="84"/>
        <v>0.36929460580912865</v>
      </c>
      <c r="P357">
        <f t="shared" si="85"/>
        <v>230.5</v>
      </c>
      <c r="Q357">
        <f t="shared" si="86"/>
        <v>103</v>
      </c>
    </row>
    <row r="358" spans="1:17" x14ac:dyDescent="0.35">
      <c r="A358">
        <v>2025</v>
      </c>
      <c r="B358" s="6">
        <v>161</v>
      </c>
      <c r="C358" s="3">
        <v>40</v>
      </c>
      <c r="D358" s="3">
        <f t="shared" si="79"/>
        <v>20.125</v>
      </c>
      <c r="E358" s="10">
        <f t="shared" si="78"/>
        <v>0.40250000000000002</v>
      </c>
      <c r="F358" s="10">
        <f t="shared" si="77"/>
        <v>0.8</v>
      </c>
      <c r="G358" s="3">
        <f t="shared" si="76"/>
        <v>60.125</v>
      </c>
      <c r="H358" s="3">
        <f t="shared" si="88"/>
        <v>1</v>
      </c>
      <c r="I358" s="3">
        <f t="shared" si="80"/>
        <v>-0.84613521089919896</v>
      </c>
      <c r="J358" s="3">
        <f t="shared" si="81"/>
        <v>1.1433041588683004</v>
      </c>
      <c r="K358" s="3">
        <f t="shared" si="82"/>
        <v>0.99992709884105402</v>
      </c>
      <c r="L358" s="3">
        <f t="shared" si="87"/>
        <v>-7.290381636462281E-5</v>
      </c>
      <c r="M358" s="9">
        <f t="shared" si="83"/>
        <v>0.66528066528066532</v>
      </c>
      <c r="N358" s="9">
        <f t="shared" si="84"/>
        <v>0.33471933471933474</v>
      </c>
      <c r="P358">
        <f t="shared" si="85"/>
        <v>370</v>
      </c>
      <c r="Q358">
        <f t="shared" si="86"/>
        <v>50.5</v>
      </c>
    </row>
    <row r="359" spans="1:17" x14ac:dyDescent="0.35">
      <c r="A359">
        <v>2025</v>
      </c>
      <c r="B359" s="6">
        <v>225</v>
      </c>
      <c r="C359" s="3">
        <v>31</v>
      </c>
      <c r="D359" s="3">
        <f t="shared" si="79"/>
        <v>28.125</v>
      </c>
      <c r="E359" s="10">
        <f t="shared" si="78"/>
        <v>0.5625</v>
      </c>
      <c r="F359" s="10">
        <f t="shared" si="77"/>
        <v>0.62</v>
      </c>
      <c r="G359" s="3">
        <f t="shared" ref="G359:G422" si="89">SUM(D359 + C359)</f>
        <v>59.125</v>
      </c>
      <c r="H359" s="3">
        <f t="shared" si="88"/>
        <v>1</v>
      </c>
      <c r="I359" s="3">
        <f t="shared" si="80"/>
        <v>1.5513198149027139</v>
      </c>
      <c r="J359" s="3">
        <f t="shared" si="81"/>
        <v>-1.0933640185610671E-2</v>
      </c>
      <c r="K359" s="3">
        <f t="shared" si="82"/>
        <v>0.99991061678163029</v>
      </c>
      <c r="L359" s="3">
        <f t="shared" si="87"/>
        <v>-8.9387213287626889E-5</v>
      </c>
      <c r="M359" s="9">
        <f t="shared" si="83"/>
        <v>0.52431289640591972</v>
      </c>
      <c r="N359" s="9">
        <f t="shared" si="84"/>
        <v>0.47568710359408034</v>
      </c>
      <c r="P359">
        <f t="shared" si="85"/>
        <v>32</v>
      </c>
      <c r="Q359">
        <f t="shared" si="86"/>
        <v>239.5</v>
      </c>
    </row>
    <row r="360" spans="1:17" x14ac:dyDescent="0.35">
      <c r="A360">
        <v>2025</v>
      </c>
      <c r="B360" s="6">
        <v>169</v>
      </c>
      <c r="C360" s="3">
        <v>38</v>
      </c>
      <c r="D360" s="3">
        <f t="shared" si="79"/>
        <v>21.125</v>
      </c>
      <c r="E360" s="10">
        <f t="shared" si="78"/>
        <v>0.42249999999999999</v>
      </c>
      <c r="F360" s="10">
        <f t="shared" si="77"/>
        <v>0.76</v>
      </c>
      <c r="G360" s="3">
        <f t="shared" si="89"/>
        <v>59.125</v>
      </c>
      <c r="H360" s="3">
        <f t="shared" si="88"/>
        <v>1</v>
      </c>
      <c r="I360" s="3">
        <f t="shared" si="80"/>
        <v>-0.54645333267395979</v>
      </c>
      <c r="J360" s="3">
        <f t="shared" si="81"/>
        <v>0.88680687018965354</v>
      </c>
      <c r="K360" s="3">
        <f t="shared" si="82"/>
        <v>0.99982756678591078</v>
      </c>
      <c r="L360" s="3">
        <f t="shared" si="87"/>
        <v>-1.7244808240509765E-4</v>
      </c>
      <c r="M360" s="9">
        <f t="shared" si="83"/>
        <v>0.64270613107822405</v>
      </c>
      <c r="N360" s="9">
        <f t="shared" si="84"/>
        <v>0.35729386892177589</v>
      </c>
      <c r="P360">
        <f t="shared" si="85"/>
        <v>299</v>
      </c>
      <c r="Q360">
        <f t="shared" si="86"/>
        <v>103</v>
      </c>
    </row>
    <row r="361" spans="1:17" x14ac:dyDescent="0.35">
      <c r="A361">
        <v>2025</v>
      </c>
      <c r="B361" s="6">
        <v>168</v>
      </c>
      <c r="C361" s="3">
        <v>38</v>
      </c>
      <c r="D361" s="3">
        <f t="shared" si="79"/>
        <v>21</v>
      </c>
      <c r="E361" s="10">
        <f t="shared" si="78"/>
        <v>0.42</v>
      </c>
      <c r="F361" s="10">
        <f t="shared" ref="F361:F424" si="90">C361 / 50</f>
        <v>0.76</v>
      </c>
      <c r="G361" s="3">
        <f t="shared" si="89"/>
        <v>59</v>
      </c>
      <c r="H361" s="3">
        <f t="shared" si="88"/>
        <v>1</v>
      </c>
      <c r="I361" s="3">
        <f t="shared" si="80"/>
        <v>-0.58391356745211476</v>
      </c>
      <c r="J361" s="3">
        <f t="shared" si="81"/>
        <v>0.88680687018965354</v>
      </c>
      <c r="K361" s="3">
        <f t="shared" si="82"/>
        <v>0.99980341764113534</v>
      </c>
      <c r="L361" s="3">
        <f t="shared" si="87"/>
        <v>-1.9660168370922649E-4</v>
      </c>
      <c r="M361" s="9">
        <f t="shared" si="83"/>
        <v>0.64406779661016944</v>
      </c>
      <c r="N361" s="9">
        <f t="shared" si="84"/>
        <v>0.3559322033898305</v>
      </c>
      <c r="P361">
        <f t="shared" si="85"/>
        <v>311.5</v>
      </c>
      <c r="Q361">
        <f t="shared" si="86"/>
        <v>103</v>
      </c>
    </row>
    <row r="362" spans="1:17" x14ac:dyDescent="0.35">
      <c r="A362">
        <v>2025</v>
      </c>
      <c r="B362" s="6">
        <v>232</v>
      </c>
      <c r="C362" s="3">
        <v>30</v>
      </c>
      <c r="D362" s="3">
        <f t="shared" si="79"/>
        <v>29</v>
      </c>
      <c r="E362" s="10">
        <f t="shared" si="78"/>
        <v>0.57999999999999996</v>
      </c>
      <c r="F362" s="10">
        <f t="shared" si="90"/>
        <v>0.6</v>
      </c>
      <c r="G362" s="3">
        <f t="shared" si="89"/>
        <v>59</v>
      </c>
      <c r="H362" s="3">
        <f t="shared" si="88"/>
        <v>1</v>
      </c>
      <c r="I362" s="3">
        <f t="shared" si="80"/>
        <v>1.8135414583497982</v>
      </c>
      <c r="J362" s="3">
        <f t="shared" si="81"/>
        <v>-0.13918228452493411</v>
      </c>
      <c r="K362" s="3">
        <f t="shared" si="82"/>
        <v>0.99990722797166665</v>
      </c>
      <c r="L362" s="3">
        <f t="shared" si="87"/>
        <v>-9.2776331924145566E-5</v>
      </c>
      <c r="M362" s="9">
        <f t="shared" si="83"/>
        <v>0.50847457627118642</v>
      </c>
      <c r="N362" s="9">
        <f t="shared" si="84"/>
        <v>0.49152542372881358</v>
      </c>
      <c r="P362">
        <f t="shared" si="85"/>
        <v>23</v>
      </c>
      <c r="Q362">
        <f t="shared" si="86"/>
        <v>259</v>
      </c>
    </row>
    <row r="363" spans="1:17" x14ac:dyDescent="0.35">
      <c r="A363">
        <v>2025</v>
      </c>
      <c r="B363" s="6">
        <v>166</v>
      </c>
      <c r="C363" s="3">
        <v>38</v>
      </c>
      <c r="D363" s="3">
        <f t="shared" si="79"/>
        <v>20.75</v>
      </c>
      <c r="E363" s="10">
        <f t="shared" si="78"/>
        <v>0.41499999999999998</v>
      </c>
      <c r="F363" s="10">
        <f t="shared" si="90"/>
        <v>0.76</v>
      </c>
      <c r="G363" s="3">
        <f t="shared" si="89"/>
        <v>58.75</v>
      </c>
      <c r="H363" s="3">
        <f t="shared" si="88"/>
        <v>1</v>
      </c>
      <c r="I363" s="3">
        <f t="shared" si="80"/>
        <v>-0.65883403700842447</v>
      </c>
      <c r="J363" s="3">
        <f t="shared" si="81"/>
        <v>0.88680687018965354</v>
      </c>
      <c r="K363" s="3">
        <f t="shared" si="82"/>
        <v>0.99974450219909605</v>
      </c>
      <c r="L363" s="3">
        <f t="shared" si="87"/>
        <v>-2.5553044602770437E-4</v>
      </c>
      <c r="M363" s="9">
        <f t="shared" si="83"/>
        <v>0.64680851063829792</v>
      </c>
      <c r="N363" s="9">
        <f t="shared" si="84"/>
        <v>0.35319148936170214</v>
      </c>
      <c r="P363">
        <f t="shared" si="85"/>
        <v>334.5</v>
      </c>
      <c r="Q363">
        <f t="shared" si="86"/>
        <v>103</v>
      </c>
    </row>
    <row r="364" spans="1:17" x14ac:dyDescent="0.35">
      <c r="A364">
        <v>2025</v>
      </c>
      <c r="B364" s="6">
        <v>166</v>
      </c>
      <c r="C364" s="3">
        <v>38</v>
      </c>
      <c r="D364" s="3">
        <f t="shared" si="79"/>
        <v>20.75</v>
      </c>
      <c r="E364" s="10">
        <f t="shared" si="78"/>
        <v>0.41499999999999998</v>
      </c>
      <c r="F364" s="10">
        <f t="shared" si="90"/>
        <v>0.76</v>
      </c>
      <c r="G364" s="3">
        <f t="shared" si="89"/>
        <v>58.75</v>
      </c>
      <c r="H364" s="3">
        <f t="shared" si="88"/>
        <v>1</v>
      </c>
      <c r="I364" s="3">
        <f t="shared" si="80"/>
        <v>-0.65883403700842447</v>
      </c>
      <c r="J364" s="3">
        <f t="shared" si="81"/>
        <v>0.88680687018965354</v>
      </c>
      <c r="K364" s="3">
        <f t="shared" si="82"/>
        <v>0.99974450219909605</v>
      </c>
      <c r="L364" s="3">
        <f t="shared" si="87"/>
        <v>-2.5553044602770437E-4</v>
      </c>
      <c r="M364" s="9">
        <f t="shared" si="83"/>
        <v>0.64680851063829792</v>
      </c>
      <c r="N364" s="9">
        <f t="shared" si="84"/>
        <v>0.35319148936170214</v>
      </c>
      <c r="P364">
        <f t="shared" si="85"/>
        <v>334.5</v>
      </c>
      <c r="Q364">
        <f t="shared" si="86"/>
        <v>103</v>
      </c>
    </row>
    <row r="365" spans="1:17" x14ac:dyDescent="0.35">
      <c r="A365">
        <v>2025</v>
      </c>
      <c r="B365" s="6">
        <v>158</v>
      </c>
      <c r="C365" s="3">
        <v>39</v>
      </c>
      <c r="D365" s="3">
        <f t="shared" si="79"/>
        <v>19.75</v>
      </c>
      <c r="E365" s="10">
        <f t="shared" ref="E365:E428" si="91">B365 / 400</f>
        <v>0.39500000000000002</v>
      </c>
      <c r="F365" s="10">
        <f t="shared" si="90"/>
        <v>0.78</v>
      </c>
      <c r="G365" s="3">
        <f t="shared" si="89"/>
        <v>58.75</v>
      </c>
      <c r="H365" s="3">
        <f t="shared" si="88"/>
        <v>1</v>
      </c>
      <c r="I365" s="3">
        <f t="shared" si="80"/>
        <v>-0.95851591523366364</v>
      </c>
      <c r="J365" s="3">
        <f t="shared" si="81"/>
        <v>1.015055514528977</v>
      </c>
      <c r="K365" s="3">
        <f t="shared" si="82"/>
        <v>0.99971936113353455</v>
      </c>
      <c r="L365" s="3">
        <f t="shared" si="87"/>
        <v>-2.8067825292122609E-4</v>
      </c>
      <c r="M365" s="9">
        <f t="shared" si="83"/>
        <v>0.66382978723404251</v>
      </c>
      <c r="N365" s="9">
        <f t="shared" si="84"/>
        <v>0.33617021276595743</v>
      </c>
      <c r="P365">
        <f t="shared" si="85"/>
        <v>380.5</v>
      </c>
      <c r="Q365">
        <f t="shared" si="86"/>
        <v>76.5</v>
      </c>
    </row>
    <row r="366" spans="1:17" x14ac:dyDescent="0.35">
      <c r="A366">
        <v>2025</v>
      </c>
      <c r="B366" s="6">
        <v>206</v>
      </c>
      <c r="C366" s="3">
        <v>33</v>
      </c>
      <c r="D366" s="3">
        <f t="shared" si="79"/>
        <v>25.75</v>
      </c>
      <c r="E366" s="10">
        <f t="shared" si="91"/>
        <v>0.51500000000000001</v>
      </c>
      <c r="F366" s="10">
        <f t="shared" si="90"/>
        <v>0.66</v>
      </c>
      <c r="G366" s="3">
        <f t="shared" si="89"/>
        <v>58.75</v>
      </c>
      <c r="H366" s="3">
        <f t="shared" si="88"/>
        <v>1</v>
      </c>
      <c r="I366" s="3">
        <f t="shared" si="80"/>
        <v>0.83957535411777107</v>
      </c>
      <c r="J366" s="3">
        <f t="shared" si="81"/>
        <v>0.24556364849303625</v>
      </c>
      <c r="K366" s="3">
        <f t="shared" si="82"/>
        <v>0.99984020217125269</v>
      </c>
      <c r="L366" s="3">
        <f t="shared" si="87"/>
        <v>-1.5981059778067357E-4</v>
      </c>
      <c r="M366" s="9">
        <f t="shared" si="83"/>
        <v>0.5617021276595745</v>
      </c>
      <c r="N366" s="9">
        <f t="shared" si="84"/>
        <v>0.43829787234042555</v>
      </c>
      <c r="P366">
        <f t="shared" si="85"/>
        <v>61.5</v>
      </c>
      <c r="Q366">
        <f t="shared" si="86"/>
        <v>208.5</v>
      </c>
    </row>
    <row r="367" spans="1:17" x14ac:dyDescent="0.35">
      <c r="A367">
        <v>2025</v>
      </c>
      <c r="B367" s="6">
        <v>161</v>
      </c>
      <c r="C367" s="3">
        <v>38</v>
      </c>
      <c r="D367" s="3">
        <f t="shared" si="79"/>
        <v>20.125</v>
      </c>
      <c r="E367" s="10">
        <f t="shared" si="91"/>
        <v>0.40250000000000002</v>
      </c>
      <c r="F367" s="10">
        <f t="shared" si="90"/>
        <v>0.76</v>
      </c>
      <c r="G367" s="3">
        <f t="shared" si="89"/>
        <v>58.125</v>
      </c>
      <c r="H367" s="3">
        <f t="shared" si="88"/>
        <v>1</v>
      </c>
      <c r="I367" s="3">
        <f t="shared" si="80"/>
        <v>-0.84613521089919896</v>
      </c>
      <c r="J367" s="3">
        <f t="shared" si="81"/>
        <v>0.88680687018965354</v>
      </c>
      <c r="K367" s="3">
        <f t="shared" si="82"/>
        <v>0.9995080114861743</v>
      </c>
      <c r="L367" s="3">
        <f t="shared" si="87"/>
        <v>-4.9210957988493999E-4</v>
      </c>
      <c r="M367" s="9">
        <f t="shared" si="83"/>
        <v>0.65376344086021509</v>
      </c>
      <c r="N367" s="9">
        <f t="shared" si="84"/>
        <v>0.34623655913978496</v>
      </c>
      <c r="P367">
        <f t="shared" si="85"/>
        <v>370</v>
      </c>
      <c r="Q367">
        <f t="shared" si="86"/>
        <v>103</v>
      </c>
    </row>
    <row r="368" spans="1:17" x14ac:dyDescent="0.35">
      <c r="A368">
        <v>2025</v>
      </c>
      <c r="B368" s="6">
        <v>160</v>
      </c>
      <c r="C368" s="3">
        <v>38</v>
      </c>
      <c r="D368" s="3">
        <f t="shared" ref="D368:D431" si="92">B368 / 8</f>
        <v>20</v>
      </c>
      <c r="E368" s="10">
        <f t="shared" si="91"/>
        <v>0.4</v>
      </c>
      <c r="F368" s="10">
        <f t="shared" si="90"/>
        <v>0.76</v>
      </c>
      <c r="G368" s="3">
        <f t="shared" si="89"/>
        <v>58</v>
      </c>
      <c r="H368" s="3">
        <f t="shared" si="88"/>
        <v>1</v>
      </c>
      <c r="I368" s="3">
        <f t="shared" si="80"/>
        <v>-0.88359544567735382</v>
      </c>
      <c r="J368" s="3">
        <f t="shared" si="81"/>
        <v>0.88680687018965354</v>
      </c>
      <c r="K368" s="3">
        <f t="shared" si="82"/>
        <v>0.99943913396180384</v>
      </c>
      <c r="L368" s="3">
        <f t="shared" si="87"/>
        <v>-5.610233823879888E-4</v>
      </c>
      <c r="M368" s="9">
        <f t="shared" si="83"/>
        <v>0.65517241379310343</v>
      </c>
      <c r="N368" s="9">
        <f t="shared" si="84"/>
        <v>0.34482758620689657</v>
      </c>
      <c r="P368">
        <f t="shared" si="85"/>
        <v>374.5</v>
      </c>
      <c r="Q368">
        <f t="shared" si="86"/>
        <v>103</v>
      </c>
    </row>
    <row r="369" spans="1:17" x14ac:dyDescent="0.35">
      <c r="A369">
        <v>2025</v>
      </c>
      <c r="B369" s="6">
        <v>164</v>
      </c>
      <c r="C369" s="3">
        <v>37</v>
      </c>
      <c r="D369" s="3">
        <f t="shared" si="92"/>
        <v>20.5</v>
      </c>
      <c r="E369" s="10">
        <f t="shared" si="91"/>
        <v>0.41</v>
      </c>
      <c r="F369" s="10">
        <f t="shared" si="90"/>
        <v>0.74</v>
      </c>
      <c r="G369" s="3">
        <f t="shared" si="89"/>
        <v>57.5</v>
      </c>
      <c r="H369" s="3">
        <f t="shared" si="88"/>
        <v>1</v>
      </c>
      <c r="I369" s="3">
        <f t="shared" si="80"/>
        <v>-0.73375450656473429</v>
      </c>
      <c r="J369" s="3">
        <f t="shared" si="81"/>
        <v>0.75855822585033006</v>
      </c>
      <c r="K369" s="3">
        <f t="shared" si="82"/>
        <v>0.99913763132987765</v>
      </c>
      <c r="L369" s="3">
        <f t="shared" si="87"/>
        <v>-8.6274072389767799E-4</v>
      </c>
      <c r="M369" s="9">
        <f t="shared" si="83"/>
        <v>0.64347826086956517</v>
      </c>
      <c r="N369" s="9">
        <f t="shared" si="84"/>
        <v>0.35652173913043478</v>
      </c>
      <c r="P369">
        <f t="shared" si="85"/>
        <v>348.5</v>
      </c>
      <c r="Q369">
        <f t="shared" si="86"/>
        <v>128</v>
      </c>
    </row>
    <row r="370" spans="1:17" x14ac:dyDescent="0.35">
      <c r="A370">
        <v>2025</v>
      </c>
      <c r="B370" s="6">
        <v>171</v>
      </c>
      <c r="C370" s="3">
        <v>36</v>
      </c>
      <c r="D370" s="3">
        <f t="shared" si="92"/>
        <v>21.375</v>
      </c>
      <c r="E370" s="10">
        <f t="shared" si="91"/>
        <v>0.42749999999999999</v>
      </c>
      <c r="F370" s="10">
        <f t="shared" si="90"/>
        <v>0.72</v>
      </c>
      <c r="G370" s="3">
        <f t="shared" si="89"/>
        <v>57.375</v>
      </c>
      <c r="H370" s="3">
        <f t="shared" si="88"/>
        <v>1</v>
      </c>
      <c r="I370" s="3">
        <f t="shared" si="80"/>
        <v>-0.47153286311765003</v>
      </c>
      <c r="J370" s="3">
        <f t="shared" si="81"/>
        <v>0.63030958151100658</v>
      </c>
      <c r="K370" s="3">
        <f t="shared" si="82"/>
        <v>0.99910496234756296</v>
      </c>
      <c r="L370" s="3">
        <f t="shared" si="87"/>
        <v>-8.9543843779984859E-4</v>
      </c>
      <c r="M370" s="9">
        <f t="shared" si="83"/>
        <v>0.62745098039215685</v>
      </c>
      <c r="N370" s="9">
        <f t="shared" si="84"/>
        <v>0.37254901960784315</v>
      </c>
      <c r="P370">
        <f t="shared" si="85"/>
        <v>278</v>
      </c>
      <c r="Q370">
        <f t="shared" si="86"/>
        <v>152</v>
      </c>
    </row>
    <row r="371" spans="1:17" x14ac:dyDescent="0.35">
      <c r="A371">
        <v>2025</v>
      </c>
      <c r="B371" s="6">
        <v>185</v>
      </c>
      <c r="C371" s="3">
        <v>34</v>
      </c>
      <c r="D371" s="3">
        <f t="shared" si="92"/>
        <v>23.125</v>
      </c>
      <c r="E371" s="10">
        <f t="shared" si="91"/>
        <v>0.46250000000000002</v>
      </c>
      <c r="F371" s="10">
        <f t="shared" si="90"/>
        <v>0.68</v>
      </c>
      <c r="G371" s="3">
        <f t="shared" si="89"/>
        <v>57.125</v>
      </c>
      <c r="H371" s="3">
        <f t="shared" si="88"/>
        <v>1</v>
      </c>
      <c r="I371" s="3">
        <f t="shared" si="80"/>
        <v>5.2910423776518403E-2</v>
      </c>
      <c r="J371" s="3">
        <f t="shared" si="81"/>
        <v>0.37381229283235973</v>
      </c>
      <c r="K371" s="3">
        <f t="shared" si="82"/>
        <v>0.99903586834484914</v>
      </c>
      <c r="L371" s="3">
        <f t="shared" si="87"/>
        <v>-9.6459672902741631E-4</v>
      </c>
      <c r="M371" s="9">
        <f t="shared" si="83"/>
        <v>0.59518599562363239</v>
      </c>
      <c r="N371" s="9">
        <f t="shared" si="84"/>
        <v>0.40481400437636761</v>
      </c>
      <c r="P371">
        <f t="shared" si="85"/>
        <v>179.5</v>
      </c>
      <c r="Q371">
        <f t="shared" si="86"/>
        <v>189.5</v>
      </c>
    </row>
    <row r="372" spans="1:17" x14ac:dyDescent="0.35">
      <c r="A372">
        <v>2025</v>
      </c>
      <c r="B372" s="6">
        <v>151</v>
      </c>
      <c r="C372" s="3">
        <v>38</v>
      </c>
      <c r="D372" s="3">
        <f t="shared" si="92"/>
        <v>18.875</v>
      </c>
      <c r="E372" s="10">
        <f t="shared" si="91"/>
        <v>0.3775</v>
      </c>
      <c r="F372" s="10">
        <f t="shared" si="90"/>
        <v>0.76</v>
      </c>
      <c r="G372" s="3">
        <f t="shared" si="89"/>
        <v>56.875</v>
      </c>
      <c r="H372" s="3">
        <f t="shared" si="88"/>
        <v>1</v>
      </c>
      <c r="I372" s="3">
        <f t="shared" si="80"/>
        <v>-1.2207375586807478</v>
      </c>
      <c r="J372" s="3">
        <f t="shared" si="81"/>
        <v>0.88680687018965354</v>
      </c>
      <c r="K372" s="3">
        <f t="shared" si="82"/>
        <v>0.99817729051495019</v>
      </c>
      <c r="L372" s="3">
        <f t="shared" si="87"/>
        <v>-1.8243726412575886E-3</v>
      </c>
      <c r="M372" s="9">
        <f t="shared" si="83"/>
        <v>0.66813186813186809</v>
      </c>
      <c r="N372" s="9">
        <f t="shared" si="84"/>
        <v>0.33186813186813185</v>
      </c>
      <c r="P372">
        <f t="shared" si="85"/>
        <v>402.5</v>
      </c>
      <c r="Q372">
        <f t="shared" si="86"/>
        <v>103</v>
      </c>
    </row>
    <row r="373" spans="1:17" x14ac:dyDescent="0.35">
      <c r="A373">
        <v>2025</v>
      </c>
      <c r="B373" s="6">
        <v>175</v>
      </c>
      <c r="C373" s="3">
        <v>35</v>
      </c>
      <c r="D373" s="3">
        <f t="shared" si="92"/>
        <v>21.875</v>
      </c>
      <c r="E373" s="10">
        <f t="shared" si="91"/>
        <v>0.4375</v>
      </c>
      <c r="F373" s="10">
        <f t="shared" si="90"/>
        <v>0.7</v>
      </c>
      <c r="G373" s="3">
        <f t="shared" si="89"/>
        <v>56.875</v>
      </c>
      <c r="H373" s="3">
        <f t="shared" si="88"/>
        <v>1</v>
      </c>
      <c r="I373" s="3">
        <f t="shared" si="80"/>
        <v>-0.32169192400503049</v>
      </c>
      <c r="J373" s="3">
        <f t="shared" si="81"/>
        <v>0.50206093717168321</v>
      </c>
      <c r="K373" s="3">
        <f t="shared" si="82"/>
        <v>0.99862406765693834</v>
      </c>
      <c r="L373" s="3">
        <f t="shared" si="87"/>
        <v>-1.3768798071653948E-3</v>
      </c>
      <c r="M373" s="9">
        <f t="shared" si="83"/>
        <v>0.61538461538461542</v>
      </c>
      <c r="N373" s="9">
        <f t="shared" si="84"/>
        <v>0.38461538461538464</v>
      </c>
      <c r="P373">
        <f t="shared" si="85"/>
        <v>254</v>
      </c>
      <c r="Q373">
        <f t="shared" si="86"/>
        <v>171.5</v>
      </c>
    </row>
    <row r="374" spans="1:17" x14ac:dyDescent="0.35">
      <c r="A374">
        <v>2025</v>
      </c>
      <c r="B374" s="6">
        <v>163</v>
      </c>
      <c r="C374" s="3">
        <v>36</v>
      </c>
      <c r="D374" s="3">
        <f t="shared" si="92"/>
        <v>20.375</v>
      </c>
      <c r="E374" s="10">
        <f t="shared" si="91"/>
        <v>0.40749999999999997</v>
      </c>
      <c r="F374" s="10">
        <f t="shared" si="90"/>
        <v>0.72</v>
      </c>
      <c r="G374" s="3">
        <f t="shared" si="89"/>
        <v>56.375</v>
      </c>
      <c r="H374" s="3">
        <f t="shared" si="88"/>
        <v>1</v>
      </c>
      <c r="I374" s="3">
        <f t="shared" si="80"/>
        <v>-0.77121474134288914</v>
      </c>
      <c r="J374" s="3">
        <f t="shared" si="81"/>
        <v>0.63030958151100658</v>
      </c>
      <c r="K374" s="3">
        <f t="shared" si="82"/>
        <v>0.99744968365663422</v>
      </c>
      <c r="L374" s="3">
        <f t="shared" si="87"/>
        <v>-2.5535739398711709E-3</v>
      </c>
      <c r="M374" s="9">
        <f t="shared" si="83"/>
        <v>0.63858093126385806</v>
      </c>
      <c r="N374" s="9">
        <f t="shared" si="84"/>
        <v>0.36141906873614188</v>
      </c>
      <c r="P374">
        <f t="shared" si="85"/>
        <v>356.5</v>
      </c>
      <c r="Q374">
        <f t="shared" si="86"/>
        <v>152</v>
      </c>
    </row>
    <row r="375" spans="1:17" x14ac:dyDescent="0.35">
      <c r="A375">
        <v>2025</v>
      </c>
      <c r="B375" s="6">
        <v>148</v>
      </c>
      <c r="C375" s="3">
        <v>37</v>
      </c>
      <c r="D375" s="3">
        <f t="shared" si="92"/>
        <v>18.5</v>
      </c>
      <c r="E375" s="10">
        <f t="shared" si="91"/>
        <v>0.37</v>
      </c>
      <c r="F375" s="10">
        <f t="shared" si="90"/>
        <v>0.74</v>
      </c>
      <c r="G375" s="3">
        <f t="shared" si="89"/>
        <v>55.5</v>
      </c>
      <c r="H375" s="3">
        <f t="shared" si="88"/>
        <v>1</v>
      </c>
      <c r="I375" s="3">
        <f t="shared" si="80"/>
        <v>-1.3331182630152125</v>
      </c>
      <c r="J375" s="3">
        <f t="shared" si="81"/>
        <v>0.75855822585033006</v>
      </c>
      <c r="K375" s="3">
        <f t="shared" si="82"/>
        <v>0.99301814902386087</v>
      </c>
      <c r="L375" s="3">
        <f t="shared" si="87"/>
        <v>-7.0063381413870375E-3</v>
      </c>
      <c r="M375" s="9">
        <f t="shared" si="83"/>
        <v>0.66666666666666663</v>
      </c>
      <c r="N375" s="9">
        <f t="shared" si="84"/>
        <v>0.33333333333333331</v>
      </c>
      <c r="P375">
        <f t="shared" si="85"/>
        <v>412</v>
      </c>
      <c r="Q375">
        <f t="shared" si="86"/>
        <v>128</v>
      </c>
    </row>
    <row r="376" spans="1:17" x14ac:dyDescent="0.35">
      <c r="A376">
        <v>2025</v>
      </c>
      <c r="B376" s="6">
        <v>164</v>
      </c>
      <c r="C376" s="3">
        <v>35</v>
      </c>
      <c r="D376" s="3">
        <f t="shared" si="92"/>
        <v>20.5</v>
      </c>
      <c r="E376" s="10">
        <f t="shared" si="91"/>
        <v>0.41</v>
      </c>
      <c r="F376" s="10">
        <f t="shared" si="90"/>
        <v>0.7</v>
      </c>
      <c r="G376" s="3">
        <f t="shared" si="89"/>
        <v>55.5</v>
      </c>
      <c r="H376" s="3">
        <f t="shared" si="88"/>
        <v>1</v>
      </c>
      <c r="I376" s="3">
        <f t="shared" si="80"/>
        <v>-0.73375450656473429</v>
      </c>
      <c r="J376" s="3">
        <f t="shared" si="81"/>
        <v>0.50206093717168321</v>
      </c>
      <c r="K376" s="3">
        <f t="shared" si="82"/>
        <v>0.99420642267171377</v>
      </c>
      <c r="L376" s="3">
        <f t="shared" si="87"/>
        <v>-5.8104252019025998E-3</v>
      </c>
      <c r="M376" s="9">
        <f t="shared" si="83"/>
        <v>0.63063063063063063</v>
      </c>
      <c r="N376" s="9">
        <f t="shared" si="84"/>
        <v>0.36936936936936937</v>
      </c>
      <c r="P376">
        <f t="shared" si="85"/>
        <v>348.5</v>
      </c>
      <c r="Q376">
        <f t="shared" si="86"/>
        <v>171.5</v>
      </c>
    </row>
    <row r="377" spans="1:17" x14ac:dyDescent="0.35">
      <c r="A377">
        <v>2025</v>
      </c>
      <c r="B377" s="6">
        <v>156</v>
      </c>
      <c r="C377" s="3">
        <v>36</v>
      </c>
      <c r="D377" s="3">
        <f t="shared" si="92"/>
        <v>19.5</v>
      </c>
      <c r="E377" s="10">
        <f t="shared" si="91"/>
        <v>0.39</v>
      </c>
      <c r="F377" s="10">
        <f t="shared" si="90"/>
        <v>0.72</v>
      </c>
      <c r="G377" s="3">
        <f t="shared" si="89"/>
        <v>55.5</v>
      </c>
      <c r="H377" s="3">
        <f t="shared" si="88"/>
        <v>1</v>
      </c>
      <c r="I377" s="3">
        <f t="shared" si="80"/>
        <v>-1.0334363847899735</v>
      </c>
      <c r="J377" s="3">
        <f t="shared" si="81"/>
        <v>0.63030958151100658</v>
      </c>
      <c r="K377" s="3">
        <f t="shared" si="82"/>
        <v>0.99363979967360927</v>
      </c>
      <c r="L377" s="3">
        <f t="shared" si="87"/>
        <v>-6.3805125729287206E-3</v>
      </c>
      <c r="M377" s="9">
        <f t="shared" si="83"/>
        <v>0.64864864864864868</v>
      </c>
      <c r="N377" s="9">
        <f t="shared" si="84"/>
        <v>0.35135135135135137</v>
      </c>
      <c r="P377">
        <f t="shared" si="85"/>
        <v>390</v>
      </c>
      <c r="Q377">
        <f t="shared" si="86"/>
        <v>152</v>
      </c>
    </row>
    <row r="378" spans="1:17" x14ac:dyDescent="0.35">
      <c r="A378">
        <v>2025</v>
      </c>
      <c r="B378" s="6">
        <v>171</v>
      </c>
      <c r="C378" s="3">
        <v>34</v>
      </c>
      <c r="D378" s="3">
        <f t="shared" si="92"/>
        <v>21.375</v>
      </c>
      <c r="E378" s="10">
        <f t="shared" si="91"/>
        <v>0.42749999999999999</v>
      </c>
      <c r="F378" s="10">
        <f t="shared" si="90"/>
        <v>0.68</v>
      </c>
      <c r="G378" s="3">
        <f t="shared" si="89"/>
        <v>55.375</v>
      </c>
      <c r="H378" s="3">
        <f t="shared" si="88"/>
        <v>1</v>
      </c>
      <c r="I378" s="3">
        <f t="shared" si="80"/>
        <v>-0.47153286311765003</v>
      </c>
      <c r="J378" s="3">
        <f t="shared" si="81"/>
        <v>0.37381229283235973</v>
      </c>
      <c r="K378" s="3">
        <f t="shared" si="82"/>
        <v>0.99398806950272167</v>
      </c>
      <c r="L378" s="3">
        <f t="shared" si="87"/>
        <v>-6.0300749099461868E-3</v>
      </c>
      <c r="M378" s="9">
        <f t="shared" si="83"/>
        <v>0.61399548532731374</v>
      </c>
      <c r="N378" s="9">
        <f t="shared" si="84"/>
        <v>0.38600451467268621</v>
      </c>
      <c r="P378">
        <f t="shared" si="85"/>
        <v>278</v>
      </c>
      <c r="Q378">
        <f t="shared" si="86"/>
        <v>189.5</v>
      </c>
    </row>
    <row r="379" spans="1:17" x14ac:dyDescent="0.35">
      <c r="A379">
        <v>2025</v>
      </c>
      <c r="B379" s="6">
        <v>169</v>
      </c>
      <c r="C379" s="3">
        <v>34</v>
      </c>
      <c r="D379" s="3">
        <f t="shared" si="92"/>
        <v>21.125</v>
      </c>
      <c r="E379" s="10">
        <f t="shared" si="91"/>
        <v>0.42249999999999999</v>
      </c>
      <c r="F379" s="10">
        <f t="shared" si="90"/>
        <v>0.68</v>
      </c>
      <c r="G379" s="3">
        <f t="shared" si="89"/>
        <v>55.125</v>
      </c>
      <c r="H379" s="3">
        <f t="shared" si="88"/>
        <v>1</v>
      </c>
      <c r="I379" s="3">
        <f t="shared" si="80"/>
        <v>-0.54645333267395979</v>
      </c>
      <c r="J379" s="3">
        <f t="shared" si="81"/>
        <v>0.37381229283235973</v>
      </c>
      <c r="K379" s="3">
        <f t="shared" si="82"/>
        <v>0.99219989991642943</v>
      </c>
      <c r="L379" s="3">
        <f t="shared" si="87"/>
        <v>-7.830679985552997E-3</v>
      </c>
      <c r="M379" s="9">
        <f t="shared" si="83"/>
        <v>0.6167800453514739</v>
      </c>
      <c r="N379" s="9">
        <f t="shared" si="84"/>
        <v>0.3832199546485261</v>
      </c>
      <c r="P379">
        <f t="shared" si="85"/>
        <v>299</v>
      </c>
      <c r="Q379">
        <f t="shared" si="86"/>
        <v>189.5</v>
      </c>
    </row>
    <row r="380" spans="1:17" x14ac:dyDescent="0.35">
      <c r="A380">
        <v>2025</v>
      </c>
      <c r="B380" s="6">
        <v>151</v>
      </c>
      <c r="C380" s="3">
        <v>36</v>
      </c>
      <c r="D380" s="3">
        <f t="shared" si="92"/>
        <v>18.875</v>
      </c>
      <c r="E380" s="10">
        <f t="shared" si="91"/>
        <v>0.3775</v>
      </c>
      <c r="F380" s="10">
        <f t="shared" si="90"/>
        <v>0.72</v>
      </c>
      <c r="G380" s="3">
        <f t="shared" si="89"/>
        <v>54.875</v>
      </c>
      <c r="H380" s="3">
        <f t="shared" si="88"/>
        <v>1</v>
      </c>
      <c r="I380" s="3">
        <f t="shared" si="80"/>
        <v>-1.2207375586807478</v>
      </c>
      <c r="J380" s="3">
        <f t="shared" si="81"/>
        <v>0.63030958151100658</v>
      </c>
      <c r="K380" s="3">
        <f t="shared" si="82"/>
        <v>0.98782158220652738</v>
      </c>
      <c r="L380" s="3">
        <f t="shared" si="87"/>
        <v>-1.2253182352876636E-2</v>
      </c>
      <c r="M380" s="9">
        <f t="shared" si="83"/>
        <v>0.6560364464692483</v>
      </c>
      <c r="N380" s="9">
        <f t="shared" si="84"/>
        <v>0.3439635535307517</v>
      </c>
      <c r="P380">
        <f t="shared" si="85"/>
        <v>402.5</v>
      </c>
      <c r="Q380">
        <f t="shared" si="86"/>
        <v>152</v>
      </c>
    </row>
    <row r="381" spans="1:17" x14ac:dyDescent="0.35">
      <c r="A381">
        <v>2025</v>
      </c>
      <c r="B381" s="6">
        <v>191</v>
      </c>
      <c r="C381" s="3">
        <v>31</v>
      </c>
      <c r="D381" s="3">
        <f t="shared" si="92"/>
        <v>23.875</v>
      </c>
      <c r="E381" s="10">
        <f t="shared" si="91"/>
        <v>0.47749999999999998</v>
      </c>
      <c r="F381" s="10">
        <f t="shared" si="90"/>
        <v>0.62</v>
      </c>
      <c r="G381" s="3">
        <f t="shared" si="89"/>
        <v>54.875</v>
      </c>
      <c r="H381" s="3">
        <f t="shared" si="88"/>
        <v>1</v>
      </c>
      <c r="I381" s="3">
        <f t="shared" si="80"/>
        <v>0.27767183244544774</v>
      </c>
      <c r="J381" s="3">
        <f t="shared" si="81"/>
        <v>-1.0933640185610671E-2</v>
      </c>
      <c r="K381" s="3">
        <f t="shared" si="82"/>
        <v>0.99234898724176168</v>
      </c>
      <c r="L381" s="3">
        <f t="shared" si="87"/>
        <v>-7.6804319099551153E-3</v>
      </c>
      <c r="M381" s="9">
        <f t="shared" si="83"/>
        <v>0.56492027334851935</v>
      </c>
      <c r="N381" s="9">
        <f t="shared" si="84"/>
        <v>0.43507972665148065</v>
      </c>
      <c r="P381">
        <f t="shared" si="85"/>
        <v>137.5</v>
      </c>
      <c r="Q381">
        <f t="shared" si="86"/>
        <v>239.5</v>
      </c>
    </row>
    <row r="382" spans="1:17" x14ac:dyDescent="0.35">
      <c r="A382">
        <v>2025</v>
      </c>
      <c r="B382" s="6">
        <v>236</v>
      </c>
      <c r="C382" s="3">
        <v>25</v>
      </c>
      <c r="D382" s="3">
        <f t="shared" si="92"/>
        <v>29.5</v>
      </c>
      <c r="E382" s="10">
        <f t="shared" si="91"/>
        <v>0.59</v>
      </c>
      <c r="F382" s="10">
        <f t="shared" si="90"/>
        <v>0.5</v>
      </c>
      <c r="G382" s="3">
        <f t="shared" si="89"/>
        <v>54.5</v>
      </c>
      <c r="H382" s="3">
        <f t="shared" si="88"/>
        <v>1</v>
      </c>
      <c r="I382" s="3">
        <f t="shared" si="80"/>
        <v>1.9633823974624178</v>
      </c>
      <c r="J382" s="3">
        <f t="shared" si="81"/>
        <v>-0.78042550622155138</v>
      </c>
      <c r="K382" s="3">
        <f t="shared" si="82"/>
        <v>0.9935373360005898</v>
      </c>
      <c r="L382" s="3">
        <f t="shared" si="87"/>
        <v>-6.4836374240261176E-3</v>
      </c>
      <c r="M382" s="9">
        <f t="shared" si="83"/>
        <v>0.45871559633027525</v>
      </c>
      <c r="N382" s="9">
        <f t="shared" si="84"/>
        <v>0.54128440366972475</v>
      </c>
      <c r="P382">
        <f t="shared" si="85"/>
        <v>16</v>
      </c>
      <c r="Q382">
        <f t="shared" si="86"/>
        <v>326</v>
      </c>
    </row>
    <row r="383" spans="1:17" x14ac:dyDescent="0.35">
      <c r="A383">
        <v>2025</v>
      </c>
      <c r="B383" s="6">
        <v>195</v>
      </c>
      <c r="C383" s="3">
        <v>30</v>
      </c>
      <c r="D383" s="3">
        <f t="shared" si="92"/>
        <v>24.375</v>
      </c>
      <c r="E383" s="10">
        <f t="shared" si="91"/>
        <v>0.48749999999999999</v>
      </c>
      <c r="F383" s="10">
        <f t="shared" si="90"/>
        <v>0.6</v>
      </c>
      <c r="G383" s="3">
        <f t="shared" si="89"/>
        <v>54.375</v>
      </c>
      <c r="H383" s="3">
        <f t="shared" si="88"/>
        <v>1</v>
      </c>
      <c r="I383" s="3">
        <f t="shared" si="80"/>
        <v>0.42751277155806727</v>
      </c>
      <c r="J383" s="3">
        <f t="shared" si="81"/>
        <v>-0.13918228452493411</v>
      </c>
      <c r="K383" s="3">
        <f t="shared" si="82"/>
        <v>0.98828075336696553</v>
      </c>
      <c r="L383" s="3">
        <f t="shared" si="87"/>
        <v>-1.1788458274132241E-2</v>
      </c>
      <c r="M383" s="9">
        <f t="shared" si="83"/>
        <v>0.55172413793103448</v>
      </c>
      <c r="N383" s="9">
        <f t="shared" si="84"/>
        <v>0.44827586206896552</v>
      </c>
      <c r="P383">
        <f t="shared" si="85"/>
        <v>113.5</v>
      </c>
      <c r="Q383">
        <f t="shared" si="86"/>
        <v>259</v>
      </c>
    </row>
    <row r="384" spans="1:17" x14ac:dyDescent="0.35">
      <c r="A384">
        <v>2025</v>
      </c>
      <c r="B384" s="6">
        <v>167</v>
      </c>
      <c r="C384" s="3">
        <v>33</v>
      </c>
      <c r="D384" s="3">
        <f t="shared" si="92"/>
        <v>20.875</v>
      </c>
      <c r="E384" s="10">
        <f t="shared" si="91"/>
        <v>0.41749999999999998</v>
      </c>
      <c r="F384" s="10">
        <f t="shared" si="90"/>
        <v>0.66</v>
      </c>
      <c r="G384" s="3">
        <f t="shared" si="89"/>
        <v>53.875</v>
      </c>
      <c r="H384" s="3">
        <f t="shared" si="88"/>
        <v>1</v>
      </c>
      <c r="I384" s="3">
        <f t="shared" si="80"/>
        <v>-0.62137380223026961</v>
      </c>
      <c r="J384" s="3">
        <f t="shared" si="81"/>
        <v>0.24556364849303625</v>
      </c>
      <c r="K384" s="3">
        <f t="shared" si="82"/>
        <v>0.9741363243038722</v>
      </c>
      <c r="L384" s="3">
        <f t="shared" si="87"/>
        <v>-2.6204021782559754E-2</v>
      </c>
      <c r="M384" s="9">
        <f t="shared" si="83"/>
        <v>0.61252900232018559</v>
      </c>
      <c r="N384" s="9">
        <f t="shared" si="84"/>
        <v>0.38747099767981441</v>
      </c>
      <c r="P384">
        <f t="shared" si="85"/>
        <v>323</v>
      </c>
      <c r="Q384">
        <f t="shared" si="86"/>
        <v>208.5</v>
      </c>
    </row>
    <row r="385" spans="1:17" x14ac:dyDescent="0.35">
      <c r="A385">
        <v>2025</v>
      </c>
      <c r="B385" s="6">
        <v>199</v>
      </c>
      <c r="C385" s="3">
        <v>29</v>
      </c>
      <c r="D385" s="3">
        <f t="shared" si="92"/>
        <v>24.875</v>
      </c>
      <c r="E385" s="10">
        <f t="shared" si="91"/>
        <v>0.4975</v>
      </c>
      <c r="F385" s="10">
        <f t="shared" si="90"/>
        <v>0.57999999999999996</v>
      </c>
      <c r="G385" s="3">
        <f t="shared" si="89"/>
        <v>53.875</v>
      </c>
      <c r="H385" s="3">
        <f t="shared" si="88"/>
        <v>1</v>
      </c>
      <c r="I385" s="3">
        <f t="shared" si="80"/>
        <v>0.57735371067068686</v>
      </c>
      <c r="J385" s="3">
        <f t="shared" si="81"/>
        <v>-0.26743092886425757</v>
      </c>
      <c r="K385" s="3">
        <f t="shared" si="82"/>
        <v>0.98208838311016522</v>
      </c>
      <c r="L385" s="3">
        <f t="shared" si="87"/>
        <v>-1.8073971510538848E-2</v>
      </c>
      <c r="M385" s="9">
        <f t="shared" si="83"/>
        <v>0.53828306264501158</v>
      </c>
      <c r="N385" s="9">
        <f t="shared" si="84"/>
        <v>0.46171693735498842</v>
      </c>
      <c r="P385">
        <f t="shared" si="85"/>
        <v>91.5</v>
      </c>
      <c r="Q385">
        <f t="shared" si="86"/>
        <v>272.5</v>
      </c>
    </row>
    <row r="386" spans="1:17" x14ac:dyDescent="0.35">
      <c r="A386">
        <v>2025</v>
      </c>
      <c r="B386" s="6">
        <v>187</v>
      </c>
      <c r="C386" s="3">
        <v>30</v>
      </c>
      <c r="D386" s="3">
        <f t="shared" si="92"/>
        <v>23.375</v>
      </c>
      <c r="E386" s="10">
        <f t="shared" si="91"/>
        <v>0.46750000000000003</v>
      </c>
      <c r="F386" s="10">
        <f t="shared" si="90"/>
        <v>0.6</v>
      </c>
      <c r="G386" s="3">
        <f t="shared" si="89"/>
        <v>53.375</v>
      </c>
      <c r="H386" s="3">
        <f t="shared" si="88"/>
        <v>1</v>
      </c>
      <c r="I386" s="3">
        <f t="shared" ref="I386:I435" si="93" xml:space="preserve"> (D:D - AVERAGE(D:D)) / STDEV(D:D)</f>
        <v>0.12783089333282818</v>
      </c>
      <c r="J386" s="3">
        <f t="shared" ref="J386:J434" si="94" xml:space="preserve"> (C:C - AVERAGE(C:C)) / STDEV(C:C)</f>
        <v>-0.13918228452493411</v>
      </c>
      <c r="K386" s="3">
        <f t="shared" ref="K386:K435" si="95">1/(1+EXP(-($AD$68 +$AD$69 * I386 +$AD$70 * J386 )))</f>
        <v>0.96726315158486365</v>
      </c>
      <c r="L386" s="3">
        <f t="shared" si="87"/>
        <v>-3.328468861117697E-2</v>
      </c>
      <c r="M386" s="9">
        <f t="shared" si="83"/>
        <v>0.56206088992974235</v>
      </c>
      <c r="N386" s="9">
        <f t="shared" si="84"/>
        <v>0.4379391100702576</v>
      </c>
      <c r="P386">
        <f t="shared" si="85"/>
        <v>163</v>
      </c>
      <c r="Q386">
        <f t="shared" si="86"/>
        <v>259</v>
      </c>
    </row>
    <row r="387" spans="1:17" x14ac:dyDescent="0.35">
      <c r="A387">
        <v>2025</v>
      </c>
      <c r="B387" s="6">
        <v>200</v>
      </c>
      <c r="C387" s="3">
        <v>27</v>
      </c>
      <c r="D387" s="3">
        <f t="shared" si="92"/>
        <v>25</v>
      </c>
      <c r="E387" s="10">
        <f t="shared" si="91"/>
        <v>0.5</v>
      </c>
      <c r="F387" s="10">
        <f t="shared" si="90"/>
        <v>0.54</v>
      </c>
      <c r="G387" s="3">
        <f t="shared" si="89"/>
        <v>52</v>
      </c>
      <c r="H387" s="3">
        <f t="shared" si="88"/>
        <v>1</v>
      </c>
      <c r="I387" s="3">
        <f t="shared" si="93"/>
        <v>0.61481394544884171</v>
      </c>
      <c r="J387" s="3">
        <f t="shared" si="94"/>
        <v>-0.52392821754290453</v>
      </c>
      <c r="K387" s="3">
        <f t="shared" si="95"/>
        <v>0.90252121275783614</v>
      </c>
      <c r="L387" s="3">
        <f t="shared" si="87"/>
        <v>-0.10256308461051043</v>
      </c>
      <c r="M387" s="9">
        <f t="shared" ref="M387:M435" si="96">IF(G387=0, 0,  C387  / G387 )</f>
        <v>0.51923076923076927</v>
      </c>
      <c r="N387" s="9">
        <f t="shared" ref="N387:N435" si="97">IF(G387=0, 0,  D387  / G387 )</f>
        <v>0.48076923076923078</v>
      </c>
      <c r="P387">
        <f t="shared" ref="P387:P435" si="98">_xlfn.RANK.AVG(B387,$B$2:$B$435)</f>
        <v>85</v>
      </c>
      <c r="Q387">
        <f t="shared" ref="Q387:Q435" si="99">_xlfn.RANK.AVG(C387,$C$2:$C$435)</f>
        <v>294.5</v>
      </c>
    </row>
    <row r="388" spans="1:17" x14ac:dyDescent="0.35">
      <c r="A388">
        <v>2025</v>
      </c>
      <c r="B388" s="6">
        <v>172</v>
      </c>
      <c r="C388" s="3">
        <v>30</v>
      </c>
      <c r="D388" s="3">
        <f t="shared" si="92"/>
        <v>21.5</v>
      </c>
      <c r="E388" s="10">
        <f t="shared" si="91"/>
        <v>0.43</v>
      </c>
      <c r="F388" s="10">
        <f t="shared" si="90"/>
        <v>0.6</v>
      </c>
      <c r="G388" s="3">
        <f t="shared" si="89"/>
        <v>51.5</v>
      </c>
      <c r="H388" s="3">
        <f t="shared" si="88"/>
        <v>1</v>
      </c>
      <c r="I388" s="3">
        <f t="shared" si="93"/>
        <v>-0.43407262833949517</v>
      </c>
      <c r="J388" s="3">
        <f t="shared" si="94"/>
        <v>-0.13918228452493411</v>
      </c>
      <c r="K388" s="3">
        <f t="shared" si="95"/>
        <v>0.80526548416681498</v>
      </c>
      <c r="L388" s="3">
        <f t="shared" ref="L388:L435" si="100">IF(K388=0, -1000, IF(K388=1, -1000, H388 * LN(K388) + (1 - H388) * LN(1 - K388)))</f>
        <v>-0.21658326193761651</v>
      </c>
      <c r="M388" s="9">
        <f t="shared" si="96"/>
        <v>0.58252427184466016</v>
      </c>
      <c r="N388" s="9">
        <f t="shared" si="97"/>
        <v>0.41747572815533979</v>
      </c>
      <c r="P388">
        <f t="shared" si="98"/>
        <v>271</v>
      </c>
      <c r="Q388">
        <f t="shared" si="99"/>
        <v>259</v>
      </c>
    </row>
    <row r="389" spans="1:17" x14ac:dyDescent="0.35">
      <c r="A389">
        <v>2025</v>
      </c>
      <c r="B389" s="6">
        <v>227</v>
      </c>
      <c r="C389" s="3">
        <v>23</v>
      </c>
      <c r="D389" s="3">
        <f t="shared" si="92"/>
        <v>28.375</v>
      </c>
      <c r="E389" s="10">
        <f t="shared" si="91"/>
        <v>0.5675</v>
      </c>
      <c r="F389" s="10">
        <f t="shared" si="90"/>
        <v>0.46</v>
      </c>
      <c r="G389" s="3">
        <f t="shared" si="89"/>
        <v>51.375</v>
      </c>
      <c r="H389" s="3">
        <f t="shared" si="88"/>
        <v>1</v>
      </c>
      <c r="I389" s="3">
        <f t="shared" si="93"/>
        <v>1.6262402844590238</v>
      </c>
      <c r="J389" s="3">
        <f t="shared" si="94"/>
        <v>-1.0369227949001982</v>
      </c>
      <c r="K389" s="3">
        <f t="shared" si="95"/>
        <v>0.87496599922856844</v>
      </c>
      <c r="L389" s="3">
        <f t="shared" si="100"/>
        <v>-0.13357025140400844</v>
      </c>
      <c r="M389" s="9">
        <f t="shared" si="96"/>
        <v>0.44768856447688565</v>
      </c>
      <c r="N389" s="9">
        <f t="shared" si="97"/>
        <v>0.55231143552311435</v>
      </c>
      <c r="P389">
        <f t="shared" si="98"/>
        <v>27.5</v>
      </c>
      <c r="Q389">
        <f t="shared" si="99"/>
        <v>352.5</v>
      </c>
    </row>
    <row r="390" spans="1:17" x14ac:dyDescent="0.35">
      <c r="A390">
        <v>2025</v>
      </c>
      <c r="B390" s="6">
        <v>180</v>
      </c>
      <c r="C390" s="3">
        <v>28</v>
      </c>
      <c r="D390" s="3">
        <f t="shared" si="92"/>
        <v>22.5</v>
      </c>
      <c r="E390" s="10">
        <f t="shared" si="91"/>
        <v>0.45</v>
      </c>
      <c r="F390" s="10">
        <f t="shared" si="90"/>
        <v>0.56000000000000005</v>
      </c>
      <c r="G390" s="3">
        <f t="shared" si="89"/>
        <v>50.5</v>
      </c>
      <c r="H390" s="3">
        <f t="shared" si="88"/>
        <v>1</v>
      </c>
      <c r="I390" s="3">
        <f t="shared" si="93"/>
        <v>-0.13439075011425605</v>
      </c>
      <c r="J390" s="3">
        <f t="shared" si="94"/>
        <v>-0.39567957320358105</v>
      </c>
      <c r="K390" s="3">
        <f t="shared" si="95"/>
        <v>0.63611230518803763</v>
      </c>
      <c r="L390" s="3">
        <f t="shared" si="100"/>
        <v>-0.45238015074617766</v>
      </c>
      <c r="M390" s="9">
        <f t="shared" si="96"/>
        <v>0.5544554455445545</v>
      </c>
      <c r="N390" s="9">
        <f t="shared" si="97"/>
        <v>0.44554455445544555</v>
      </c>
      <c r="P390">
        <f t="shared" si="98"/>
        <v>216.5</v>
      </c>
      <c r="Q390">
        <f t="shared" si="99"/>
        <v>281.5</v>
      </c>
    </row>
    <row r="391" spans="1:17" x14ac:dyDescent="0.35">
      <c r="A391">
        <v>2025</v>
      </c>
      <c r="B391" s="6">
        <v>185</v>
      </c>
      <c r="C391" s="3">
        <v>26</v>
      </c>
      <c r="D391" s="3">
        <f t="shared" si="92"/>
        <v>23.125</v>
      </c>
      <c r="E391" s="10">
        <f t="shared" si="91"/>
        <v>0.46250000000000002</v>
      </c>
      <c r="F391" s="10">
        <f t="shared" si="90"/>
        <v>0.52</v>
      </c>
      <c r="G391" s="3">
        <f t="shared" si="89"/>
        <v>49.125</v>
      </c>
      <c r="H391" s="3">
        <f t="shared" si="88"/>
        <v>0</v>
      </c>
      <c r="I391" s="3">
        <f t="shared" si="93"/>
        <v>5.2910423776518403E-2</v>
      </c>
      <c r="J391" s="3">
        <f t="shared" si="94"/>
        <v>-0.65217686188222801</v>
      </c>
      <c r="K391" s="3">
        <f t="shared" si="95"/>
        <v>0.33275250389330907</v>
      </c>
      <c r="L391" s="3">
        <f t="shared" si="100"/>
        <v>-0.404594243261021</v>
      </c>
      <c r="M391" s="9">
        <f t="shared" si="96"/>
        <v>0.52926208651399487</v>
      </c>
      <c r="N391" s="9">
        <f t="shared" si="97"/>
        <v>0.47073791348600508</v>
      </c>
      <c r="P391">
        <f t="shared" si="98"/>
        <v>179.5</v>
      </c>
      <c r="Q391">
        <f t="shared" si="99"/>
        <v>312.5</v>
      </c>
    </row>
    <row r="392" spans="1:17" x14ac:dyDescent="0.35">
      <c r="A392">
        <v>2025</v>
      </c>
      <c r="B392" s="6">
        <v>203</v>
      </c>
      <c r="C392" s="3">
        <v>23</v>
      </c>
      <c r="D392" s="3">
        <f t="shared" si="92"/>
        <v>25.375</v>
      </c>
      <c r="E392" s="10">
        <f t="shared" si="91"/>
        <v>0.50749999999999995</v>
      </c>
      <c r="F392" s="10">
        <f t="shared" si="90"/>
        <v>0.46</v>
      </c>
      <c r="G392" s="3">
        <f t="shared" si="89"/>
        <v>48.375</v>
      </c>
      <c r="H392" s="3">
        <f t="shared" si="88"/>
        <v>0</v>
      </c>
      <c r="I392" s="3">
        <f t="shared" si="93"/>
        <v>0.72719464978330639</v>
      </c>
      <c r="J392" s="3">
        <f t="shared" si="94"/>
        <v>-1.0369227949001982</v>
      </c>
      <c r="K392" s="3">
        <f t="shared" si="95"/>
        <v>0.2313514635220881</v>
      </c>
      <c r="L392" s="3">
        <f t="shared" si="100"/>
        <v>-0.26312145364158812</v>
      </c>
      <c r="M392" s="9">
        <f t="shared" si="96"/>
        <v>0.47545219638242892</v>
      </c>
      <c r="N392" s="9">
        <f t="shared" si="97"/>
        <v>0.52454780361757103</v>
      </c>
      <c r="P392">
        <f t="shared" si="98"/>
        <v>72</v>
      </c>
      <c r="Q392">
        <f t="shared" si="99"/>
        <v>352.5</v>
      </c>
    </row>
    <row r="393" spans="1:17" x14ac:dyDescent="0.35">
      <c r="A393">
        <v>2025</v>
      </c>
      <c r="B393" s="6">
        <v>138</v>
      </c>
      <c r="C393" s="3">
        <v>31</v>
      </c>
      <c r="D393" s="3">
        <f t="shared" si="92"/>
        <v>17.25</v>
      </c>
      <c r="E393" s="10">
        <f t="shared" si="91"/>
        <v>0.34499999999999997</v>
      </c>
      <c r="F393" s="10">
        <f t="shared" si="90"/>
        <v>0.62</v>
      </c>
      <c r="G393" s="3">
        <f t="shared" si="89"/>
        <v>48.25</v>
      </c>
      <c r="H393" s="3">
        <f t="shared" si="88"/>
        <v>0</v>
      </c>
      <c r="I393" s="3">
        <f t="shared" si="93"/>
        <v>-1.7077206107967613</v>
      </c>
      <c r="J393" s="3">
        <f t="shared" si="94"/>
        <v>-1.0933640185610671E-2</v>
      </c>
      <c r="K393" s="3">
        <f t="shared" si="95"/>
        <v>0.11077673801402765</v>
      </c>
      <c r="L393" s="3">
        <f t="shared" si="100"/>
        <v>-0.11740693665626091</v>
      </c>
      <c r="M393" s="9">
        <f t="shared" si="96"/>
        <v>0.6424870466321243</v>
      </c>
      <c r="N393" s="9">
        <f t="shared" si="97"/>
        <v>0.35751295336787564</v>
      </c>
      <c r="P393">
        <f t="shared" si="98"/>
        <v>431.5</v>
      </c>
      <c r="Q393">
        <f t="shared" si="99"/>
        <v>239.5</v>
      </c>
    </row>
    <row r="394" spans="1:17" x14ac:dyDescent="0.35">
      <c r="A394">
        <v>2025</v>
      </c>
      <c r="B394" s="6">
        <v>201</v>
      </c>
      <c r="C394" s="3">
        <v>22</v>
      </c>
      <c r="D394" s="3">
        <f t="shared" si="92"/>
        <v>25.125</v>
      </c>
      <c r="E394" s="10">
        <f t="shared" si="91"/>
        <v>0.50249999999999995</v>
      </c>
      <c r="F394" s="10">
        <f t="shared" si="90"/>
        <v>0.44</v>
      </c>
      <c r="G394" s="3">
        <f t="shared" si="89"/>
        <v>47.125</v>
      </c>
      <c r="H394" s="3">
        <f t="shared" si="88"/>
        <v>0</v>
      </c>
      <c r="I394" s="3">
        <f t="shared" si="93"/>
        <v>0.65227418022699668</v>
      </c>
      <c r="J394" s="3">
        <f t="shared" si="94"/>
        <v>-1.1651714392395218</v>
      </c>
      <c r="K394" s="3">
        <f t="shared" si="95"/>
        <v>8.1827488433306284E-2</v>
      </c>
      <c r="L394" s="3">
        <f t="shared" si="100"/>
        <v>-8.5369984919987887E-2</v>
      </c>
      <c r="M394" s="9">
        <f t="shared" si="96"/>
        <v>0.46684350132625996</v>
      </c>
      <c r="N394" s="9">
        <f t="shared" si="97"/>
        <v>0.53315649867374004</v>
      </c>
      <c r="P394">
        <f t="shared" si="98"/>
        <v>78.5</v>
      </c>
      <c r="Q394">
        <f t="shared" si="99"/>
        <v>370</v>
      </c>
    </row>
    <row r="395" spans="1:17" x14ac:dyDescent="0.35">
      <c r="A395">
        <v>2025</v>
      </c>
      <c r="B395" s="6">
        <v>175</v>
      </c>
      <c r="C395" s="3">
        <v>25</v>
      </c>
      <c r="D395" s="3">
        <f t="shared" si="92"/>
        <v>21.875</v>
      </c>
      <c r="E395" s="10">
        <f t="shared" si="91"/>
        <v>0.4375</v>
      </c>
      <c r="F395" s="10">
        <f t="shared" si="90"/>
        <v>0.5</v>
      </c>
      <c r="G395" s="3">
        <f t="shared" si="89"/>
        <v>46.875</v>
      </c>
      <c r="H395" s="3">
        <f t="shared" si="88"/>
        <v>0</v>
      </c>
      <c r="I395" s="3">
        <f t="shared" si="93"/>
        <v>-0.32169192400503049</v>
      </c>
      <c r="J395" s="3">
        <f t="shared" si="94"/>
        <v>-0.78042550622155138</v>
      </c>
      <c r="K395" s="3">
        <f t="shared" si="95"/>
        <v>4.9190960435038254E-2</v>
      </c>
      <c r="L395" s="3">
        <f t="shared" si="100"/>
        <v>-5.0442036215922553E-2</v>
      </c>
      <c r="M395" s="9">
        <f t="shared" si="96"/>
        <v>0.53333333333333333</v>
      </c>
      <c r="N395" s="9">
        <f t="shared" si="97"/>
        <v>0.46666666666666667</v>
      </c>
      <c r="P395">
        <f t="shared" si="98"/>
        <v>254</v>
      </c>
      <c r="Q395">
        <f t="shared" si="99"/>
        <v>326</v>
      </c>
    </row>
    <row r="396" spans="1:17" x14ac:dyDescent="0.35">
      <c r="A396">
        <v>2025</v>
      </c>
      <c r="B396" s="6">
        <v>163</v>
      </c>
      <c r="C396" s="3">
        <v>26</v>
      </c>
      <c r="D396" s="3">
        <f t="shared" si="92"/>
        <v>20.375</v>
      </c>
      <c r="E396" s="10">
        <f t="shared" si="91"/>
        <v>0.40749999999999997</v>
      </c>
      <c r="F396" s="10">
        <f t="shared" si="90"/>
        <v>0.52</v>
      </c>
      <c r="G396" s="3">
        <f t="shared" si="89"/>
        <v>46.375</v>
      </c>
      <c r="H396" s="3">
        <f t="shared" si="88"/>
        <v>0</v>
      </c>
      <c r="I396" s="3">
        <f t="shared" si="93"/>
        <v>-0.77121474134288914</v>
      </c>
      <c r="J396" s="3">
        <f t="shared" si="94"/>
        <v>-0.65217686188222801</v>
      </c>
      <c r="K396" s="3">
        <f t="shared" si="95"/>
        <v>2.7123255553563902E-2</v>
      </c>
      <c r="L396" s="3">
        <f t="shared" si="100"/>
        <v>-2.749788062035723E-2</v>
      </c>
      <c r="M396" s="9">
        <f t="shared" si="96"/>
        <v>0.56064690026954178</v>
      </c>
      <c r="N396" s="9">
        <f t="shared" si="97"/>
        <v>0.43935309973045822</v>
      </c>
      <c r="P396">
        <f t="shared" si="98"/>
        <v>356.5</v>
      </c>
      <c r="Q396">
        <f t="shared" si="99"/>
        <v>312.5</v>
      </c>
    </row>
    <row r="397" spans="1:17" x14ac:dyDescent="0.35">
      <c r="A397">
        <v>2025</v>
      </c>
      <c r="B397" s="6">
        <v>166</v>
      </c>
      <c r="C397" s="3">
        <v>23</v>
      </c>
      <c r="D397" s="3">
        <f t="shared" si="92"/>
        <v>20.75</v>
      </c>
      <c r="E397" s="10">
        <f t="shared" si="91"/>
        <v>0.41499999999999998</v>
      </c>
      <c r="F397" s="10">
        <f t="shared" si="90"/>
        <v>0.46</v>
      </c>
      <c r="G397" s="3">
        <f t="shared" si="89"/>
        <v>43.75</v>
      </c>
      <c r="H397" s="3">
        <f t="shared" si="88"/>
        <v>0</v>
      </c>
      <c r="I397" s="3">
        <f t="shared" si="93"/>
        <v>-0.65883403700842447</v>
      </c>
      <c r="J397" s="3">
        <f t="shared" si="94"/>
        <v>-1.0369227949001982</v>
      </c>
      <c r="K397" s="3">
        <f t="shared" si="95"/>
        <v>2.3494212529748897E-3</v>
      </c>
      <c r="L397" s="3">
        <f t="shared" si="100"/>
        <v>-2.3521854734811745E-3</v>
      </c>
      <c r="M397" s="9">
        <f t="shared" si="96"/>
        <v>0.52571428571428569</v>
      </c>
      <c r="N397" s="9">
        <f t="shared" si="97"/>
        <v>0.47428571428571431</v>
      </c>
      <c r="P397">
        <f t="shared" si="98"/>
        <v>334.5</v>
      </c>
      <c r="Q397">
        <f t="shared" si="99"/>
        <v>352.5</v>
      </c>
    </row>
    <row r="398" spans="1:17" x14ac:dyDescent="0.35">
      <c r="A398">
        <v>2025</v>
      </c>
      <c r="B398" s="6">
        <v>175</v>
      </c>
      <c r="C398" s="3">
        <v>19</v>
      </c>
      <c r="D398" s="3">
        <f t="shared" si="92"/>
        <v>21.875</v>
      </c>
      <c r="E398" s="10">
        <f t="shared" si="91"/>
        <v>0.4375</v>
      </c>
      <c r="F398" s="10">
        <f t="shared" si="90"/>
        <v>0.38</v>
      </c>
      <c r="G398" s="3">
        <f t="shared" si="89"/>
        <v>40.875</v>
      </c>
      <c r="H398" s="3">
        <f t="shared" si="88"/>
        <v>0</v>
      </c>
      <c r="I398" s="3">
        <f t="shared" si="93"/>
        <v>-0.32169192400503049</v>
      </c>
      <c r="J398" s="3">
        <f t="shared" si="94"/>
        <v>-1.5499173722574922</v>
      </c>
      <c r="K398" s="3">
        <f t="shared" si="95"/>
        <v>1.6807813829522165E-4</v>
      </c>
      <c r="L398" s="3">
        <f t="shared" si="100"/>
        <v>-1.680922650084609E-4</v>
      </c>
      <c r="M398" s="9">
        <f t="shared" si="96"/>
        <v>0.46483180428134557</v>
      </c>
      <c r="N398" s="9">
        <f t="shared" si="97"/>
        <v>0.53516819571865448</v>
      </c>
      <c r="P398">
        <f t="shared" si="98"/>
        <v>254</v>
      </c>
      <c r="Q398">
        <f t="shared" si="99"/>
        <v>397.5</v>
      </c>
    </row>
    <row r="399" spans="1:17" x14ac:dyDescent="0.35">
      <c r="A399">
        <v>2025</v>
      </c>
      <c r="B399" s="6">
        <v>182</v>
      </c>
      <c r="C399" s="3">
        <v>18</v>
      </c>
      <c r="D399" s="3">
        <f t="shared" si="92"/>
        <v>22.75</v>
      </c>
      <c r="E399" s="10">
        <f t="shared" si="91"/>
        <v>0.45500000000000002</v>
      </c>
      <c r="F399" s="10">
        <f t="shared" si="90"/>
        <v>0.36</v>
      </c>
      <c r="G399" s="3">
        <f t="shared" si="89"/>
        <v>40.75</v>
      </c>
      <c r="H399" s="3">
        <f t="shared" si="88"/>
        <v>0</v>
      </c>
      <c r="I399" s="3">
        <f t="shared" si="93"/>
        <v>-5.9470280557946266E-2</v>
      </c>
      <c r="J399" s="3">
        <f t="shared" si="94"/>
        <v>-1.6781660165968155</v>
      </c>
      <c r="K399" s="3">
        <f t="shared" si="95"/>
        <v>1.6193896521044914E-4</v>
      </c>
      <c r="L399" s="3">
        <f t="shared" si="100"/>
        <v>-1.6195207874041318E-4</v>
      </c>
      <c r="M399" s="9">
        <f t="shared" si="96"/>
        <v>0.44171779141104295</v>
      </c>
      <c r="N399" s="9">
        <f t="shared" si="97"/>
        <v>0.55828220858895705</v>
      </c>
      <c r="P399">
        <f t="shared" si="98"/>
        <v>204</v>
      </c>
      <c r="Q399">
        <f t="shared" si="99"/>
        <v>409</v>
      </c>
    </row>
    <row r="400" spans="1:17" x14ac:dyDescent="0.35">
      <c r="A400">
        <v>2025</v>
      </c>
      <c r="B400" s="6">
        <v>166</v>
      </c>
      <c r="C400" s="3">
        <v>20</v>
      </c>
      <c r="D400" s="3">
        <f t="shared" si="92"/>
        <v>20.75</v>
      </c>
      <c r="E400" s="10">
        <f t="shared" si="91"/>
        <v>0.41499999999999998</v>
      </c>
      <c r="F400" s="10">
        <f t="shared" si="90"/>
        <v>0.4</v>
      </c>
      <c r="G400" s="3">
        <f t="shared" si="89"/>
        <v>40.75</v>
      </c>
      <c r="H400" s="3">
        <f t="shared" si="88"/>
        <v>0</v>
      </c>
      <c r="I400" s="3">
        <f t="shared" si="93"/>
        <v>-0.65883403700842447</v>
      </c>
      <c r="J400" s="3">
        <f t="shared" si="94"/>
        <v>-1.4216687279181688</v>
      </c>
      <c r="K400" s="3">
        <f t="shared" si="95"/>
        <v>1.3422093324677435E-4</v>
      </c>
      <c r="L400" s="3">
        <f t="shared" si="100"/>
        <v>-1.3422994168232612E-4</v>
      </c>
      <c r="M400" s="9">
        <f t="shared" si="96"/>
        <v>0.49079754601226994</v>
      </c>
      <c r="N400" s="9">
        <f t="shared" si="97"/>
        <v>0.50920245398773001</v>
      </c>
      <c r="P400">
        <f t="shared" si="98"/>
        <v>334.5</v>
      </c>
      <c r="Q400">
        <f t="shared" si="99"/>
        <v>386</v>
      </c>
    </row>
    <row r="401" spans="1:17" x14ac:dyDescent="0.35">
      <c r="A401">
        <v>2025</v>
      </c>
      <c r="B401" s="6">
        <v>201</v>
      </c>
      <c r="C401" s="3">
        <v>15</v>
      </c>
      <c r="D401" s="3">
        <f t="shared" si="92"/>
        <v>25.125</v>
      </c>
      <c r="E401" s="10">
        <f t="shared" si="91"/>
        <v>0.50249999999999995</v>
      </c>
      <c r="F401" s="10">
        <f t="shared" si="90"/>
        <v>0.3</v>
      </c>
      <c r="G401" s="3">
        <f t="shared" si="89"/>
        <v>40.125</v>
      </c>
      <c r="H401" s="3">
        <f t="shared" si="88"/>
        <v>0</v>
      </c>
      <c r="I401" s="3">
        <f t="shared" si="93"/>
        <v>0.65227418022699668</v>
      </c>
      <c r="J401" s="3">
        <f t="shared" si="94"/>
        <v>-2.0629119496147861</v>
      </c>
      <c r="K401" s="3">
        <f t="shared" si="95"/>
        <v>1.1143393646362453E-4</v>
      </c>
      <c r="L401" s="3">
        <f t="shared" si="100"/>
        <v>-1.1144014568600389E-4</v>
      </c>
      <c r="M401" s="9">
        <f t="shared" si="96"/>
        <v>0.37383177570093457</v>
      </c>
      <c r="N401" s="9">
        <f t="shared" si="97"/>
        <v>0.62616822429906538</v>
      </c>
      <c r="P401">
        <f t="shared" si="98"/>
        <v>78.5</v>
      </c>
      <c r="Q401">
        <f t="shared" si="99"/>
        <v>424.5</v>
      </c>
    </row>
    <row r="402" spans="1:17" x14ac:dyDescent="0.35">
      <c r="A402">
        <v>2025</v>
      </c>
      <c r="B402" s="6">
        <v>175</v>
      </c>
      <c r="C402" s="3">
        <v>18</v>
      </c>
      <c r="D402" s="3">
        <f t="shared" si="92"/>
        <v>21.875</v>
      </c>
      <c r="E402" s="10">
        <f t="shared" si="91"/>
        <v>0.4375</v>
      </c>
      <c r="F402" s="10">
        <f t="shared" si="90"/>
        <v>0.36</v>
      </c>
      <c r="G402" s="3">
        <f t="shared" si="89"/>
        <v>39.875</v>
      </c>
      <c r="H402" s="3">
        <f t="shared" si="88"/>
        <v>0</v>
      </c>
      <c r="I402" s="3">
        <f t="shared" si="93"/>
        <v>-0.32169192400503049</v>
      </c>
      <c r="J402" s="3">
        <f t="shared" si="94"/>
        <v>-1.6781660165968155</v>
      </c>
      <c r="K402" s="3">
        <f t="shared" si="95"/>
        <v>6.4692634743133851E-5</v>
      </c>
      <c r="L402" s="3">
        <f t="shared" si="100"/>
        <v>-6.4694727401928338E-5</v>
      </c>
      <c r="M402" s="9">
        <f t="shared" si="96"/>
        <v>0.45141065830721006</v>
      </c>
      <c r="N402" s="9">
        <f t="shared" si="97"/>
        <v>0.54858934169278994</v>
      </c>
      <c r="P402">
        <f t="shared" si="98"/>
        <v>254</v>
      </c>
      <c r="Q402">
        <f t="shared" si="99"/>
        <v>409</v>
      </c>
    </row>
    <row r="403" spans="1:17" x14ac:dyDescent="0.35">
      <c r="A403">
        <v>2025</v>
      </c>
      <c r="B403" s="6">
        <v>166</v>
      </c>
      <c r="C403" s="3">
        <v>19</v>
      </c>
      <c r="D403" s="3">
        <f t="shared" si="92"/>
        <v>20.75</v>
      </c>
      <c r="E403" s="10">
        <f t="shared" si="91"/>
        <v>0.41499999999999998</v>
      </c>
      <c r="F403" s="10">
        <f t="shared" si="90"/>
        <v>0.38</v>
      </c>
      <c r="G403" s="3">
        <f t="shared" si="89"/>
        <v>39.75</v>
      </c>
      <c r="H403" s="3">
        <f t="shared" si="88"/>
        <v>0</v>
      </c>
      <c r="I403" s="3">
        <f t="shared" si="93"/>
        <v>-0.65883403700842447</v>
      </c>
      <c r="J403" s="3">
        <f t="shared" si="94"/>
        <v>-1.5499173722574922</v>
      </c>
      <c r="K403" s="3">
        <f t="shared" si="95"/>
        <v>5.1660049540840421E-5</v>
      </c>
      <c r="L403" s="3">
        <f t="shared" si="100"/>
        <v>-5.1661383967141982E-5</v>
      </c>
      <c r="M403" s="9">
        <f t="shared" si="96"/>
        <v>0.4779874213836478</v>
      </c>
      <c r="N403" s="9">
        <f t="shared" si="97"/>
        <v>0.5220125786163522</v>
      </c>
      <c r="P403">
        <f t="shared" si="98"/>
        <v>334.5</v>
      </c>
      <c r="Q403">
        <f t="shared" si="99"/>
        <v>397.5</v>
      </c>
    </row>
    <row r="404" spans="1:17" x14ac:dyDescent="0.35">
      <c r="A404">
        <v>2025</v>
      </c>
      <c r="B404" s="6">
        <v>187</v>
      </c>
      <c r="C404" s="3">
        <v>16</v>
      </c>
      <c r="D404" s="3">
        <f t="shared" si="92"/>
        <v>23.375</v>
      </c>
      <c r="E404" s="10">
        <f t="shared" si="91"/>
        <v>0.46750000000000003</v>
      </c>
      <c r="F404" s="10">
        <f t="shared" si="90"/>
        <v>0.32</v>
      </c>
      <c r="G404" s="3">
        <f t="shared" si="89"/>
        <v>39.375</v>
      </c>
      <c r="H404" s="3">
        <f t="shared" si="88"/>
        <v>0</v>
      </c>
      <c r="I404" s="3">
        <f t="shared" si="93"/>
        <v>0.12783089333282818</v>
      </c>
      <c r="J404" s="3">
        <f t="shared" si="94"/>
        <v>-1.9346633052754625</v>
      </c>
      <c r="K404" s="3">
        <f t="shared" si="95"/>
        <v>4.6202936736330494E-5</v>
      </c>
      <c r="L404" s="3">
        <f t="shared" si="100"/>
        <v>-4.6204004124854145E-5</v>
      </c>
      <c r="M404" s="9">
        <f t="shared" si="96"/>
        <v>0.40634920634920635</v>
      </c>
      <c r="N404" s="9">
        <f t="shared" si="97"/>
        <v>0.59365079365079365</v>
      </c>
      <c r="P404">
        <f t="shared" si="98"/>
        <v>163</v>
      </c>
      <c r="Q404">
        <f t="shared" si="99"/>
        <v>420.5</v>
      </c>
    </row>
    <row r="405" spans="1:17" x14ac:dyDescent="0.35">
      <c r="A405">
        <v>2025</v>
      </c>
      <c r="B405" s="6">
        <v>193</v>
      </c>
      <c r="C405" s="3">
        <v>15</v>
      </c>
      <c r="D405" s="3">
        <f t="shared" si="92"/>
        <v>24.125</v>
      </c>
      <c r="E405" s="10">
        <f t="shared" si="91"/>
        <v>0.48249999999999998</v>
      </c>
      <c r="F405" s="10">
        <f t="shared" si="90"/>
        <v>0.3</v>
      </c>
      <c r="G405" s="3">
        <f t="shared" si="89"/>
        <v>39.125</v>
      </c>
      <c r="H405" s="3">
        <f t="shared" ref="H405:H435" si="101">IF(G405&gt;=50,1,0)</f>
        <v>0</v>
      </c>
      <c r="I405" s="3">
        <f t="shared" si="93"/>
        <v>0.35259230200175751</v>
      </c>
      <c r="J405" s="3">
        <f t="shared" si="94"/>
        <v>-2.0629119496147861</v>
      </c>
      <c r="K405" s="3">
        <f t="shared" si="95"/>
        <v>3.9045954603498763E-5</v>
      </c>
      <c r="L405" s="3">
        <f t="shared" si="100"/>
        <v>-3.9046716916596169E-5</v>
      </c>
      <c r="M405" s="9">
        <f t="shared" si="96"/>
        <v>0.38338658146964855</v>
      </c>
      <c r="N405" s="9">
        <f t="shared" si="97"/>
        <v>0.61661341853035145</v>
      </c>
      <c r="P405">
        <f t="shared" si="98"/>
        <v>124</v>
      </c>
      <c r="Q405">
        <f t="shared" si="99"/>
        <v>424.5</v>
      </c>
    </row>
    <row r="406" spans="1:17" x14ac:dyDescent="0.35">
      <c r="A406">
        <v>2025</v>
      </c>
      <c r="B406" s="6">
        <v>189</v>
      </c>
      <c r="C406" s="3">
        <v>13</v>
      </c>
      <c r="D406" s="3">
        <f t="shared" si="92"/>
        <v>23.625</v>
      </c>
      <c r="E406" s="10">
        <f t="shared" si="91"/>
        <v>0.47249999999999998</v>
      </c>
      <c r="F406" s="10">
        <f t="shared" si="90"/>
        <v>0.26</v>
      </c>
      <c r="G406" s="3">
        <f t="shared" si="89"/>
        <v>36.625</v>
      </c>
      <c r="H406" s="3">
        <f t="shared" si="101"/>
        <v>0</v>
      </c>
      <c r="I406" s="3">
        <f t="shared" si="93"/>
        <v>0.20275136288913795</v>
      </c>
      <c r="J406" s="3">
        <f t="shared" si="94"/>
        <v>-2.3194092382934328</v>
      </c>
      <c r="K406" s="3">
        <f t="shared" si="95"/>
        <v>3.4233593737776478E-6</v>
      </c>
      <c r="L406" s="3">
        <f t="shared" si="100"/>
        <v>-3.4233652334634491E-6</v>
      </c>
      <c r="M406" s="9">
        <f t="shared" si="96"/>
        <v>0.35494880546075086</v>
      </c>
      <c r="N406" s="9">
        <f t="shared" si="97"/>
        <v>0.6450511945392492</v>
      </c>
      <c r="P406">
        <f t="shared" si="98"/>
        <v>150</v>
      </c>
      <c r="Q406">
        <f t="shared" si="99"/>
        <v>430.5</v>
      </c>
    </row>
    <row r="407" spans="1:17" x14ac:dyDescent="0.35">
      <c r="A407">
        <v>2025</v>
      </c>
      <c r="B407" s="6">
        <v>173</v>
      </c>
      <c r="C407" s="3">
        <v>14</v>
      </c>
      <c r="D407" s="3">
        <f t="shared" si="92"/>
        <v>21.625</v>
      </c>
      <c r="E407" s="10">
        <f t="shared" si="91"/>
        <v>0.4325</v>
      </c>
      <c r="F407" s="10">
        <f t="shared" si="90"/>
        <v>0.28000000000000003</v>
      </c>
      <c r="G407" s="3">
        <f t="shared" si="89"/>
        <v>35.625</v>
      </c>
      <c r="H407" s="3">
        <f t="shared" si="101"/>
        <v>0</v>
      </c>
      <c r="I407" s="3">
        <f t="shared" si="93"/>
        <v>-0.39661239356134026</v>
      </c>
      <c r="J407" s="3">
        <f t="shared" si="94"/>
        <v>-2.1911605939541094</v>
      </c>
      <c r="K407" s="3">
        <f t="shared" si="95"/>
        <v>1.0919658708820679E-6</v>
      </c>
      <c r="L407" s="3">
        <f t="shared" si="100"/>
        <v>-1.0919664670315411E-6</v>
      </c>
      <c r="M407" s="9">
        <f t="shared" si="96"/>
        <v>0.39298245614035088</v>
      </c>
      <c r="N407" s="9">
        <f t="shared" si="97"/>
        <v>0.60701754385964912</v>
      </c>
      <c r="P407">
        <f t="shared" si="98"/>
        <v>267</v>
      </c>
      <c r="Q407">
        <f t="shared" si="99"/>
        <v>427</v>
      </c>
    </row>
    <row r="408" spans="1:17" x14ac:dyDescent="0.35">
      <c r="A408">
        <v>2025</v>
      </c>
      <c r="B408" s="6">
        <v>146</v>
      </c>
      <c r="C408" s="3">
        <v>17</v>
      </c>
      <c r="D408" s="3">
        <f t="shared" si="92"/>
        <v>18.25</v>
      </c>
      <c r="E408" s="10">
        <f t="shared" si="91"/>
        <v>0.36499999999999999</v>
      </c>
      <c r="F408" s="10">
        <f t="shared" si="90"/>
        <v>0.34</v>
      </c>
      <c r="G408" s="3">
        <f t="shared" si="89"/>
        <v>35.25</v>
      </c>
      <c r="H408" s="3">
        <f t="shared" si="101"/>
        <v>0</v>
      </c>
      <c r="I408" s="3">
        <f t="shared" si="93"/>
        <v>-1.4080387325715222</v>
      </c>
      <c r="J408" s="3">
        <f t="shared" si="94"/>
        <v>-1.8064146609361391</v>
      </c>
      <c r="K408" s="3">
        <f t="shared" si="95"/>
        <v>5.5602235704441359E-7</v>
      </c>
      <c r="L408" s="3">
        <f t="shared" si="100"/>
        <v>-5.5602251162603726E-7</v>
      </c>
      <c r="M408" s="9">
        <f t="shared" si="96"/>
        <v>0.48226950354609927</v>
      </c>
      <c r="N408" s="9">
        <f t="shared" si="97"/>
        <v>0.51773049645390068</v>
      </c>
      <c r="P408">
        <f t="shared" si="98"/>
        <v>417</v>
      </c>
      <c r="Q408">
        <f t="shared" si="99"/>
        <v>415</v>
      </c>
    </row>
    <row r="409" spans="1:17" x14ac:dyDescent="0.35">
      <c r="A409">
        <v>2025</v>
      </c>
      <c r="B409" s="6">
        <v>167</v>
      </c>
      <c r="C409" s="3">
        <v>13</v>
      </c>
      <c r="D409" s="3">
        <f t="shared" si="92"/>
        <v>20.875</v>
      </c>
      <c r="E409" s="10">
        <f t="shared" si="91"/>
        <v>0.41749999999999998</v>
      </c>
      <c r="F409" s="10">
        <f t="shared" si="90"/>
        <v>0.26</v>
      </c>
      <c r="G409" s="3">
        <f t="shared" si="89"/>
        <v>33.875</v>
      </c>
      <c r="H409" s="3">
        <f t="shared" si="101"/>
        <v>0</v>
      </c>
      <c r="I409" s="3">
        <f t="shared" si="93"/>
        <v>-0.62137380223026961</v>
      </c>
      <c r="J409" s="3">
        <f t="shared" si="94"/>
        <v>-2.3194092382934328</v>
      </c>
      <c r="K409" s="3">
        <f t="shared" si="95"/>
        <v>1.9138306713305529E-7</v>
      </c>
      <c r="L409" s="3">
        <f t="shared" si="100"/>
        <v>-1.9138308548555463E-7</v>
      </c>
      <c r="M409" s="9">
        <f t="shared" si="96"/>
        <v>0.3837638376383764</v>
      </c>
      <c r="N409" s="9">
        <f t="shared" si="97"/>
        <v>0.6162361623616236</v>
      </c>
      <c r="P409">
        <f t="shared" si="98"/>
        <v>323</v>
      </c>
      <c r="Q409">
        <f t="shared" si="99"/>
        <v>430.5</v>
      </c>
    </row>
    <row r="410" spans="1:17" x14ac:dyDescent="0.35">
      <c r="A410">
        <v>2025</v>
      </c>
      <c r="B410" s="6">
        <v>205</v>
      </c>
      <c r="C410" s="3">
        <v>40</v>
      </c>
      <c r="D410" s="3">
        <f t="shared" si="92"/>
        <v>25.625</v>
      </c>
      <c r="E410" s="10">
        <f t="shared" si="91"/>
        <v>0.51249999999999996</v>
      </c>
      <c r="F410" s="10">
        <f t="shared" si="90"/>
        <v>0.8</v>
      </c>
      <c r="G410" s="3">
        <f t="shared" si="89"/>
        <v>65.625</v>
      </c>
      <c r="H410" s="3">
        <f t="shared" si="101"/>
        <v>1</v>
      </c>
      <c r="I410" s="3">
        <f t="shared" si="93"/>
        <v>0.80211511933961621</v>
      </c>
      <c r="J410" s="3">
        <f t="shared" si="94"/>
        <v>1.1433041588683004</v>
      </c>
      <c r="K410" s="3">
        <f t="shared" si="95"/>
        <v>0.99999977214150526</v>
      </c>
      <c r="L410" s="3">
        <f t="shared" si="100"/>
        <v>-2.2785852069880349E-7</v>
      </c>
      <c r="M410" s="9">
        <f t="shared" si="96"/>
        <v>0.60952380952380958</v>
      </c>
      <c r="N410" s="9">
        <f t="shared" si="97"/>
        <v>0.39047619047619048</v>
      </c>
      <c r="P410">
        <f t="shared" si="98"/>
        <v>65</v>
      </c>
      <c r="Q410">
        <f t="shared" si="99"/>
        <v>50.5</v>
      </c>
    </row>
    <row r="411" spans="1:17" x14ac:dyDescent="0.35">
      <c r="A411">
        <v>2025</v>
      </c>
      <c r="B411" s="6">
        <v>218</v>
      </c>
      <c r="C411" s="3">
        <v>36</v>
      </c>
      <c r="D411" s="3">
        <f t="shared" si="92"/>
        <v>27.25</v>
      </c>
      <c r="E411" s="10">
        <f t="shared" si="91"/>
        <v>0.54500000000000004</v>
      </c>
      <c r="F411" s="10">
        <f t="shared" si="90"/>
        <v>0.72</v>
      </c>
      <c r="G411" s="3">
        <f t="shared" si="89"/>
        <v>63.25</v>
      </c>
      <c r="H411" s="3">
        <f t="shared" si="101"/>
        <v>1</v>
      </c>
      <c r="I411" s="3">
        <f t="shared" si="93"/>
        <v>1.2890981714556298</v>
      </c>
      <c r="J411" s="3">
        <f t="shared" si="94"/>
        <v>0.63030958151100658</v>
      </c>
      <c r="K411" s="3">
        <f t="shared" si="95"/>
        <v>0.99999811058972721</v>
      </c>
      <c r="L411" s="3">
        <f t="shared" si="100"/>
        <v>-1.8894120577307174E-6</v>
      </c>
      <c r="M411" s="9">
        <f t="shared" si="96"/>
        <v>0.56916996047430835</v>
      </c>
      <c r="N411" s="9">
        <f t="shared" si="97"/>
        <v>0.43083003952569171</v>
      </c>
      <c r="P411">
        <f t="shared" si="98"/>
        <v>43</v>
      </c>
      <c r="Q411">
        <f t="shared" si="99"/>
        <v>152</v>
      </c>
    </row>
    <row r="412" spans="1:17" x14ac:dyDescent="0.35">
      <c r="A412">
        <v>2025</v>
      </c>
      <c r="B412" s="6">
        <v>169</v>
      </c>
      <c r="C412" s="3">
        <v>41</v>
      </c>
      <c r="D412" s="3">
        <f t="shared" si="92"/>
        <v>21.125</v>
      </c>
      <c r="E412" s="10">
        <f t="shared" si="91"/>
        <v>0.42249999999999999</v>
      </c>
      <c r="F412" s="10">
        <f t="shared" si="90"/>
        <v>0.82</v>
      </c>
      <c r="G412" s="3">
        <f t="shared" si="89"/>
        <v>62.125</v>
      </c>
      <c r="H412" s="3">
        <f t="shared" si="101"/>
        <v>1</v>
      </c>
      <c r="I412" s="3">
        <f t="shared" si="93"/>
        <v>-0.54645333267395979</v>
      </c>
      <c r="J412" s="3">
        <f t="shared" si="94"/>
        <v>1.271552803207624</v>
      </c>
      <c r="K412" s="3">
        <f t="shared" si="95"/>
        <v>0.99999016922712791</v>
      </c>
      <c r="L412" s="3">
        <f t="shared" si="100"/>
        <v>-9.8308211944524405E-6</v>
      </c>
      <c r="M412" s="9">
        <f t="shared" si="96"/>
        <v>0.65995975855130784</v>
      </c>
      <c r="N412" s="9">
        <f t="shared" si="97"/>
        <v>0.34004024144869216</v>
      </c>
      <c r="P412">
        <f t="shared" si="98"/>
        <v>299</v>
      </c>
      <c r="Q412">
        <f t="shared" si="99"/>
        <v>27</v>
      </c>
    </row>
    <row r="413" spans="1:17" x14ac:dyDescent="0.35">
      <c r="A413">
        <v>2025</v>
      </c>
      <c r="B413" s="6">
        <v>173</v>
      </c>
      <c r="C413" s="3">
        <v>40</v>
      </c>
      <c r="D413" s="3">
        <f t="shared" si="92"/>
        <v>21.625</v>
      </c>
      <c r="E413" s="10">
        <f t="shared" si="91"/>
        <v>0.4325</v>
      </c>
      <c r="F413" s="10">
        <f t="shared" si="90"/>
        <v>0.8</v>
      </c>
      <c r="G413" s="3">
        <f t="shared" si="89"/>
        <v>61.625</v>
      </c>
      <c r="H413" s="3">
        <f t="shared" si="101"/>
        <v>1</v>
      </c>
      <c r="I413" s="3">
        <f t="shared" si="93"/>
        <v>-0.39661239356134026</v>
      </c>
      <c r="J413" s="3">
        <f t="shared" si="94"/>
        <v>1.1433041588683004</v>
      </c>
      <c r="K413" s="3">
        <f t="shared" si="95"/>
        <v>0.99998488005447572</v>
      </c>
      <c r="L413" s="3">
        <f t="shared" si="100"/>
        <v>-1.5120059831806413E-5</v>
      </c>
      <c r="M413" s="9">
        <f t="shared" si="96"/>
        <v>0.64908722109533468</v>
      </c>
      <c r="N413" s="9">
        <f t="shared" si="97"/>
        <v>0.35091277890466532</v>
      </c>
      <c r="P413">
        <f t="shared" si="98"/>
        <v>267</v>
      </c>
      <c r="Q413">
        <f t="shared" si="99"/>
        <v>50.5</v>
      </c>
    </row>
    <row r="414" spans="1:17" x14ac:dyDescent="0.35">
      <c r="A414">
        <v>2025</v>
      </c>
      <c r="B414" s="6">
        <v>157</v>
      </c>
      <c r="C414" s="3">
        <v>41</v>
      </c>
      <c r="D414" s="3">
        <f t="shared" si="92"/>
        <v>19.625</v>
      </c>
      <c r="E414" s="10">
        <f t="shared" si="91"/>
        <v>0.39250000000000002</v>
      </c>
      <c r="F414" s="10">
        <f t="shared" si="90"/>
        <v>0.82</v>
      </c>
      <c r="G414" s="3">
        <f t="shared" si="89"/>
        <v>60.625</v>
      </c>
      <c r="H414" s="3">
        <f t="shared" si="101"/>
        <v>1</v>
      </c>
      <c r="I414" s="3">
        <f t="shared" si="93"/>
        <v>-0.9959761500118185</v>
      </c>
      <c r="J414" s="3">
        <f t="shared" si="94"/>
        <v>1.271552803207624</v>
      </c>
      <c r="K414" s="3">
        <f t="shared" si="95"/>
        <v>0.99995259974839235</v>
      </c>
      <c r="L414" s="3">
        <f t="shared" si="100"/>
        <v>-4.7401375035081247E-5</v>
      </c>
      <c r="M414" s="9">
        <f t="shared" si="96"/>
        <v>0.67628865979381447</v>
      </c>
      <c r="N414" s="9">
        <f t="shared" si="97"/>
        <v>0.32371134020618558</v>
      </c>
      <c r="P414">
        <f t="shared" si="98"/>
        <v>384.5</v>
      </c>
      <c r="Q414">
        <f t="shared" si="99"/>
        <v>27</v>
      </c>
    </row>
    <row r="415" spans="1:17" x14ac:dyDescent="0.35">
      <c r="A415">
        <v>2025</v>
      </c>
      <c r="B415" s="6">
        <v>200</v>
      </c>
      <c r="C415" s="3">
        <v>34</v>
      </c>
      <c r="D415" s="3">
        <f t="shared" si="92"/>
        <v>25</v>
      </c>
      <c r="E415" s="10">
        <f t="shared" si="91"/>
        <v>0.5</v>
      </c>
      <c r="F415" s="10">
        <f t="shared" si="90"/>
        <v>0.68</v>
      </c>
      <c r="G415" s="3">
        <f t="shared" si="89"/>
        <v>59</v>
      </c>
      <c r="H415" s="3">
        <f t="shared" si="101"/>
        <v>1</v>
      </c>
      <c r="I415" s="3">
        <f t="shared" si="93"/>
        <v>0.61481394544884171</v>
      </c>
      <c r="J415" s="3">
        <f t="shared" si="94"/>
        <v>0.37381229283235973</v>
      </c>
      <c r="K415" s="3">
        <f t="shared" si="95"/>
        <v>0.99986495298771916</v>
      </c>
      <c r="L415" s="3">
        <f t="shared" si="100"/>
        <v>-1.350561319496705E-4</v>
      </c>
      <c r="M415" s="9">
        <f t="shared" si="96"/>
        <v>0.57627118644067798</v>
      </c>
      <c r="N415" s="9">
        <f t="shared" si="97"/>
        <v>0.42372881355932202</v>
      </c>
      <c r="P415">
        <f t="shared" si="98"/>
        <v>85</v>
      </c>
      <c r="Q415">
        <f t="shared" si="99"/>
        <v>189.5</v>
      </c>
    </row>
    <row r="416" spans="1:17" x14ac:dyDescent="0.35">
      <c r="A416">
        <v>2025</v>
      </c>
      <c r="B416" s="6">
        <v>171</v>
      </c>
      <c r="C416" s="3">
        <v>37</v>
      </c>
      <c r="D416" s="3">
        <f t="shared" si="92"/>
        <v>21.375</v>
      </c>
      <c r="E416" s="10">
        <f t="shared" si="91"/>
        <v>0.42749999999999999</v>
      </c>
      <c r="F416" s="10">
        <f t="shared" si="90"/>
        <v>0.74</v>
      </c>
      <c r="G416" s="3">
        <f t="shared" si="89"/>
        <v>58.375</v>
      </c>
      <c r="H416" s="3">
        <f t="shared" si="101"/>
        <v>1</v>
      </c>
      <c r="I416" s="3">
        <f t="shared" si="93"/>
        <v>-0.47153286311765003</v>
      </c>
      <c r="J416" s="3">
        <f t="shared" si="94"/>
        <v>0.75855822585033006</v>
      </c>
      <c r="K416" s="3">
        <f t="shared" si="95"/>
        <v>0.99965534928092037</v>
      </c>
      <c r="L416" s="3">
        <f t="shared" si="100"/>
        <v>-3.4471012478858444E-4</v>
      </c>
      <c r="M416" s="9">
        <f t="shared" si="96"/>
        <v>0.63383297644539616</v>
      </c>
      <c r="N416" s="9">
        <f t="shared" si="97"/>
        <v>0.36616702355460384</v>
      </c>
      <c r="P416">
        <f t="shared" si="98"/>
        <v>278</v>
      </c>
      <c r="Q416">
        <f t="shared" si="99"/>
        <v>128</v>
      </c>
    </row>
    <row r="417" spans="1:17" x14ac:dyDescent="0.35">
      <c r="A417">
        <v>2025</v>
      </c>
      <c r="B417" s="6">
        <v>223</v>
      </c>
      <c r="C417" s="3">
        <v>30</v>
      </c>
      <c r="D417" s="3">
        <f t="shared" si="92"/>
        <v>27.875</v>
      </c>
      <c r="E417" s="10">
        <f t="shared" si="91"/>
        <v>0.5575</v>
      </c>
      <c r="F417" s="10">
        <f t="shared" si="90"/>
        <v>0.6</v>
      </c>
      <c r="G417" s="3">
        <f t="shared" si="89"/>
        <v>57.875</v>
      </c>
      <c r="H417" s="3">
        <f t="shared" si="101"/>
        <v>1</v>
      </c>
      <c r="I417" s="3">
        <f t="shared" si="93"/>
        <v>1.4763993453464042</v>
      </c>
      <c r="J417" s="3">
        <f t="shared" si="94"/>
        <v>-0.13918228452493411</v>
      </c>
      <c r="K417" s="3">
        <f t="shared" si="95"/>
        <v>0.99969819027745732</v>
      </c>
      <c r="L417" s="3">
        <f t="shared" si="100"/>
        <v>-3.0185527626292358E-4</v>
      </c>
      <c r="M417" s="9">
        <f t="shared" si="96"/>
        <v>0.51835853131749465</v>
      </c>
      <c r="N417" s="9">
        <f t="shared" si="97"/>
        <v>0.4816414686825054</v>
      </c>
      <c r="P417">
        <f t="shared" si="98"/>
        <v>35</v>
      </c>
      <c r="Q417">
        <f t="shared" si="99"/>
        <v>259</v>
      </c>
    </row>
    <row r="418" spans="1:17" x14ac:dyDescent="0.35">
      <c r="A418">
        <v>2025</v>
      </c>
      <c r="B418" s="6">
        <v>165</v>
      </c>
      <c r="C418" s="3">
        <v>37</v>
      </c>
      <c r="D418" s="3">
        <f t="shared" si="92"/>
        <v>20.625</v>
      </c>
      <c r="E418" s="10">
        <f t="shared" si="91"/>
        <v>0.41249999999999998</v>
      </c>
      <c r="F418" s="10">
        <f t="shared" si="90"/>
        <v>0.74</v>
      </c>
      <c r="G418" s="3">
        <f t="shared" si="89"/>
        <v>57.625</v>
      </c>
      <c r="H418" s="3">
        <f t="shared" si="101"/>
        <v>1</v>
      </c>
      <c r="I418" s="3">
        <f t="shared" si="93"/>
        <v>-0.69629427178657943</v>
      </c>
      <c r="J418" s="3">
        <f t="shared" si="94"/>
        <v>0.75855822585033006</v>
      </c>
      <c r="K418" s="3">
        <f t="shared" si="95"/>
        <v>0.99924350705835663</v>
      </c>
      <c r="L418" s="3">
        <f t="shared" si="100"/>
        <v>-7.5677922681966576E-4</v>
      </c>
      <c r="M418" s="9">
        <f t="shared" si="96"/>
        <v>0.64208242950108463</v>
      </c>
      <c r="N418" s="9">
        <f t="shared" si="97"/>
        <v>0.35791757049891543</v>
      </c>
      <c r="P418">
        <f t="shared" si="98"/>
        <v>342.5</v>
      </c>
      <c r="Q418">
        <f t="shared" si="99"/>
        <v>128</v>
      </c>
    </row>
    <row r="419" spans="1:17" x14ac:dyDescent="0.35">
      <c r="A419">
        <v>2025</v>
      </c>
      <c r="B419" s="6">
        <v>163</v>
      </c>
      <c r="C419" s="3">
        <v>36</v>
      </c>
      <c r="D419" s="3">
        <f t="shared" si="92"/>
        <v>20.375</v>
      </c>
      <c r="E419" s="10">
        <f t="shared" si="91"/>
        <v>0.40749999999999997</v>
      </c>
      <c r="F419" s="10">
        <f t="shared" si="90"/>
        <v>0.72</v>
      </c>
      <c r="G419" s="3">
        <f t="shared" si="89"/>
        <v>56.375</v>
      </c>
      <c r="H419" s="3">
        <f t="shared" si="101"/>
        <v>1</v>
      </c>
      <c r="I419" s="3">
        <f t="shared" si="93"/>
        <v>-0.77121474134288914</v>
      </c>
      <c r="J419" s="3">
        <f t="shared" si="94"/>
        <v>0.63030958151100658</v>
      </c>
      <c r="K419" s="3">
        <f t="shared" si="95"/>
        <v>0.99744968365663422</v>
      </c>
      <c r="L419" s="3">
        <f t="shared" si="100"/>
        <v>-2.5535739398711709E-3</v>
      </c>
      <c r="M419" s="9">
        <f t="shared" si="96"/>
        <v>0.63858093126385806</v>
      </c>
      <c r="N419" s="9">
        <f t="shared" si="97"/>
        <v>0.36141906873614188</v>
      </c>
      <c r="P419">
        <f t="shared" si="98"/>
        <v>356.5</v>
      </c>
      <c r="Q419">
        <f t="shared" si="99"/>
        <v>152</v>
      </c>
    </row>
    <row r="420" spans="1:17" x14ac:dyDescent="0.35">
      <c r="A420">
        <v>2025</v>
      </c>
      <c r="B420" s="6">
        <v>170</v>
      </c>
      <c r="C420" s="3">
        <v>35</v>
      </c>
      <c r="D420" s="3">
        <f t="shared" si="92"/>
        <v>21.25</v>
      </c>
      <c r="E420" s="10">
        <f t="shared" si="91"/>
        <v>0.42499999999999999</v>
      </c>
      <c r="F420" s="10">
        <f t="shared" si="90"/>
        <v>0.7</v>
      </c>
      <c r="G420" s="3">
        <f t="shared" si="89"/>
        <v>56.25</v>
      </c>
      <c r="H420" s="3">
        <f t="shared" si="101"/>
        <v>1</v>
      </c>
      <c r="I420" s="3">
        <f t="shared" si="93"/>
        <v>-0.50899309789580494</v>
      </c>
      <c r="J420" s="3">
        <f t="shared" si="94"/>
        <v>0.50206093717168321</v>
      </c>
      <c r="K420" s="3">
        <f t="shared" si="95"/>
        <v>0.99735323979831769</v>
      </c>
      <c r="L420" s="3">
        <f t="shared" si="100"/>
        <v>-2.6502690642442968E-3</v>
      </c>
      <c r="M420" s="9">
        <f t="shared" si="96"/>
        <v>0.62222222222222223</v>
      </c>
      <c r="N420" s="9">
        <f t="shared" si="97"/>
        <v>0.37777777777777777</v>
      </c>
      <c r="P420">
        <f t="shared" si="98"/>
        <v>287.5</v>
      </c>
      <c r="Q420">
        <f t="shared" si="99"/>
        <v>171.5</v>
      </c>
    </row>
    <row r="421" spans="1:17" x14ac:dyDescent="0.35">
      <c r="A421">
        <v>2025</v>
      </c>
      <c r="B421" s="6">
        <v>214</v>
      </c>
      <c r="C421" s="3">
        <v>29</v>
      </c>
      <c r="D421" s="3">
        <f t="shared" si="92"/>
        <v>26.75</v>
      </c>
      <c r="E421" s="10">
        <f t="shared" si="91"/>
        <v>0.53500000000000003</v>
      </c>
      <c r="F421" s="10">
        <f t="shared" si="90"/>
        <v>0.57999999999999996</v>
      </c>
      <c r="G421" s="3">
        <f t="shared" si="89"/>
        <v>55.75</v>
      </c>
      <c r="H421" s="3">
        <f t="shared" si="101"/>
        <v>1</v>
      </c>
      <c r="I421" s="3">
        <f t="shared" si="93"/>
        <v>1.1392572323430101</v>
      </c>
      <c r="J421" s="3">
        <f t="shared" si="94"/>
        <v>-0.26743092886425757</v>
      </c>
      <c r="K421" s="3">
        <f t="shared" si="95"/>
        <v>0.99745395866970255</v>
      </c>
      <c r="L421" s="3">
        <f t="shared" si="100"/>
        <v>-2.5492880054755187E-3</v>
      </c>
      <c r="M421" s="9">
        <f t="shared" si="96"/>
        <v>0.52017937219730936</v>
      </c>
      <c r="N421" s="9">
        <f t="shared" si="97"/>
        <v>0.47982062780269058</v>
      </c>
      <c r="P421">
        <f t="shared" si="98"/>
        <v>49</v>
      </c>
      <c r="Q421">
        <f t="shared" si="99"/>
        <v>272.5</v>
      </c>
    </row>
    <row r="422" spans="1:17" x14ac:dyDescent="0.35">
      <c r="A422">
        <v>2025</v>
      </c>
      <c r="B422" s="6">
        <v>227</v>
      </c>
      <c r="C422" s="3">
        <v>27</v>
      </c>
      <c r="D422" s="3">
        <f t="shared" si="92"/>
        <v>28.375</v>
      </c>
      <c r="E422" s="10">
        <f t="shared" si="91"/>
        <v>0.5675</v>
      </c>
      <c r="F422" s="10">
        <f t="shared" si="90"/>
        <v>0.54</v>
      </c>
      <c r="G422" s="3">
        <f t="shared" si="89"/>
        <v>55.375</v>
      </c>
      <c r="H422" s="3">
        <f t="shared" si="101"/>
        <v>1</v>
      </c>
      <c r="I422" s="3">
        <f t="shared" si="93"/>
        <v>1.6262402844590238</v>
      </c>
      <c r="J422" s="3">
        <f t="shared" si="94"/>
        <v>-0.52392821754290453</v>
      </c>
      <c r="K422" s="3">
        <f t="shared" si="95"/>
        <v>0.99687483892960871</v>
      </c>
      <c r="L422" s="3">
        <f t="shared" si="100"/>
        <v>-3.1300545842548612E-3</v>
      </c>
      <c r="M422" s="9">
        <f t="shared" si="96"/>
        <v>0.48758465011286684</v>
      </c>
      <c r="N422" s="9">
        <f t="shared" si="97"/>
        <v>0.51241534988713322</v>
      </c>
      <c r="P422">
        <f t="shared" si="98"/>
        <v>27.5</v>
      </c>
      <c r="Q422">
        <f t="shared" si="99"/>
        <v>294.5</v>
      </c>
    </row>
    <row r="423" spans="1:17" x14ac:dyDescent="0.35">
      <c r="A423">
        <v>2025</v>
      </c>
      <c r="B423" s="6">
        <v>154</v>
      </c>
      <c r="C423" s="3">
        <v>36</v>
      </c>
      <c r="D423" s="3">
        <f t="shared" si="92"/>
        <v>19.25</v>
      </c>
      <c r="E423" s="10">
        <f t="shared" si="91"/>
        <v>0.38500000000000001</v>
      </c>
      <c r="F423" s="10">
        <f t="shared" si="90"/>
        <v>0.72</v>
      </c>
      <c r="G423" s="3">
        <f t="shared" ref="G423:G435" si="102">SUM(D423 + C423)</f>
        <v>55.25</v>
      </c>
      <c r="H423" s="3">
        <f t="shared" si="101"/>
        <v>1</v>
      </c>
      <c r="I423" s="3">
        <f t="shared" si="93"/>
        <v>-1.1083568543462832</v>
      </c>
      <c r="J423" s="3">
        <f t="shared" si="94"/>
        <v>0.63030958151100658</v>
      </c>
      <c r="K423" s="3">
        <f t="shared" si="95"/>
        <v>0.99174890169784546</v>
      </c>
      <c r="L423" s="3">
        <f t="shared" si="100"/>
        <v>-8.2853270268330882E-3</v>
      </c>
      <c r="M423" s="9">
        <f t="shared" si="96"/>
        <v>0.65158371040723984</v>
      </c>
      <c r="N423" s="9">
        <f t="shared" si="97"/>
        <v>0.34841628959276016</v>
      </c>
      <c r="P423">
        <f t="shared" si="98"/>
        <v>395.5</v>
      </c>
      <c r="Q423">
        <f t="shared" si="99"/>
        <v>152</v>
      </c>
    </row>
    <row r="424" spans="1:17" x14ac:dyDescent="0.35">
      <c r="A424">
        <v>2025</v>
      </c>
      <c r="B424" s="6">
        <v>140</v>
      </c>
      <c r="C424" s="3">
        <v>37</v>
      </c>
      <c r="D424" s="3">
        <f t="shared" si="92"/>
        <v>17.5</v>
      </c>
      <c r="E424" s="10">
        <f t="shared" si="91"/>
        <v>0.35</v>
      </c>
      <c r="F424" s="10">
        <f t="shared" si="90"/>
        <v>0.74</v>
      </c>
      <c r="G424" s="3">
        <f t="shared" si="102"/>
        <v>54.5</v>
      </c>
      <c r="H424" s="3">
        <f t="shared" si="101"/>
        <v>1</v>
      </c>
      <c r="I424" s="3">
        <f t="shared" si="93"/>
        <v>-1.6328001412404516</v>
      </c>
      <c r="J424" s="3">
        <f t="shared" si="94"/>
        <v>0.75855822585033006</v>
      </c>
      <c r="K424" s="3">
        <f t="shared" si="95"/>
        <v>0.98032759379051271</v>
      </c>
      <c r="L424" s="3">
        <f t="shared" si="100"/>
        <v>-1.9868483798348588E-2</v>
      </c>
      <c r="M424" s="9">
        <f t="shared" si="96"/>
        <v>0.67889908256880738</v>
      </c>
      <c r="N424" s="9">
        <f t="shared" si="97"/>
        <v>0.32110091743119268</v>
      </c>
      <c r="P424">
        <f t="shared" si="98"/>
        <v>430</v>
      </c>
      <c r="Q424">
        <f t="shared" si="99"/>
        <v>128</v>
      </c>
    </row>
    <row r="425" spans="1:17" x14ac:dyDescent="0.35">
      <c r="A425">
        <v>2025</v>
      </c>
      <c r="B425" s="6">
        <v>183</v>
      </c>
      <c r="C425" s="3">
        <v>30</v>
      </c>
      <c r="D425" s="3">
        <f t="shared" si="92"/>
        <v>22.875</v>
      </c>
      <c r="E425" s="10">
        <f t="shared" si="91"/>
        <v>0.45750000000000002</v>
      </c>
      <c r="F425" s="10">
        <f t="shared" ref="F425:F435" si="103">C425 / 50</f>
        <v>0.6</v>
      </c>
      <c r="G425" s="3">
        <f t="shared" si="102"/>
        <v>52.875</v>
      </c>
      <c r="H425" s="3">
        <f t="shared" si="101"/>
        <v>1</v>
      </c>
      <c r="I425" s="3">
        <f t="shared" si="93"/>
        <v>-2.2010045779791373E-2</v>
      </c>
      <c r="J425" s="3">
        <f t="shared" si="94"/>
        <v>-0.13918228452493411</v>
      </c>
      <c r="K425" s="3">
        <f t="shared" si="95"/>
        <v>0.94591453631697631</v>
      </c>
      <c r="L425" s="3">
        <f t="shared" si="100"/>
        <v>-5.5603056171001974E-2</v>
      </c>
      <c r="M425" s="9">
        <f t="shared" si="96"/>
        <v>0.56737588652482274</v>
      </c>
      <c r="N425" s="9">
        <f t="shared" si="97"/>
        <v>0.43262411347517732</v>
      </c>
      <c r="P425">
        <f t="shared" si="98"/>
        <v>197</v>
      </c>
      <c r="Q425">
        <f t="shared" si="99"/>
        <v>259</v>
      </c>
    </row>
    <row r="426" spans="1:17" x14ac:dyDescent="0.35">
      <c r="A426">
        <v>2025</v>
      </c>
      <c r="B426" s="6">
        <v>147</v>
      </c>
      <c r="C426" s="3">
        <v>34</v>
      </c>
      <c r="D426" s="3">
        <f t="shared" si="92"/>
        <v>18.375</v>
      </c>
      <c r="E426" s="10">
        <f t="shared" si="91"/>
        <v>0.36749999999999999</v>
      </c>
      <c r="F426" s="10">
        <f t="shared" si="103"/>
        <v>0.68</v>
      </c>
      <c r="G426" s="3">
        <f t="shared" si="102"/>
        <v>52.375</v>
      </c>
      <c r="H426" s="3">
        <f t="shared" si="101"/>
        <v>1</v>
      </c>
      <c r="I426" s="3">
        <f t="shared" si="93"/>
        <v>-1.3705784977933675</v>
      </c>
      <c r="J426" s="3">
        <f t="shared" si="94"/>
        <v>0.37381229283235973</v>
      </c>
      <c r="K426" s="3">
        <f t="shared" si="95"/>
        <v>0.87671510463009383</v>
      </c>
      <c r="L426" s="3">
        <f t="shared" si="100"/>
        <v>-0.13157319157503095</v>
      </c>
      <c r="M426" s="9">
        <f t="shared" si="96"/>
        <v>0.64916467780429599</v>
      </c>
      <c r="N426" s="9">
        <f t="shared" si="97"/>
        <v>0.35083532219570407</v>
      </c>
      <c r="P426">
        <f t="shared" si="98"/>
        <v>414.5</v>
      </c>
      <c r="Q426">
        <f t="shared" si="99"/>
        <v>189.5</v>
      </c>
    </row>
    <row r="427" spans="1:17" x14ac:dyDescent="0.35">
      <c r="A427">
        <v>2025</v>
      </c>
      <c r="B427" s="6">
        <v>169</v>
      </c>
      <c r="C427" s="3">
        <v>29</v>
      </c>
      <c r="D427" s="3">
        <f t="shared" si="92"/>
        <v>21.125</v>
      </c>
      <c r="E427" s="10">
        <f t="shared" si="91"/>
        <v>0.42249999999999999</v>
      </c>
      <c r="F427" s="10">
        <f t="shared" si="103"/>
        <v>0.57999999999999996</v>
      </c>
      <c r="G427" s="3">
        <f t="shared" si="102"/>
        <v>50.125</v>
      </c>
      <c r="H427" s="3">
        <f t="shared" si="101"/>
        <v>1</v>
      </c>
      <c r="I427" s="3">
        <f t="shared" si="93"/>
        <v>-0.54645333267395979</v>
      </c>
      <c r="J427" s="3">
        <f t="shared" si="94"/>
        <v>-0.26743092886425757</v>
      </c>
      <c r="K427" s="3">
        <f t="shared" si="95"/>
        <v>0.51783316631805942</v>
      </c>
      <c r="L427" s="3">
        <f t="shared" si="100"/>
        <v>-0.65810216134427857</v>
      </c>
      <c r="M427" s="9">
        <f t="shared" si="96"/>
        <v>0.5785536159600998</v>
      </c>
      <c r="N427" s="9">
        <f t="shared" si="97"/>
        <v>0.42144638403990026</v>
      </c>
      <c r="P427">
        <f t="shared" si="98"/>
        <v>299</v>
      </c>
      <c r="Q427">
        <f t="shared" si="99"/>
        <v>272.5</v>
      </c>
    </row>
    <row r="428" spans="1:17" x14ac:dyDescent="0.35">
      <c r="A428">
        <v>2025</v>
      </c>
      <c r="B428" s="6">
        <v>148</v>
      </c>
      <c r="C428" s="3">
        <v>31</v>
      </c>
      <c r="D428" s="3">
        <f t="shared" si="92"/>
        <v>18.5</v>
      </c>
      <c r="E428" s="10">
        <f t="shared" si="91"/>
        <v>0.37</v>
      </c>
      <c r="F428" s="10">
        <f t="shared" si="103"/>
        <v>0.62</v>
      </c>
      <c r="G428" s="3">
        <f t="shared" si="102"/>
        <v>49.5</v>
      </c>
      <c r="H428" s="3">
        <f t="shared" si="101"/>
        <v>0</v>
      </c>
      <c r="I428" s="3">
        <f t="shared" si="93"/>
        <v>-1.3331182630152125</v>
      </c>
      <c r="J428" s="3">
        <f t="shared" si="94"/>
        <v>-1.0933640185610671E-2</v>
      </c>
      <c r="K428" s="3">
        <f t="shared" si="95"/>
        <v>0.31607359343826202</v>
      </c>
      <c r="L428" s="3">
        <f>IF(K428=0, -1000, IF(K428=1, -1000, H428 * LN(K428) + (1 - H428) * LN(1 - K428)))</f>
        <v>-0.37990495989409839</v>
      </c>
      <c r="M428" s="9">
        <f t="shared" si="96"/>
        <v>0.6262626262626263</v>
      </c>
      <c r="N428" s="9">
        <f t="shared" si="97"/>
        <v>0.37373737373737376</v>
      </c>
      <c r="P428">
        <f t="shared" si="98"/>
        <v>412</v>
      </c>
      <c r="Q428">
        <f t="shared" si="99"/>
        <v>239.5</v>
      </c>
    </row>
    <row r="429" spans="1:17" x14ac:dyDescent="0.35">
      <c r="A429">
        <v>2025</v>
      </c>
      <c r="B429" s="6">
        <v>199</v>
      </c>
      <c r="C429" s="3">
        <v>20</v>
      </c>
      <c r="D429" s="3">
        <f t="shared" si="92"/>
        <v>24.875</v>
      </c>
      <c r="E429" s="10">
        <f t="shared" ref="E429:E435" si="104">B429 / 400</f>
        <v>0.4975</v>
      </c>
      <c r="F429" s="10">
        <f t="shared" si="103"/>
        <v>0.4</v>
      </c>
      <c r="G429" s="3">
        <f t="shared" si="102"/>
        <v>44.875</v>
      </c>
      <c r="H429" s="3">
        <f t="shared" si="101"/>
        <v>0</v>
      </c>
      <c r="I429" s="3">
        <f t="shared" si="93"/>
        <v>0.57735371067068686</v>
      </c>
      <c r="J429" s="3">
        <f t="shared" si="94"/>
        <v>-1.4216687279181688</v>
      </c>
      <c r="K429" s="3">
        <f t="shared" si="95"/>
        <v>1.0053467236422827E-2</v>
      </c>
      <c r="L429" s="3">
        <f t="shared" si="100"/>
        <v>-1.0104344621466737E-2</v>
      </c>
      <c r="M429" s="9">
        <f t="shared" si="96"/>
        <v>0.44568245125348188</v>
      </c>
      <c r="N429" s="9">
        <f t="shared" si="97"/>
        <v>0.55431754874651806</v>
      </c>
      <c r="P429">
        <f t="shared" si="98"/>
        <v>91.5</v>
      </c>
      <c r="Q429">
        <f t="shared" si="99"/>
        <v>386</v>
      </c>
    </row>
    <row r="430" spans="1:17" x14ac:dyDescent="0.35">
      <c r="A430">
        <v>2025</v>
      </c>
      <c r="B430" s="6">
        <v>178</v>
      </c>
      <c r="C430" s="3">
        <v>18</v>
      </c>
      <c r="D430" s="3">
        <f t="shared" si="92"/>
        <v>22.25</v>
      </c>
      <c r="E430" s="10">
        <f t="shared" si="104"/>
        <v>0.44500000000000001</v>
      </c>
      <c r="F430" s="10">
        <f t="shared" si="103"/>
        <v>0.36</v>
      </c>
      <c r="G430" s="3">
        <f t="shared" si="102"/>
        <v>40.25</v>
      </c>
      <c r="H430" s="3">
        <f t="shared" si="101"/>
        <v>0</v>
      </c>
      <c r="I430" s="3">
        <f t="shared" si="93"/>
        <v>-0.20931121967056582</v>
      </c>
      <c r="J430" s="3">
        <f t="shared" si="94"/>
        <v>-1.6781660165968155</v>
      </c>
      <c r="K430" s="3">
        <f t="shared" si="95"/>
        <v>9.5861369000746485E-5</v>
      </c>
      <c r="L430" s="3">
        <f t="shared" si="100"/>
        <v>-9.5865963995439942E-5</v>
      </c>
      <c r="M430" s="9">
        <f t="shared" si="96"/>
        <v>0.44720496894409939</v>
      </c>
      <c r="N430" s="9">
        <f t="shared" si="97"/>
        <v>0.55279503105590067</v>
      </c>
      <c r="P430">
        <f t="shared" si="98"/>
        <v>230.5</v>
      </c>
      <c r="Q430">
        <f t="shared" si="99"/>
        <v>409</v>
      </c>
    </row>
    <row r="431" spans="1:17" x14ac:dyDescent="0.35">
      <c r="A431">
        <v>2025</v>
      </c>
      <c r="B431" s="6">
        <v>160</v>
      </c>
      <c r="C431" s="3">
        <v>13</v>
      </c>
      <c r="D431" s="3">
        <f t="shared" si="92"/>
        <v>20</v>
      </c>
      <c r="E431" s="10">
        <f t="shared" si="104"/>
        <v>0.4</v>
      </c>
      <c r="F431" s="10">
        <f t="shared" si="103"/>
        <v>0.26</v>
      </c>
      <c r="G431" s="3">
        <f t="shared" si="102"/>
        <v>33</v>
      </c>
      <c r="H431" s="3">
        <f t="shared" si="101"/>
        <v>0</v>
      </c>
      <c r="I431" s="3">
        <f t="shared" si="93"/>
        <v>-0.88359544567735382</v>
      </c>
      <c r="J431" s="3">
        <f t="shared" si="94"/>
        <v>-2.3194092382934328</v>
      </c>
      <c r="K431" s="3">
        <f t="shared" si="95"/>
        <v>7.6447766433868403E-8</v>
      </c>
      <c r="L431" s="3">
        <f t="shared" si="100"/>
        <v>-7.6447769372679826E-8</v>
      </c>
      <c r="M431" s="9">
        <f t="shared" si="96"/>
        <v>0.39393939393939392</v>
      </c>
      <c r="N431" s="9">
        <f t="shared" si="97"/>
        <v>0.60606060606060608</v>
      </c>
      <c r="P431">
        <f t="shared" si="98"/>
        <v>374.5</v>
      </c>
      <c r="Q431">
        <f t="shared" si="99"/>
        <v>430.5</v>
      </c>
    </row>
    <row r="432" spans="1:17" x14ac:dyDescent="0.35">
      <c r="A432">
        <v>2025</v>
      </c>
      <c r="B432" s="6">
        <v>246</v>
      </c>
      <c r="C432" s="3">
        <v>19</v>
      </c>
      <c r="D432" s="3">
        <f t="shared" ref="D432:D435" si="105">B432 / 8</f>
        <v>30.75</v>
      </c>
      <c r="E432" s="10">
        <f t="shared" si="104"/>
        <v>0.61499999999999999</v>
      </c>
      <c r="F432" s="10">
        <f t="shared" si="103"/>
        <v>0.38</v>
      </c>
      <c r="G432" s="3">
        <f t="shared" si="102"/>
        <v>49.75</v>
      </c>
      <c r="H432" s="3">
        <f t="shared" si="101"/>
        <v>0</v>
      </c>
      <c r="I432" s="3">
        <f t="shared" si="93"/>
        <v>2.3379847452439666</v>
      </c>
      <c r="J432" s="3">
        <f t="shared" si="94"/>
        <v>-1.5499173722574922</v>
      </c>
      <c r="K432" s="3">
        <f t="shared" si="95"/>
        <v>0.64950775615380518</v>
      </c>
      <c r="L432" s="3">
        <f t="shared" si="100"/>
        <v>-1.0484167015791719</v>
      </c>
      <c r="M432" s="9">
        <f t="shared" si="96"/>
        <v>0.38190954773869346</v>
      </c>
      <c r="N432" s="9">
        <f t="shared" si="97"/>
        <v>0.61809045226130654</v>
      </c>
      <c r="P432">
        <f t="shared" si="98"/>
        <v>9.5</v>
      </c>
      <c r="Q432">
        <f t="shared" si="99"/>
        <v>397.5</v>
      </c>
    </row>
    <row r="433" spans="1:17" x14ac:dyDescent="0.35">
      <c r="A433">
        <v>2025</v>
      </c>
      <c r="B433" s="6">
        <v>235</v>
      </c>
      <c r="C433" s="3">
        <v>37</v>
      </c>
      <c r="D433" s="3">
        <f t="shared" si="105"/>
        <v>29.375</v>
      </c>
      <c r="E433" s="10">
        <f t="shared" si="104"/>
        <v>0.58750000000000002</v>
      </c>
      <c r="F433" s="10">
        <f t="shared" si="103"/>
        <v>0.74</v>
      </c>
      <c r="G433" s="3">
        <f t="shared" si="102"/>
        <v>66.375</v>
      </c>
      <c r="H433" s="3">
        <f t="shared" si="101"/>
        <v>1</v>
      </c>
      <c r="I433" s="3">
        <f t="shared" si="93"/>
        <v>1.9259221626842629</v>
      </c>
      <c r="J433" s="3">
        <f t="shared" si="94"/>
        <v>0.75855822585033006</v>
      </c>
      <c r="K433" s="3">
        <f t="shared" si="95"/>
        <v>0.99999992170285601</v>
      </c>
      <c r="L433" s="3">
        <f t="shared" si="100"/>
        <v>-7.8297147055768193E-8</v>
      </c>
      <c r="M433" s="9">
        <f t="shared" si="96"/>
        <v>0.55743879472693036</v>
      </c>
      <c r="N433" s="9">
        <f t="shared" si="97"/>
        <v>0.44256120527306969</v>
      </c>
      <c r="P433">
        <f t="shared" si="98"/>
        <v>17.5</v>
      </c>
      <c r="Q433">
        <f t="shared" si="99"/>
        <v>128</v>
      </c>
    </row>
    <row r="434" spans="1:17" x14ac:dyDescent="0.35">
      <c r="A434">
        <v>2025</v>
      </c>
      <c r="B434" s="6">
        <v>161</v>
      </c>
      <c r="C434" s="3">
        <v>31</v>
      </c>
      <c r="D434" s="3">
        <f t="shared" si="105"/>
        <v>20.125</v>
      </c>
      <c r="E434" s="10">
        <f t="shared" si="104"/>
        <v>0.40250000000000002</v>
      </c>
      <c r="F434" s="10">
        <f t="shared" si="103"/>
        <v>0.62</v>
      </c>
      <c r="G434" s="3">
        <f t="shared" si="102"/>
        <v>51.125</v>
      </c>
      <c r="H434" s="3">
        <f t="shared" si="101"/>
        <v>1</v>
      </c>
      <c r="I434" s="3">
        <f t="shared" si="93"/>
        <v>-0.84613521089919896</v>
      </c>
      <c r="J434" s="3">
        <f t="shared" si="94"/>
        <v>-1.0933640185610671E-2</v>
      </c>
      <c r="K434" s="3">
        <f t="shared" si="95"/>
        <v>0.71755544213486844</v>
      </c>
      <c r="L434" s="3">
        <f t="shared" si="100"/>
        <v>-0.3319050630655222</v>
      </c>
      <c r="M434" s="9">
        <f t="shared" si="96"/>
        <v>0.60635696821515894</v>
      </c>
      <c r="N434" s="9">
        <f t="shared" si="97"/>
        <v>0.39364303178484106</v>
      </c>
      <c r="P434">
        <f t="shared" si="98"/>
        <v>370</v>
      </c>
      <c r="Q434">
        <f t="shared" si="99"/>
        <v>239.5</v>
      </c>
    </row>
    <row r="435" spans="1:17" x14ac:dyDescent="0.35">
      <c r="A435">
        <v>2025</v>
      </c>
      <c r="B435" s="6">
        <v>183</v>
      </c>
      <c r="C435" s="3">
        <v>23</v>
      </c>
      <c r="D435" s="3">
        <f t="shared" si="105"/>
        <v>22.875</v>
      </c>
      <c r="E435" s="10">
        <f t="shared" si="104"/>
        <v>0.45750000000000002</v>
      </c>
      <c r="F435" s="10">
        <f t="shared" si="103"/>
        <v>0.46</v>
      </c>
      <c r="G435" s="3">
        <f t="shared" si="102"/>
        <v>45.875</v>
      </c>
      <c r="H435" s="3">
        <f t="shared" si="101"/>
        <v>0</v>
      </c>
      <c r="I435" s="3">
        <f t="shared" si="93"/>
        <v>-2.2010045779791373E-2</v>
      </c>
      <c r="J435" s="3">
        <f xml:space="preserve"> (D:D - AVERAGE(D:D)) / STDEV(D:D)</f>
        <v>-2.2010045779791373E-2</v>
      </c>
      <c r="K435" s="3">
        <f t="shared" si="95"/>
        <v>0.97666072047454777</v>
      </c>
      <c r="L435" s="3">
        <f t="shared" si="100"/>
        <v>-3.7576175212611753</v>
      </c>
      <c r="M435" s="9">
        <f t="shared" si="96"/>
        <v>0.50136239782016345</v>
      </c>
      <c r="N435" s="9">
        <f t="shared" si="97"/>
        <v>0.49863760217983649</v>
      </c>
      <c r="P435">
        <f t="shared" si="98"/>
        <v>197</v>
      </c>
      <c r="Q435">
        <f t="shared" si="99"/>
        <v>352.5</v>
      </c>
    </row>
    <row r="436" spans="1:17" x14ac:dyDescent="0.35">
      <c r="L436" s="13">
        <f>SUM(L2:L435)</f>
        <v>-27.440919293529241</v>
      </c>
    </row>
  </sheetData>
  <mergeCells count="5">
    <mergeCell ref="AD6:AO6"/>
    <mergeCell ref="S1:Y1"/>
    <mergeCell ref="S2:W2"/>
    <mergeCell ref="T3:W3"/>
    <mergeCell ref="U4:W4"/>
  </mergeCells>
  <conditionalFormatting sqref="E1:E104857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{9C6133DE-DE54-4B13-BA54-3BA09AF7CF5F}</x14:id>
        </ext>
      </extLst>
    </cfRule>
  </conditionalFormatting>
  <conditionalFormatting sqref="F1:F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{A3722466-2BE6-432F-B7C8-1F8BE0EEC219}</x14:id>
        </ext>
      </extLst>
    </cfRule>
  </conditionalFormatting>
  <conditionalFormatting sqref="M1:M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{C741EE03-28BE-41E9-80EE-52B5B1BC0161}</x14:id>
        </ext>
      </extLst>
    </cfRule>
  </conditionalFormatting>
  <conditionalFormatting sqref="N1:N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{4634E2CD-DC07-4D11-AC17-F4531F1FDC10}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6133DE-DE54-4B13-BA54-3BA09AF7CF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A3722466-2BE6-432F-B7C8-1F8BE0EEC2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C741EE03-28BE-41E9-80EE-52B5B1BC0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4634E2CD-DC07-4D11-AC17-F4531F1FD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 (2)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Ferguson</dc:creator>
  <cp:lastModifiedBy>godswill orugbo</cp:lastModifiedBy>
  <cp:lastPrinted>2026-03-06T18:00:33Z</cp:lastPrinted>
  <dcterms:created xsi:type="dcterms:W3CDTF">2025-10-21T12:06:52Z</dcterms:created>
  <dcterms:modified xsi:type="dcterms:W3CDTF">2026-03-06T18:06:23Z</dcterms:modified>
</cp:coreProperties>
</file>