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efIT\Desktop\"/>
    </mc:Choice>
  </mc:AlternateContent>
  <xr:revisionPtr revIDLastSave="0" documentId="13_ncr:1_{7FDEC2F0-3C14-4181-A8C8-2DAE1D86A1BB}" xr6:coauthVersionLast="47" xr6:coauthVersionMax="47" xr10:uidLastSave="{00000000-0000-0000-0000-000000000000}"/>
  <bookViews>
    <workbookView xWindow="-110" yWindow="-110" windowWidth="19420" windowHeight="11020" xr2:uid="{7B39BAAC-339A-45E9-9435-A07B940BB5D6}"/>
  </bookViews>
  <sheets>
    <sheet name="Sheet1" sheetId="8" r:id="rId1"/>
  </sheets>
  <definedNames>
    <definedName name="solver_adj" localSheetId="0" hidden="1">Sheet1!$AD$25:$AD$27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Sheet1!$L$1145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4" i="8" l="1"/>
  <c r="Y4" i="8"/>
  <c r="R2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Q92" i="8"/>
  <c r="Q93" i="8"/>
  <c r="Q94" i="8"/>
  <c r="Q95" i="8"/>
  <c r="Q96" i="8"/>
  <c r="Q97" i="8"/>
  <c r="Q98" i="8"/>
  <c r="Q99" i="8"/>
  <c r="Q100" i="8"/>
  <c r="Q101" i="8"/>
  <c r="Q102" i="8"/>
  <c r="Q103" i="8"/>
  <c r="Q104" i="8"/>
  <c r="Q105" i="8"/>
  <c r="Q106" i="8"/>
  <c r="Q107" i="8"/>
  <c r="Q108" i="8"/>
  <c r="Q109" i="8"/>
  <c r="Q110" i="8"/>
  <c r="Q111" i="8"/>
  <c r="Q112" i="8"/>
  <c r="Q113" i="8"/>
  <c r="Q114" i="8"/>
  <c r="Q115" i="8"/>
  <c r="Q116" i="8"/>
  <c r="Q117" i="8"/>
  <c r="Q118" i="8"/>
  <c r="Q119" i="8"/>
  <c r="Q120" i="8"/>
  <c r="Q121" i="8"/>
  <c r="Q122" i="8"/>
  <c r="Q123" i="8"/>
  <c r="Q124" i="8"/>
  <c r="Q125" i="8"/>
  <c r="Q126" i="8"/>
  <c r="Q127" i="8"/>
  <c r="Q128" i="8"/>
  <c r="Q129" i="8"/>
  <c r="Q130" i="8"/>
  <c r="Q131" i="8"/>
  <c r="Q132" i="8"/>
  <c r="Q133" i="8"/>
  <c r="Q134" i="8"/>
  <c r="Q135" i="8"/>
  <c r="Q136" i="8"/>
  <c r="Q137" i="8"/>
  <c r="Q138" i="8"/>
  <c r="Q139" i="8"/>
  <c r="Q140" i="8"/>
  <c r="Q141" i="8"/>
  <c r="Q142" i="8"/>
  <c r="Q143" i="8"/>
  <c r="Q144" i="8"/>
  <c r="Q145" i="8"/>
  <c r="Q146" i="8"/>
  <c r="Q147" i="8"/>
  <c r="Q148" i="8"/>
  <c r="Q149" i="8"/>
  <c r="Q150" i="8"/>
  <c r="Q151" i="8"/>
  <c r="Q152" i="8"/>
  <c r="Q153" i="8"/>
  <c r="Q154" i="8"/>
  <c r="Q155" i="8"/>
  <c r="Q156" i="8"/>
  <c r="Q157" i="8"/>
  <c r="Q158" i="8"/>
  <c r="Q159" i="8"/>
  <c r="Q160" i="8"/>
  <c r="Q161" i="8"/>
  <c r="Q162" i="8"/>
  <c r="Q163" i="8"/>
  <c r="Q164" i="8"/>
  <c r="Q165" i="8"/>
  <c r="Q166" i="8"/>
  <c r="Q167" i="8"/>
  <c r="Q168" i="8"/>
  <c r="Q169" i="8"/>
  <c r="Q170" i="8"/>
  <c r="Q171" i="8"/>
  <c r="Q172" i="8"/>
  <c r="Q173" i="8"/>
  <c r="Q174" i="8"/>
  <c r="Q175" i="8"/>
  <c r="Q176" i="8"/>
  <c r="Q177" i="8"/>
  <c r="Q178" i="8"/>
  <c r="Q179" i="8"/>
  <c r="Q180" i="8"/>
  <c r="Q181" i="8"/>
  <c r="Q182" i="8"/>
  <c r="Q183" i="8"/>
  <c r="Q184" i="8"/>
  <c r="Q185" i="8"/>
  <c r="Q186" i="8"/>
  <c r="Q187" i="8"/>
  <c r="Q188" i="8"/>
  <c r="Q189" i="8"/>
  <c r="Q190" i="8"/>
  <c r="Q191" i="8"/>
  <c r="Q192" i="8"/>
  <c r="Q193" i="8"/>
  <c r="Q194" i="8"/>
  <c r="Q195" i="8"/>
  <c r="Q196" i="8"/>
  <c r="Q197" i="8"/>
  <c r="Q198" i="8"/>
  <c r="Q199" i="8"/>
  <c r="Q200" i="8"/>
  <c r="Q201" i="8"/>
  <c r="Q202" i="8"/>
  <c r="Q203" i="8"/>
  <c r="Q204" i="8"/>
  <c r="Q205" i="8"/>
  <c r="Q206" i="8"/>
  <c r="Q207" i="8"/>
  <c r="Q208" i="8"/>
  <c r="Q209" i="8"/>
  <c r="Q210" i="8"/>
  <c r="Q211" i="8"/>
  <c r="Q212" i="8"/>
  <c r="Q213" i="8"/>
  <c r="Q214" i="8"/>
  <c r="Q215" i="8"/>
  <c r="Q216" i="8"/>
  <c r="Q217" i="8"/>
  <c r="Q218" i="8"/>
  <c r="Q219" i="8"/>
  <c r="Q220" i="8"/>
  <c r="Q221" i="8"/>
  <c r="Q222" i="8"/>
  <c r="Q223" i="8"/>
  <c r="Q224" i="8"/>
  <c r="Q225" i="8"/>
  <c r="Q226" i="8"/>
  <c r="Q227" i="8"/>
  <c r="Q228" i="8"/>
  <c r="Q229" i="8"/>
  <c r="Q230" i="8"/>
  <c r="Q231" i="8"/>
  <c r="Q232" i="8"/>
  <c r="Q233" i="8"/>
  <c r="Q234" i="8"/>
  <c r="Q235" i="8"/>
  <c r="Q236" i="8"/>
  <c r="Q237" i="8"/>
  <c r="Q238" i="8"/>
  <c r="Q239" i="8"/>
  <c r="Q240" i="8"/>
  <c r="Q241" i="8"/>
  <c r="Q242" i="8"/>
  <c r="Q243" i="8"/>
  <c r="Q244" i="8"/>
  <c r="Q245" i="8"/>
  <c r="Q246" i="8"/>
  <c r="Q247" i="8"/>
  <c r="Q248" i="8"/>
  <c r="Q249" i="8"/>
  <c r="Q250" i="8"/>
  <c r="Q251" i="8"/>
  <c r="Q252" i="8"/>
  <c r="Q253" i="8"/>
  <c r="Q254" i="8"/>
  <c r="Q255" i="8"/>
  <c r="Q256" i="8"/>
  <c r="Q257" i="8"/>
  <c r="Q258" i="8"/>
  <c r="Q259" i="8"/>
  <c r="Q260" i="8"/>
  <c r="Q261" i="8"/>
  <c r="Q262" i="8"/>
  <c r="Q263" i="8"/>
  <c r="Q264" i="8"/>
  <c r="Q265" i="8"/>
  <c r="Q266" i="8"/>
  <c r="Q267" i="8"/>
  <c r="Q268" i="8"/>
  <c r="Q269" i="8"/>
  <c r="Q270" i="8"/>
  <c r="Q271" i="8"/>
  <c r="Q272" i="8"/>
  <c r="Q273" i="8"/>
  <c r="Q274" i="8"/>
  <c r="Q275" i="8"/>
  <c r="Q276" i="8"/>
  <c r="Q277" i="8"/>
  <c r="Q278" i="8"/>
  <c r="Q279" i="8"/>
  <c r="Q280" i="8"/>
  <c r="Q281" i="8"/>
  <c r="Q282" i="8"/>
  <c r="Q283" i="8"/>
  <c r="Q284" i="8"/>
  <c r="Q285" i="8"/>
  <c r="Q286" i="8"/>
  <c r="Q287" i="8"/>
  <c r="Q288" i="8"/>
  <c r="Q289" i="8"/>
  <c r="Q290" i="8"/>
  <c r="Q291" i="8"/>
  <c r="Q292" i="8"/>
  <c r="Q293" i="8"/>
  <c r="Q294" i="8"/>
  <c r="Q295" i="8"/>
  <c r="Q296" i="8"/>
  <c r="Q297" i="8"/>
  <c r="Q298" i="8"/>
  <c r="Q299" i="8"/>
  <c r="Q300" i="8"/>
  <c r="Q301" i="8"/>
  <c r="Q302" i="8"/>
  <c r="Q303" i="8"/>
  <c r="Q304" i="8"/>
  <c r="Q305" i="8"/>
  <c r="Q306" i="8"/>
  <c r="Q307" i="8"/>
  <c r="Q308" i="8"/>
  <c r="Q309" i="8"/>
  <c r="Q310" i="8"/>
  <c r="Q311" i="8"/>
  <c r="Q312" i="8"/>
  <c r="Q313" i="8"/>
  <c r="Q314" i="8"/>
  <c r="Q315" i="8"/>
  <c r="Q316" i="8"/>
  <c r="Q317" i="8"/>
  <c r="Q318" i="8"/>
  <c r="Q319" i="8"/>
  <c r="Q320" i="8"/>
  <c r="Q321" i="8"/>
  <c r="Q322" i="8"/>
  <c r="Q323" i="8"/>
  <c r="Q324" i="8"/>
  <c r="Q325" i="8"/>
  <c r="Q326" i="8"/>
  <c r="Q327" i="8"/>
  <c r="Q328" i="8"/>
  <c r="Q329" i="8"/>
  <c r="Q330" i="8"/>
  <c r="Q331" i="8"/>
  <c r="Q332" i="8"/>
  <c r="Q333" i="8"/>
  <c r="Q334" i="8"/>
  <c r="Q335" i="8"/>
  <c r="Q336" i="8"/>
  <c r="Q337" i="8"/>
  <c r="Q338" i="8"/>
  <c r="Q339" i="8"/>
  <c r="Q340" i="8"/>
  <c r="Q341" i="8"/>
  <c r="Q342" i="8"/>
  <c r="Q343" i="8"/>
  <c r="Q344" i="8"/>
  <c r="Q345" i="8"/>
  <c r="Q346" i="8"/>
  <c r="Q347" i="8"/>
  <c r="Q348" i="8"/>
  <c r="Q349" i="8"/>
  <c r="Q350" i="8"/>
  <c r="Q351" i="8"/>
  <c r="Q352" i="8"/>
  <c r="Q353" i="8"/>
  <c r="Q354" i="8"/>
  <c r="Q355" i="8"/>
  <c r="Q356" i="8"/>
  <c r="Q357" i="8"/>
  <c r="Q358" i="8"/>
  <c r="Q359" i="8"/>
  <c r="Q360" i="8"/>
  <c r="Q361" i="8"/>
  <c r="Q362" i="8"/>
  <c r="Q363" i="8"/>
  <c r="Q364" i="8"/>
  <c r="Q365" i="8"/>
  <c r="Q366" i="8"/>
  <c r="Q367" i="8"/>
  <c r="Q368" i="8"/>
  <c r="Q369" i="8"/>
  <c r="Q370" i="8"/>
  <c r="Q371" i="8"/>
  <c r="Q372" i="8"/>
  <c r="Q373" i="8"/>
  <c r="Q374" i="8"/>
  <c r="Q375" i="8"/>
  <c r="Q376" i="8"/>
  <c r="Q377" i="8"/>
  <c r="Q378" i="8"/>
  <c r="Q379" i="8"/>
  <c r="Q380" i="8"/>
  <c r="Q381" i="8"/>
  <c r="Q382" i="8"/>
  <c r="Q383" i="8"/>
  <c r="Q384" i="8"/>
  <c r="Q385" i="8"/>
  <c r="Q386" i="8"/>
  <c r="Q387" i="8"/>
  <c r="Q388" i="8"/>
  <c r="Q389" i="8"/>
  <c r="Q390" i="8"/>
  <c r="Q391" i="8"/>
  <c r="Q392" i="8"/>
  <c r="Q393" i="8"/>
  <c r="Q394" i="8"/>
  <c r="Q395" i="8"/>
  <c r="Q396" i="8"/>
  <c r="Q397" i="8"/>
  <c r="Q398" i="8"/>
  <c r="Q399" i="8"/>
  <c r="Q400" i="8"/>
  <c r="Q401" i="8"/>
  <c r="Q402" i="8"/>
  <c r="Q403" i="8"/>
  <c r="Q404" i="8"/>
  <c r="Q405" i="8"/>
  <c r="Q406" i="8"/>
  <c r="Q407" i="8"/>
  <c r="Q408" i="8"/>
  <c r="Q409" i="8"/>
  <c r="Q410" i="8"/>
  <c r="Q411" i="8"/>
  <c r="Q412" i="8"/>
  <c r="Q413" i="8"/>
  <c r="Q414" i="8"/>
  <c r="Q415" i="8"/>
  <c r="Q416" i="8"/>
  <c r="Q417" i="8"/>
  <c r="Q418" i="8"/>
  <c r="Q419" i="8"/>
  <c r="Q420" i="8"/>
  <c r="Q421" i="8"/>
  <c r="Q422" i="8"/>
  <c r="Q423" i="8"/>
  <c r="Q424" i="8"/>
  <c r="Q425" i="8"/>
  <c r="Q426" i="8"/>
  <c r="Q427" i="8"/>
  <c r="Q428" i="8"/>
  <c r="Q429" i="8"/>
  <c r="Q430" i="8"/>
  <c r="Q431" i="8"/>
  <c r="Q432" i="8"/>
  <c r="Q433" i="8"/>
  <c r="Q434" i="8"/>
  <c r="Q435" i="8"/>
  <c r="Q436" i="8"/>
  <c r="Q437" i="8"/>
  <c r="Q438" i="8"/>
  <c r="Q439" i="8"/>
  <c r="Q440" i="8"/>
  <c r="Q441" i="8"/>
  <c r="Q442" i="8"/>
  <c r="Q443" i="8"/>
  <c r="Q444" i="8"/>
  <c r="Q445" i="8"/>
  <c r="Q446" i="8"/>
  <c r="Q447" i="8"/>
  <c r="Q448" i="8"/>
  <c r="Q449" i="8"/>
  <c r="Q450" i="8"/>
  <c r="Q451" i="8"/>
  <c r="Q452" i="8"/>
  <c r="Q453" i="8"/>
  <c r="Q454" i="8"/>
  <c r="Q455" i="8"/>
  <c r="Q456" i="8"/>
  <c r="Q457" i="8"/>
  <c r="Q458" i="8"/>
  <c r="Q459" i="8"/>
  <c r="Q460" i="8"/>
  <c r="Q461" i="8"/>
  <c r="Q462" i="8"/>
  <c r="Q463" i="8"/>
  <c r="Q464" i="8"/>
  <c r="Q465" i="8"/>
  <c r="Q466" i="8"/>
  <c r="Q467" i="8"/>
  <c r="Q468" i="8"/>
  <c r="Q469" i="8"/>
  <c r="Q470" i="8"/>
  <c r="Q471" i="8"/>
  <c r="Q472" i="8"/>
  <c r="Q473" i="8"/>
  <c r="Q474" i="8"/>
  <c r="Q475" i="8"/>
  <c r="Q476" i="8"/>
  <c r="Q477" i="8"/>
  <c r="Q478" i="8"/>
  <c r="Q479" i="8"/>
  <c r="Q480" i="8"/>
  <c r="Q481" i="8"/>
  <c r="Q482" i="8"/>
  <c r="Q483" i="8"/>
  <c r="Q484" i="8"/>
  <c r="Q485" i="8"/>
  <c r="Q486" i="8"/>
  <c r="Q487" i="8"/>
  <c r="Q488" i="8"/>
  <c r="Q489" i="8"/>
  <c r="Q490" i="8"/>
  <c r="Q491" i="8"/>
  <c r="Q492" i="8"/>
  <c r="Q493" i="8"/>
  <c r="Q494" i="8"/>
  <c r="Q495" i="8"/>
  <c r="Q496" i="8"/>
  <c r="Q497" i="8"/>
  <c r="Q498" i="8"/>
  <c r="Q499" i="8"/>
  <c r="Q500" i="8"/>
  <c r="Q501" i="8"/>
  <c r="Q502" i="8"/>
  <c r="Q503" i="8"/>
  <c r="Q504" i="8"/>
  <c r="Q505" i="8"/>
  <c r="Q506" i="8"/>
  <c r="Q507" i="8"/>
  <c r="Q508" i="8"/>
  <c r="Q509" i="8"/>
  <c r="Q510" i="8"/>
  <c r="Q511" i="8"/>
  <c r="Q512" i="8"/>
  <c r="Q513" i="8"/>
  <c r="Q514" i="8"/>
  <c r="Q515" i="8"/>
  <c r="Q516" i="8"/>
  <c r="Q517" i="8"/>
  <c r="Q518" i="8"/>
  <c r="Q519" i="8"/>
  <c r="Q520" i="8"/>
  <c r="Q521" i="8"/>
  <c r="Q522" i="8"/>
  <c r="Q523" i="8"/>
  <c r="Q524" i="8"/>
  <c r="Q525" i="8"/>
  <c r="Q526" i="8"/>
  <c r="Q527" i="8"/>
  <c r="Q528" i="8"/>
  <c r="Q529" i="8"/>
  <c r="Q530" i="8"/>
  <c r="Q531" i="8"/>
  <c r="Q532" i="8"/>
  <c r="Q533" i="8"/>
  <c r="Q534" i="8"/>
  <c r="Q535" i="8"/>
  <c r="Q536" i="8"/>
  <c r="Q537" i="8"/>
  <c r="Q538" i="8"/>
  <c r="Q539" i="8"/>
  <c r="Q540" i="8"/>
  <c r="Q541" i="8"/>
  <c r="Q542" i="8"/>
  <c r="Q543" i="8"/>
  <c r="Q544" i="8"/>
  <c r="Q545" i="8"/>
  <c r="Q546" i="8"/>
  <c r="Q547" i="8"/>
  <c r="Q548" i="8"/>
  <c r="Q549" i="8"/>
  <c r="Q550" i="8"/>
  <c r="Q551" i="8"/>
  <c r="Q552" i="8"/>
  <c r="Q553" i="8"/>
  <c r="Q554" i="8"/>
  <c r="Q555" i="8"/>
  <c r="Q556" i="8"/>
  <c r="Q557" i="8"/>
  <c r="Q558" i="8"/>
  <c r="Q559" i="8"/>
  <c r="Q560" i="8"/>
  <c r="Q561" i="8"/>
  <c r="Q562" i="8"/>
  <c r="Q563" i="8"/>
  <c r="Q564" i="8"/>
  <c r="Q565" i="8"/>
  <c r="Q566" i="8"/>
  <c r="Q567" i="8"/>
  <c r="Q568" i="8"/>
  <c r="Q569" i="8"/>
  <c r="Q570" i="8"/>
  <c r="Q571" i="8"/>
  <c r="Q572" i="8"/>
  <c r="Q573" i="8"/>
  <c r="Q574" i="8"/>
  <c r="Q575" i="8"/>
  <c r="Q576" i="8"/>
  <c r="Q577" i="8"/>
  <c r="Q578" i="8"/>
  <c r="Q579" i="8"/>
  <c r="Q580" i="8"/>
  <c r="Q581" i="8"/>
  <c r="Q582" i="8"/>
  <c r="Q583" i="8"/>
  <c r="Q584" i="8"/>
  <c r="Q585" i="8"/>
  <c r="Q586" i="8"/>
  <c r="Q587" i="8"/>
  <c r="Q588" i="8"/>
  <c r="Q589" i="8"/>
  <c r="Q590" i="8"/>
  <c r="Q591" i="8"/>
  <c r="Q592" i="8"/>
  <c r="Q593" i="8"/>
  <c r="Q594" i="8"/>
  <c r="Q595" i="8"/>
  <c r="Q596" i="8"/>
  <c r="Q597" i="8"/>
  <c r="Q598" i="8"/>
  <c r="Q599" i="8"/>
  <c r="Q600" i="8"/>
  <c r="Q601" i="8"/>
  <c r="Q602" i="8"/>
  <c r="Q603" i="8"/>
  <c r="Q604" i="8"/>
  <c r="Q605" i="8"/>
  <c r="Q606" i="8"/>
  <c r="Q607" i="8"/>
  <c r="Q608" i="8"/>
  <c r="Q609" i="8"/>
  <c r="Q610" i="8"/>
  <c r="Q611" i="8"/>
  <c r="Q612" i="8"/>
  <c r="Q613" i="8"/>
  <c r="Q614" i="8"/>
  <c r="Q615" i="8"/>
  <c r="Q616" i="8"/>
  <c r="Q617" i="8"/>
  <c r="Q618" i="8"/>
  <c r="Q619" i="8"/>
  <c r="Q620" i="8"/>
  <c r="Q621" i="8"/>
  <c r="Q622" i="8"/>
  <c r="Q623" i="8"/>
  <c r="Q624" i="8"/>
  <c r="Q625" i="8"/>
  <c r="Q626" i="8"/>
  <c r="Q627" i="8"/>
  <c r="Q628" i="8"/>
  <c r="Q629" i="8"/>
  <c r="Q630" i="8"/>
  <c r="Q631" i="8"/>
  <c r="Q632" i="8"/>
  <c r="Q633" i="8"/>
  <c r="Q634" i="8"/>
  <c r="Q635" i="8"/>
  <c r="Q636" i="8"/>
  <c r="Q637" i="8"/>
  <c r="Q638" i="8"/>
  <c r="Q639" i="8"/>
  <c r="Q640" i="8"/>
  <c r="Q641" i="8"/>
  <c r="Q642" i="8"/>
  <c r="Q643" i="8"/>
  <c r="Q644" i="8"/>
  <c r="Q645" i="8"/>
  <c r="Q646" i="8"/>
  <c r="Q647" i="8"/>
  <c r="Q648" i="8"/>
  <c r="Q649" i="8"/>
  <c r="Q650" i="8"/>
  <c r="Q651" i="8"/>
  <c r="Q652" i="8"/>
  <c r="Q653" i="8"/>
  <c r="Q654" i="8"/>
  <c r="Q655" i="8"/>
  <c r="Q656" i="8"/>
  <c r="Q657" i="8"/>
  <c r="Q658" i="8"/>
  <c r="Q659" i="8"/>
  <c r="Q660" i="8"/>
  <c r="Q661" i="8"/>
  <c r="Q662" i="8"/>
  <c r="Q663" i="8"/>
  <c r="Q664" i="8"/>
  <c r="Q665" i="8"/>
  <c r="Q666" i="8"/>
  <c r="Q667" i="8"/>
  <c r="Q668" i="8"/>
  <c r="Q669" i="8"/>
  <c r="Q670" i="8"/>
  <c r="Q671" i="8"/>
  <c r="Q672" i="8"/>
  <c r="Q673" i="8"/>
  <c r="Q674" i="8"/>
  <c r="Q675" i="8"/>
  <c r="Q676" i="8"/>
  <c r="Q677" i="8"/>
  <c r="Q678" i="8"/>
  <c r="Q679" i="8"/>
  <c r="Q680" i="8"/>
  <c r="Q681" i="8"/>
  <c r="Q682" i="8"/>
  <c r="Q683" i="8"/>
  <c r="Q684" i="8"/>
  <c r="Q685" i="8"/>
  <c r="Q686" i="8"/>
  <c r="Q687" i="8"/>
  <c r="Q688" i="8"/>
  <c r="Q689" i="8"/>
  <c r="Q690" i="8"/>
  <c r="Q691" i="8"/>
  <c r="Q692" i="8"/>
  <c r="Q693" i="8"/>
  <c r="Q694" i="8"/>
  <c r="Q695" i="8"/>
  <c r="Q696" i="8"/>
  <c r="Q697" i="8"/>
  <c r="Q698" i="8"/>
  <c r="Q699" i="8"/>
  <c r="Q700" i="8"/>
  <c r="Q701" i="8"/>
  <c r="Q702" i="8"/>
  <c r="Q703" i="8"/>
  <c r="Q704" i="8"/>
  <c r="Q705" i="8"/>
  <c r="Q706" i="8"/>
  <c r="Q707" i="8"/>
  <c r="Q708" i="8"/>
  <c r="Q709" i="8"/>
  <c r="Q710" i="8"/>
  <c r="Q711" i="8"/>
  <c r="Q712" i="8"/>
  <c r="Q713" i="8"/>
  <c r="Q714" i="8"/>
  <c r="Q715" i="8"/>
  <c r="Q716" i="8"/>
  <c r="Q717" i="8"/>
  <c r="Q718" i="8"/>
  <c r="Q719" i="8"/>
  <c r="Q720" i="8"/>
  <c r="Q721" i="8"/>
  <c r="Q722" i="8"/>
  <c r="Q723" i="8"/>
  <c r="Q724" i="8"/>
  <c r="Q725" i="8"/>
  <c r="Q726" i="8"/>
  <c r="Q727" i="8"/>
  <c r="Q728" i="8"/>
  <c r="Q729" i="8"/>
  <c r="Q730" i="8"/>
  <c r="Q731" i="8"/>
  <c r="Q732" i="8"/>
  <c r="Q733" i="8"/>
  <c r="Q734" i="8"/>
  <c r="Q735" i="8"/>
  <c r="Q736" i="8"/>
  <c r="Q737" i="8"/>
  <c r="Q738" i="8"/>
  <c r="Q739" i="8"/>
  <c r="Q740" i="8"/>
  <c r="Q741" i="8"/>
  <c r="Q742" i="8"/>
  <c r="Q743" i="8"/>
  <c r="Q744" i="8"/>
  <c r="Q745" i="8"/>
  <c r="Q746" i="8"/>
  <c r="Q747" i="8"/>
  <c r="Q748" i="8"/>
  <c r="Q749" i="8"/>
  <c r="Q750" i="8"/>
  <c r="Q751" i="8"/>
  <c r="Q752" i="8"/>
  <c r="Q753" i="8"/>
  <c r="Q754" i="8"/>
  <c r="Q755" i="8"/>
  <c r="Q756" i="8"/>
  <c r="Q757" i="8"/>
  <c r="Q758" i="8"/>
  <c r="Q759" i="8"/>
  <c r="Q760" i="8"/>
  <c r="Q761" i="8"/>
  <c r="Q762" i="8"/>
  <c r="Q763" i="8"/>
  <c r="Q764" i="8"/>
  <c r="Q765" i="8"/>
  <c r="Q766" i="8"/>
  <c r="Q767" i="8"/>
  <c r="Q768" i="8"/>
  <c r="Q769" i="8"/>
  <c r="Q770" i="8"/>
  <c r="Q771" i="8"/>
  <c r="Q772" i="8"/>
  <c r="Q773" i="8"/>
  <c r="Q774" i="8"/>
  <c r="Q775" i="8"/>
  <c r="Q776" i="8"/>
  <c r="Q777" i="8"/>
  <c r="Q778" i="8"/>
  <c r="Q779" i="8"/>
  <c r="Q780" i="8"/>
  <c r="Q781" i="8"/>
  <c r="Q782" i="8"/>
  <c r="Q783" i="8"/>
  <c r="Q784" i="8"/>
  <c r="Q785" i="8"/>
  <c r="Q786" i="8"/>
  <c r="Q787" i="8"/>
  <c r="Q788" i="8"/>
  <c r="Q789" i="8"/>
  <c r="Q790" i="8"/>
  <c r="Q791" i="8"/>
  <c r="Q792" i="8"/>
  <c r="Q793" i="8"/>
  <c r="Q794" i="8"/>
  <c r="Q795" i="8"/>
  <c r="Q796" i="8"/>
  <c r="Q797" i="8"/>
  <c r="Q798" i="8"/>
  <c r="Q799" i="8"/>
  <c r="Q800" i="8"/>
  <c r="Q801" i="8"/>
  <c r="Q802" i="8"/>
  <c r="Q803" i="8"/>
  <c r="Q804" i="8"/>
  <c r="Q805" i="8"/>
  <c r="Q806" i="8"/>
  <c r="Q807" i="8"/>
  <c r="Q808" i="8"/>
  <c r="Q809" i="8"/>
  <c r="Q810" i="8"/>
  <c r="Q811" i="8"/>
  <c r="Q812" i="8"/>
  <c r="Q813" i="8"/>
  <c r="Q814" i="8"/>
  <c r="Q815" i="8"/>
  <c r="Q816" i="8"/>
  <c r="Q817" i="8"/>
  <c r="Q818" i="8"/>
  <c r="Q819" i="8"/>
  <c r="Q820" i="8"/>
  <c r="Q821" i="8"/>
  <c r="Q822" i="8"/>
  <c r="Q823" i="8"/>
  <c r="Q824" i="8"/>
  <c r="Q825" i="8"/>
  <c r="Q826" i="8"/>
  <c r="Q827" i="8"/>
  <c r="Q828" i="8"/>
  <c r="Q829" i="8"/>
  <c r="Q830" i="8"/>
  <c r="Q831" i="8"/>
  <c r="Q832" i="8"/>
  <c r="Q833" i="8"/>
  <c r="Q834" i="8"/>
  <c r="Q835" i="8"/>
  <c r="Q836" i="8"/>
  <c r="Q837" i="8"/>
  <c r="Q838" i="8"/>
  <c r="Q839" i="8"/>
  <c r="Q840" i="8"/>
  <c r="Q841" i="8"/>
  <c r="Q842" i="8"/>
  <c r="Q843" i="8"/>
  <c r="Q844" i="8"/>
  <c r="Q845" i="8"/>
  <c r="Q846" i="8"/>
  <c r="Q847" i="8"/>
  <c r="Q848" i="8"/>
  <c r="Q849" i="8"/>
  <c r="Q850" i="8"/>
  <c r="Q851" i="8"/>
  <c r="Q852" i="8"/>
  <c r="Q853" i="8"/>
  <c r="Q854" i="8"/>
  <c r="Q855" i="8"/>
  <c r="Q856" i="8"/>
  <c r="Q857" i="8"/>
  <c r="Q858" i="8"/>
  <c r="Q859" i="8"/>
  <c r="Q860" i="8"/>
  <c r="Q861" i="8"/>
  <c r="Q862" i="8"/>
  <c r="Q863" i="8"/>
  <c r="Q864" i="8"/>
  <c r="Q865" i="8"/>
  <c r="Q866" i="8"/>
  <c r="Q867" i="8"/>
  <c r="Q868" i="8"/>
  <c r="Q869" i="8"/>
  <c r="Q870" i="8"/>
  <c r="Q871" i="8"/>
  <c r="Q872" i="8"/>
  <c r="Q873" i="8"/>
  <c r="Q874" i="8"/>
  <c r="Q875" i="8"/>
  <c r="Q876" i="8"/>
  <c r="Q877" i="8"/>
  <c r="Q878" i="8"/>
  <c r="Q879" i="8"/>
  <c r="Q880" i="8"/>
  <c r="Q881" i="8"/>
  <c r="Q882" i="8"/>
  <c r="Q883" i="8"/>
  <c r="Q884" i="8"/>
  <c r="Q885" i="8"/>
  <c r="Q886" i="8"/>
  <c r="Q887" i="8"/>
  <c r="Q888" i="8"/>
  <c r="Q889" i="8"/>
  <c r="Q890" i="8"/>
  <c r="Q891" i="8"/>
  <c r="Q892" i="8"/>
  <c r="Q893" i="8"/>
  <c r="Q894" i="8"/>
  <c r="Q895" i="8"/>
  <c r="Q896" i="8"/>
  <c r="Q897" i="8"/>
  <c r="Q898" i="8"/>
  <c r="Q899" i="8"/>
  <c r="Q900" i="8"/>
  <c r="Q901" i="8"/>
  <c r="Q902" i="8"/>
  <c r="Q903" i="8"/>
  <c r="Q904" i="8"/>
  <c r="Q905" i="8"/>
  <c r="Q906" i="8"/>
  <c r="Q907" i="8"/>
  <c r="Q908" i="8"/>
  <c r="Q909" i="8"/>
  <c r="Q910" i="8"/>
  <c r="Q911" i="8"/>
  <c r="Q912" i="8"/>
  <c r="Q913" i="8"/>
  <c r="Q914" i="8"/>
  <c r="Q915" i="8"/>
  <c r="Q916" i="8"/>
  <c r="Q917" i="8"/>
  <c r="Q918" i="8"/>
  <c r="Q919" i="8"/>
  <c r="Q920" i="8"/>
  <c r="Q921" i="8"/>
  <c r="Q922" i="8"/>
  <c r="Q923" i="8"/>
  <c r="Q924" i="8"/>
  <c r="Q925" i="8"/>
  <c r="Q926" i="8"/>
  <c r="Q927" i="8"/>
  <c r="Q928" i="8"/>
  <c r="Q929" i="8"/>
  <c r="Q930" i="8"/>
  <c r="Q931" i="8"/>
  <c r="Q932" i="8"/>
  <c r="Q933" i="8"/>
  <c r="Q934" i="8"/>
  <c r="Q935" i="8"/>
  <c r="Q936" i="8"/>
  <c r="Q937" i="8"/>
  <c r="Q938" i="8"/>
  <c r="Q939" i="8"/>
  <c r="Q940" i="8"/>
  <c r="Q941" i="8"/>
  <c r="Q942" i="8"/>
  <c r="Q943" i="8"/>
  <c r="Q944" i="8"/>
  <c r="Q945" i="8"/>
  <c r="Q946" i="8"/>
  <c r="Q947" i="8"/>
  <c r="Q948" i="8"/>
  <c r="Q949" i="8"/>
  <c r="Q950" i="8"/>
  <c r="Q951" i="8"/>
  <c r="Q952" i="8"/>
  <c r="Q953" i="8"/>
  <c r="Q954" i="8"/>
  <c r="Q955" i="8"/>
  <c r="Q956" i="8"/>
  <c r="Q957" i="8"/>
  <c r="Q958" i="8"/>
  <c r="Q959" i="8"/>
  <c r="Q960" i="8"/>
  <c r="Q961" i="8"/>
  <c r="Q962" i="8"/>
  <c r="Q963" i="8"/>
  <c r="Q964" i="8"/>
  <c r="Q965" i="8"/>
  <c r="Q966" i="8"/>
  <c r="Q967" i="8"/>
  <c r="Q968" i="8"/>
  <c r="Q969" i="8"/>
  <c r="Q970" i="8"/>
  <c r="Q971" i="8"/>
  <c r="Q972" i="8"/>
  <c r="Q973" i="8"/>
  <c r="Q974" i="8"/>
  <c r="Q975" i="8"/>
  <c r="Q976" i="8"/>
  <c r="Q977" i="8"/>
  <c r="Q978" i="8"/>
  <c r="Q979" i="8"/>
  <c r="Q980" i="8"/>
  <c r="Q981" i="8"/>
  <c r="Q982" i="8"/>
  <c r="Q983" i="8"/>
  <c r="Q984" i="8"/>
  <c r="Q985" i="8"/>
  <c r="Q986" i="8"/>
  <c r="Q987" i="8"/>
  <c r="Q988" i="8"/>
  <c r="Q989" i="8"/>
  <c r="Q990" i="8"/>
  <c r="Q991" i="8"/>
  <c r="Q992" i="8"/>
  <c r="Q993" i="8"/>
  <c r="Q994" i="8"/>
  <c r="Q995" i="8"/>
  <c r="Q996" i="8"/>
  <c r="Q997" i="8"/>
  <c r="Q998" i="8"/>
  <c r="Q999" i="8"/>
  <c r="Q1000" i="8"/>
  <c r="Q1001" i="8"/>
  <c r="Q1002" i="8"/>
  <c r="Q1003" i="8"/>
  <c r="Q1004" i="8"/>
  <c r="Q1005" i="8"/>
  <c r="Q1006" i="8"/>
  <c r="Q1007" i="8"/>
  <c r="Q1008" i="8"/>
  <c r="Q1009" i="8"/>
  <c r="Q1010" i="8"/>
  <c r="Q1011" i="8"/>
  <c r="Q1012" i="8"/>
  <c r="Q1013" i="8"/>
  <c r="Q1014" i="8"/>
  <c r="Q1015" i="8"/>
  <c r="Q1016" i="8"/>
  <c r="Q1017" i="8"/>
  <c r="Q1018" i="8"/>
  <c r="Q1019" i="8"/>
  <c r="Q1020" i="8"/>
  <c r="Q1021" i="8"/>
  <c r="Q1022" i="8"/>
  <c r="Q1023" i="8"/>
  <c r="Q1024" i="8"/>
  <c r="Q1025" i="8"/>
  <c r="Q1026" i="8"/>
  <c r="Q1027" i="8"/>
  <c r="Q1028" i="8"/>
  <c r="Q1029" i="8"/>
  <c r="Q1030" i="8"/>
  <c r="Q1031" i="8"/>
  <c r="Q1032" i="8"/>
  <c r="Q1033" i="8"/>
  <c r="Q1034" i="8"/>
  <c r="Q1035" i="8"/>
  <c r="Q1036" i="8"/>
  <c r="Q1037" i="8"/>
  <c r="Q1038" i="8"/>
  <c r="Q1039" i="8"/>
  <c r="Q1040" i="8"/>
  <c r="Q1041" i="8"/>
  <c r="Q1042" i="8"/>
  <c r="Q1043" i="8"/>
  <c r="Q1044" i="8"/>
  <c r="Q1045" i="8"/>
  <c r="Q1046" i="8"/>
  <c r="Q1047" i="8"/>
  <c r="Q1048" i="8"/>
  <c r="Q1049" i="8"/>
  <c r="Q1050" i="8"/>
  <c r="Q1051" i="8"/>
  <c r="Q1052" i="8"/>
  <c r="Q1053" i="8"/>
  <c r="Q1054" i="8"/>
  <c r="Q1055" i="8"/>
  <c r="Q1056" i="8"/>
  <c r="Q1057" i="8"/>
  <c r="Q1058" i="8"/>
  <c r="Q1059" i="8"/>
  <c r="Q1060" i="8"/>
  <c r="Q1061" i="8"/>
  <c r="Q1062" i="8"/>
  <c r="Q1063" i="8"/>
  <c r="Q1064" i="8"/>
  <c r="Q1065" i="8"/>
  <c r="Q1066" i="8"/>
  <c r="Q1067" i="8"/>
  <c r="Q1068" i="8"/>
  <c r="Q1069" i="8"/>
  <c r="Q1070" i="8"/>
  <c r="Q1071" i="8"/>
  <c r="Q1072" i="8"/>
  <c r="Q1073" i="8"/>
  <c r="Q1074" i="8"/>
  <c r="Q1075" i="8"/>
  <c r="Q1076" i="8"/>
  <c r="Q1077" i="8"/>
  <c r="Q1078" i="8"/>
  <c r="Q1079" i="8"/>
  <c r="Q1080" i="8"/>
  <c r="Q1081" i="8"/>
  <c r="Q1082" i="8"/>
  <c r="Q1083" i="8"/>
  <c r="Q1084" i="8"/>
  <c r="Q1085" i="8"/>
  <c r="Q1086" i="8"/>
  <c r="Q1087" i="8"/>
  <c r="Q1088" i="8"/>
  <c r="Q1089" i="8"/>
  <c r="Q1090" i="8"/>
  <c r="Q1091" i="8"/>
  <c r="Q1092" i="8"/>
  <c r="Q1093" i="8"/>
  <c r="Q1094" i="8"/>
  <c r="Q1095" i="8"/>
  <c r="Q1096" i="8"/>
  <c r="Q1097" i="8"/>
  <c r="Q1098" i="8"/>
  <c r="Q1099" i="8"/>
  <c r="Q1100" i="8"/>
  <c r="Q1101" i="8"/>
  <c r="Q1102" i="8"/>
  <c r="Q1103" i="8"/>
  <c r="Q1104" i="8"/>
  <c r="Q1105" i="8"/>
  <c r="Q1106" i="8"/>
  <c r="Q1107" i="8"/>
  <c r="Q1108" i="8"/>
  <c r="Q1109" i="8"/>
  <c r="Q1110" i="8"/>
  <c r="Q1111" i="8"/>
  <c r="Q1112" i="8"/>
  <c r="Q1113" i="8"/>
  <c r="Q1114" i="8"/>
  <c r="Q1115" i="8"/>
  <c r="Q1116" i="8"/>
  <c r="Q1117" i="8"/>
  <c r="Q1118" i="8"/>
  <c r="Q1119" i="8"/>
  <c r="Q1120" i="8"/>
  <c r="Q1121" i="8"/>
  <c r="Q1122" i="8"/>
  <c r="Q1123" i="8"/>
  <c r="Q1124" i="8"/>
  <c r="Q1125" i="8"/>
  <c r="Q1126" i="8"/>
  <c r="Q1127" i="8"/>
  <c r="Q1128" i="8"/>
  <c r="Q1129" i="8"/>
  <c r="Q1130" i="8"/>
  <c r="Q1131" i="8"/>
  <c r="Q1132" i="8"/>
  <c r="Q1133" i="8"/>
  <c r="Q1134" i="8"/>
  <c r="Q1135" i="8"/>
  <c r="Q1136" i="8"/>
  <c r="Q1137" i="8"/>
  <c r="Q1138" i="8"/>
  <c r="Q1139" i="8"/>
  <c r="Q1140" i="8"/>
  <c r="Q1141" i="8"/>
  <c r="Q1142" i="8"/>
  <c r="Q1143" i="8"/>
  <c r="Q1144" i="8"/>
  <c r="Q2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P96" i="8"/>
  <c r="P97" i="8"/>
  <c r="P98" i="8"/>
  <c r="P99" i="8"/>
  <c r="P100" i="8"/>
  <c r="P101" i="8"/>
  <c r="P102" i="8"/>
  <c r="P103" i="8"/>
  <c r="P104" i="8"/>
  <c r="P105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5" i="8"/>
  <c r="P126" i="8"/>
  <c r="P127" i="8"/>
  <c r="P128" i="8"/>
  <c r="P129" i="8"/>
  <c r="P130" i="8"/>
  <c r="P131" i="8"/>
  <c r="P132" i="8"/>
  <c r="P133" i="8"/>
  <c r="P134" i="8"/>
  <c r="P135" i="8"/>
  <c r="P136" i="8"/>
  <c r="P137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3" i="8"/>
  <c r="P174" i="8"/>
  <c r="P175" i="8"/>
  <c r="P176" i="8"/>
  <c r="P177" i="8"/>
  <c r="P178" i="8"/>
  <c r="P179" i="8"/>
  <c r="P180" i="8"/>
  <c r="P181" i="8"/>
  <c r="P182" i="8"/>
  <c r="P183" i="8"/>
  <c r="P184" i="8"/>
  <c r="P185" i="8"/>
  <c r="P186" i="8"/>
  <c r="P187" i="8"/>
  <c r="P188" i="8"/>
  <c r="P189" i="8"/>
  <c r="P190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7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35" i="8"/>
  <c r="P236" i="8"/>
  <c r="P237" i="8"/>
  <c r="P238" i="8"/>
  <c r="P239" i="8"/>
  <c r="P240" i="8"/>
  <c r="P241" i="8"/>
  <c r="P242" i="8"/>
  <c r="P243" i="8"/>
  <c r="P244" i="8"/>
  <c r="P245" i="8"/>
  <c r="P246" i="8"/>
  <c r="P247" i="8"/>
  <c r="P248" i="8"/>
  <c r="P249" i="8"/>
  <c r="P250" i="8"/>
  <c r="P251" i="8"/>
  <c r="P252" i="8"/>
  <c r="P253" i="8"/>
  <c r="P254" i="8"/>
  <c r="P255" i="8"/>
  <c r="P256" i="8"/>
  <c r="P257" i="8"/>
  <c r="P258" i="8"/>
  <c r="P259" i="8"/>
  <c r="P260" i="8"/>
  <c r="P261" i="8"/>
  <c r="P262" i="8"/>
  <c r="P263" i="8"/>
  <c r="P264" i="8"/>
  <c r="P265" i="8"/>
  <c r="P266" i="8"/>
  <c r="P267" i="8"/>
  <c r="P268" i="8"/>
  <c r="P269" i="8"/>
  <c r="P270" i="8"/>
  <c r="P271" i="8"/>
  <c r="P272" i="8"/>
  <c r="P273" i="8"/>
  <c r="P274" i="8"/>
  <c r="P275" i="8"/>
  <c r="P276" i="8"/>
  <c r="P277" i="8"/>
  <c r="P278" i="8"/>
  <c r="P279" i="8"/>
  <c r="P280" i="8"/>
  <c r="P281" i="8"/>
  <c r="P282" i="8"/>
  <c r="P283" i="8"/>
  <c r="P284" i="8"/>
  <c r="P285" i="8"/>
  <c r="P286" i="8"/>
  <c r="P287" i="8"/>
  <c r="P288" i="8"/>
  <c r="P289" i="8"/>
  <c r="P290" i="8"/>
  <c r="P291" i="8"/>
  <c r="P292" i="8"/>
  <c r="P293" i="8"/>
  <c r="P294" i="8"/>
  <c r="P295" i="8"/>
  <c r="P296" i="8"/>
  <c r="P297" i="8"/>
  <c r="P298" i="8"/>
  <c r="P299" i="8"/>
  <c r="P300" i="8"/>
  <c r="P301" i="8"/>
  <c r="P302" i="8"/>
  <c r="P303" i="8"/>
  <c r="P304" i="8"/>
  <c r="P305" i="8"/>
  <c r="P306" i="8"/>
  <c r="P307" i="8"/>
  <c r="P308" i="8"/>
  <c r="P309" i="8"/>
  <c r="P310" i="8"/>
  <c r="P311" i="8"/>
  <c r="P312" i="8"/>
  <c r="P313" i="8"/>
  <c r="P314" i="8"/>
  <c r="P315" i="8"/>
  <c r="P316" i="8"/>
  <c r="P317" i="8"/>
  <c r="P318" i="8"/>
  <c r="P319" i="8"/>
  <c r="P320" i="8"/>
  <c r="P321" i="8"/>
  <c r="P322" i="8"/>
  <c r="P323" i="8"/>
  <c r="P324" i="8"/>
  <c r="P325" i="8"/>
  <c r="P326" i="8"/>
  <c r="P327" i="8"/>
  <c r="P328" i="8"/>
  <c r="P329" i="8"/>
  <c r="P330" i="8"/>
  <c r="P331" i="8"/>
  <c r="P332" i="8"/>
  <c r="P333" i="8"/>
  <c r="P334" i="8"/>
  <c r="P335" i="8"/>
  <c r="P336" i="8"/>
  <c r="P337" i="8"/>
  <c r="P338" i="8"/>
  <c r="P339" i="8"/>
  <c r="P340" i="8"/>
  <c r="P341" i="8"/>
  <c r="P342" i="8"/>
  <c r="P343" i="8"/>
  <c r="P344" i="8"/>
  <c r="P345" i="8"/>
  <c r="P346" i="8"/>
  <c r="P347" i="8"/>
  <c r="P348" i="8"/>
  <c r="P349" i="8"/>
  <c r="P350" i="8"/>
  <c r="P351" i="8"/>
  <c r="P352" i="8"/>
  <c r="P353" i="8"/>
  <c r="P354" i="8"/>
  <c r="P355" i="8"/>
  <c r="P356" i="8"/>
  <c r="P357" i="8"/>
  <c r="P358" i="8"/>
  <c r="P359" i="8"/>
  <c r="P360" i="8"/>
  <c r="P361" i="8"/>
  <c r="P362" i="8"/>
  <c r="P363" i="8"/>
  <c r="P364" i="8"/>
  <c r="P365" i="8"/>
  <c r="P366" i="8"/>
  <c r="P367" i="8"/>
  <c r="P368" i="8"/>
  <c r="P369" i="8"/>
  <c r="P370" i="8"/>
  <c r="P371" i="8"/>
  <c r="P372" i="8"/>
  <c r="P373" i="8"/>
  <c r="P374" i="8"/>
  <c r="P375" i="8"/>
  <c r="P376" i="8"/>
  <c r="P377" i="8"/>
  <c r="P378" i="8"/>
  <c r="P379" i="8"/>
  <c r="P380" i="8"/>
  <c r="P381" i="8"/>
  <c r="P382" i="8"/>
  <c r="P383" i="8"/>
  <c r="P384" i="8"/>
  <c r="P385" i="8"/>
  <c r="P386" i="8"/>
  <c r="P387" i="8"/>
  <c r="P388" i="8"/>
  <c r="P389" i="8"/>
  <c r="P390" i="8"/>
  <c r="P391" i="8"/>
  <c r="P392" i="8"/>
  <c r="P393" i="8"/>
  <c r="P394" i="8"/>
  <c r="P395" i="8"/>
  <c r="P396" i="8"/>
  <c r="P397" i="8"/>
  <c r="P398" i="8"/>
  <c r="P399" i="8"/>
  <c r="P400" i="8"/>
  <c r="P401" i="8"/>
  <c r="P402" i="8"/>
  <c r="P403" i="8"/>
  <c r="P404" i="8"/>
  <c r="P405" i="8"/>
  <c r="P406" i="8"/>
  <c r="P407" i="8"/>
  <c r="P408" i="8"/>
  <c r="P409" i="8"/>
  <c r="P410" i="8"/>
  <c r="P411" i="8"/>
  <c r="P412" i="8"/>
  <c r="P413" i="8"/>
  <c r="P414" i="8"/>
  <c r="P415" i="8"/>
  <c r="P416" i="8"/>
  <c r="P417" i="8"/>
  <c r="P418" i="8"/>
  <c r="P419" i="8"/>
  <c r="P420" i="8"/>
  <c r="P421" i="8"/>
  <c r="P422" i="8"/>
  <c r="P423" i="8"/>
  <c r="P424" i="8"/>
  <c r="P425" i="8"/>
  <c r="P426" i="8"/>
  <c r="P427" i="8"/>
  <c r="P428" i="8"/>
  <c r="P429" i="8"/>
  <c r="P430" i="8"/>
  <c r="P431" i="8"/>
  <c r="P432" i="8"/>
  <c r="P433" i="8"/>
  <c r="P434" i="8"/>
  <c r="P435" i="8"/>
  <c r="P436" i="8"/>
  <c r="P437" i="8"/>
  <c r="P438" i="8"/>
  <c r="P439" i="8"/>
  <c r="P440" i="8"/>
  <c r="P441" i="8"/>
  <c r="P442" i="8"/>
  <c r="P443" i="8"/>
  <c r="P444" i="8"/>
  <c r="P445" i="8"/>
  <c r="P446" i="8"/>
  <c r="P447" i="8"/>
  <c r="P448" i="8"/>
  <c r="P449" i="8"/>
  <c r="P450" i="8"/>
  <c r="P451" i="8"/>
  <c r="P452" i="8"/>
  <c r="P453" i="8"/>
  <c r="P454" i="8"/>
  <c r="P455" i="8"/>
  <c r="P456" i="8"/>
  <c r="P457" i="8"/>
  <c r="P458" i="8"/>
  <c r="P459" i="8"/>
  <c r="P460" i="8"/>
  <c r="P461" i="8"/>
  <c r="P462" i="8"/>
  <c r="P463" i="8"/>
  <c r="P464" i="8"/>
  <c r="P465" i="8"/>
  <c r="P466" i="8"/>
  <c r="P467" i="8"/>
  <c r="P468" i="8"/>
  <c r="P469" i="8"/>
  <c r="P470" i="8"/>
  <c r="P471" i="8"/>
  <c r="P472" i="8"/>
  <c r="P473" i="8"/>
  <c r="P474" i="8"/>
  <c r="P475" i="8"/>
  <c r="P476" i="8"/>
  <c r="P477" i="8"/>
  <c r="P478" i="8"/>
  <c r="P479" i="8"/>
  <c r="P480" i="8"/>
  <c r="P481" i="8"/>
  <c r="P482" i="8"/>
  <c r="P483" i="8"/>
  <c r="P484" i="8"/>
  <c r="P485" i="8"/>
  <c r="P486" i="8"/>
  <c r="P487" i="8"/>
  <c r="P488" i="8"/>
  <c r="P489" i="8"/>
  <c r="P490" i="8"/>
  <c r="P491" i="8"/>
  <c r="P492" i="8"/>
  <c r="P493" i="8"/>
  <c r="P494" i="8"/>
  <c r="P495" i="8"/>
  <c r="P496" i="8"/>
  <c r="P497" i="8"/>
  <c r="P498" i="8"/>
  <c r="P499" i="8"/>
  <c r="P500" i="8"/>
  <c r="P501" i="8"/>
  <c r="P502" i="8"/>
  <c r="P503" i="8"/>
  <c r="P504" i="8"/>
  <c r="P505" i="8"/>
  <c r="P506" i="8"/>
  <c r="P507" i="8"/>
  <c r="P508" i="8"/>
  <c r="P509" i="8"/>
  <c r="P510" i="8"/>
  <c r="P511" i="8"/>
  <c r="P512" i="8"/>
  <c r="P513" i="8"/>
  <c r="P514" i="8"/>
  <c r="P515" i="8"/>
  <c r="P516" i="8"/>
  <c r="P517" i="8"/>
  <c r="P518" i="8"/>
  <c r="P519" i="8"/>
  <c r="P520" i="8"/>
  <c r="P521" i="8"/>
  <c r="P522" i="8"/>
  <c r="P523" i="8"/>
  <c r="P524" i="8"/>
  <c r="P525" i="8"/>
  <c r="P526" i="8"/>
  <c r="P527" i="8"/>
  <c r="P528" i="8"/>
  <c r="P529" i="8"/>
  <c r="P530" i="8"/>
  <c r="P531" i="8"/>
  <c r="P532" i="8"/>
  <c r="P533" i="8"/>
  <c r="P534" i="8"/>
  <c r="P535" i="8"/>
  <c r="P536" i="8"/>
  <c r="P537" i="8"/>
  <c r="P538" i="8"/>
  <c r="P539" i="8"/>
  <c r="P540" i="8"/>
  <c r="P541" i="8"/>
  <c r="P542" i="8"/>
  <c r="P543" i="8"/>
  <c r="P544" i="8"/>
  <c r="P545" i="8"/>
  <c r="P546" i="8"/>
  <c r="P547" i="8"/>
  <c r="P548" i="8"/>
  <c r="P549" i="8"/>
  <c r="P550" i="8"/>
  <c r="P551" i="8"/>
  <c r="P552" i="8"/>
  <c r="P553" i="8"/>
  <c r="P554" i="8"/>
  <c r="P555" i="8"/>
  <c r="P556" i="8"/>
  <c r="P557" i="8"/>
  <c r="P558" i="8"/>
  <c r="P559" i="8"/>
  <c r="P560" i="8"/>
  <c r="P561" i="8"/>
  <c r="P562" i="8"/>
  <c r="P563" i="8"/>
  <c r="P564" i="8"/>
  <c r="P565" i="8"/>
  <c r="P566" i="8"/>
  <c r="P567" i="8"/>
  <c r="P568" i="8"/>
  <c r="P569" i="8"/>
  <c r="P570" i="8"/>
  <c r="P571" i="8"/>
  <c r="P572" i="8"/>
  <c r="P573" i="8"/>
  <c r="P574" i="8"/>
  <c r="P575" i="8"/>
  <c r="P576" i="8"/>
  <c r="P577" i="8"/>
  <c r="P578" i="8"/>
  <c r="P579" i="8"/>
  <c r="P580" i="8"/>
  <c r="P581" i="8"/>
  <c r="P582" i="8"/>
  <c r="P583" i="8"/>
  <c r="P584" i="8"/>
  <c r="P585" i="8"/>
  <c r="P586" i="8"/>
  <c r="P587" i="8"/>
  <c r="P588" i="8"/>
  <c r="P589" i="8"/>
  <c r="P590" i="8"/>
  <c r="P591" i="8"/>
  <c r="P592" i="8"/>
  <c r="P593" i="8"/>
  <c r="P594" i="8"/>
  <c r="P595" i="8"/>
  <c r="P596" i="8"/>
  <c r="P597" i="8"/>
  <c r="P598" i="8"/>
  <c r="P599" i="8"/>
  <c r="P600" i="8"/>
  <c r="P601" i="8"/>
  <c r="P602" i="8"/>
  <c r="P603" i="8"/>
  <c r="P604" i="8"/>
  <c r="P605" i="8"/>
  <c r="P606" i="8"/>
  <c r="P607" i="8"/>
  <c r="P608" i="8"/>
  <c r="P609" i="8"/>
  <c r="P610" i="8"/>
  <c r="P611" i="8"/>
  <c r="P612" i="8"/>
  <c r="P613" i="8"/>
  <c r="P614" i="8"/>
  <c r="P615" i="8"/>
  <c r="P616" i="8"/>
  <c r="P617" i="8"/>
  <c r="P618" i="8"/>
  <c r="P619" i="8"/>
  <c r="P620" i="8"/>
  <c r="P621" i="8"/>
  <c r="P622" i="8"/>
  <c r="P623" i="8"/>
  <c r="P624" i="8"/>
  <c r="P625" i="8"/>
  <c r="P626" i="8"/>
  <c r="P627" i="8"/>
  <c r="P628" i="8"/>
  <c r="P629" i="8"/>
  <c r="P630" i="8"/>
  <c r="P631" i="8"/>
  <c r="P632" i="8"/>
  <c r="P633" i="8"/>
  <c r="P634" i="8"/>
  <c r="P635" i="8"/>
  <c r="P636" i="8"/>
  <c r="P637" i="8"/>
  <c r="P638" i="8"/>
  <c r="P639" i="8"/>
  <c r="P640" i="8"/>
  <c r="P641" i="8"/>
  <c r="P642" i="8"/>
  <c r="P643" i="8"/>
  <c r="P644" i="8"/>
  <c r="P645" i="8"/>
  <c r="P646" i="8"/>
  <c r="P647" i="8"/>
  <c r="P648" i="8"/>
  <c r="P649" i="8"/>
  <c r="P650" i="8"/>
  <c r="P651" i="8"/>
  <c r="P652" i="8"/>
  <c r="P653" i="8"/>
  <c r="P654" i="8"/>
  <c r="P655" i="8"/>
  <c r="P656" i="8"/>
  <c r="P657" i="8"/>
  <c r="P658" i="8"/>
  <c r="P659" i="8"/>
  <c r="P660" i="8"/>
  <c r="P661" i="8"/>
  <c r="P662" i="8"/>
  <c r="P663" i="8"/>
  <c r="P664" i="8"/>
  <c r="P665" i="8"/>
  <c r="P666" i="8"/>
  <c r="P667" i="8"/>
  <c r="P668" i="8"/>
  <c r="P669" i="8"/>
  <c r="P670" i="8"/>
  <c r="P671" i="8"/>
  <c r="P672" i="8"/>
  <c r="P673" i="8"/>
  <c r="P674" i="8"/>
  <c r="P675" i="8"/>
  <c r="P676" i="8"/>
  <c r="P677" i="8"/>
  <c r="P678" i="8"/>
  <c r="P679" i="8"/>
  <c r="P680" i="8"/>
  <c r="P681" i="8"/>
  <c r="P682" i="8"/>
  <c r="P683" i="8"/>
  <c r="P684" i="8"/>
  <c r="P685" i="8"/>
  <c r="P686" i="8"/>
  <c r="P687" i="8"/>
  <c r="P688" i="8"/>
  <c r="P689" i="8"/>
  <c r="P690" i="8"/>
  <c r="P691" i="8"/>
  <c r="P692" i="8"/>
  <c r="P693" i="8"/>
  <c r="P694" i="8"/>
  <c r="P695" i="8"/>
  <c r="P696" i="8"/>
  <c r="P697" i="8"/>
  <c r="P698" i="8"/>
  <c r="P699" i="8"/>
  <c r="P700" i="8"/>
  <c r="P701" i="8"/>
  <c r="P702" i="8"/>
  <c r="P703" i="8"/>
  <c r="P704" i="8"/>
  <c r="P705" i="8"/>
  <c r="P706" i="8"/>
  <c r="P707" i="8"/>
  <c r="P708" i="8"/>
  <c r="P709" i="8"/>
  <c r="P710" i="8"/>
  <c r="P711" i="8"/>
  <c r="P712" i="8"/>
  <c r="P713" i="8"/>
  <c r="P714" i="8"/>
  <c r="P715" i="8"/>
  <c r="P716" i="8"/>
  <c r="P717" i="8"/>
  <c r="P718" i="8"/>
  <c r="P719" i="8"/>
  <c r="P720" i="8"/>
  <c r="P721" i="8"/>
  <c r="P722" i="8"/>
  <c r="P723" i="8"/>
  <c r="P724" i="8"/>
  <c r="P725" i="8"/>
  <c r="P726" i="8"/>
  <c r="P727" i="8"/>
  <c r="P728" i="8"/>
  <c r="P729" i="8"/>
  <c r="P730" i="8"/>
  <c r="P731" i="8"/>
  <c r="P732" i="8"/>
  <c r="P733" i="8"/>
  <c r="P734" i="8"/>
  <c r="P735" i="8"/>
  <c r="P736" i="8"/>
  <c r="P737" i="8"/>
  <c r="P738" i="8"/>
  <c r="P739" i="8"/>
  <c r="P740" i="8"/>
  <c r="P741" i="8"/>
  <c r="P742" i="8"/>
  <c r="P743" i="8"/>
  <c r="P744" i="8"/>
  <c r="P745" i="8"/>
  <c r="P746" i="8"/>
  <c r="P747" i="8"/>
  <c r="P748" i="8"/>
  <c r="P749" i="8"/>
  <c r="P750" i="8"/>
  <c r="P751" i="8"/>
  <c r="P752" i="8"/>
  <c r="P753" i="8"/>
  <c r="P754" i="8"/>
  <c r="P755" i="8"/>
  <c r="P756" i="8"/>
  <c r="P757" i="8"/>
  <c r="P758" i="8"/>
  <c r="P759" i="8"/>
  <c r="P760" i="8"/>
  <c r="P761" i="8"/>
  <c r="P762" i="8"/>
  <c r="P763" i="8"/>
  <c r="P764" i="8"/>
  <c r="P765" i="8"/>
  <c r="P766" i="8"/>
  <c r="P767" i="8"/>
  <c r="P768" i="8"/>
  <c r="P769" i="8"/>
  <c r="P770" i="8"/>
  <c r="P771" i="8"/>
  <c r="P772" i="8"/>
  <c r="P773" i="8"/>
  <c r="P774" i="8"/>
  <c r="P775" i="8"/>
  <c r="P776" i="8"/>
  <c r="P777" i="8"/>
  <c r="P778" i="8"/>
  <c r="P779" i="8"/>
  <c r="P780" i="8"/>
  <c r="P781" i="8"/>
  <c r="P782" i="8"/>
  <c r="P783" i="8"/>
  <c r="P784" i="8"/>
  <c r="P785" i="8"/>
  <c r="P786" i="8"/>
  <c r="P787" i="8"/>
  <c r="P788" i="8"/>
  <c r="P789" i="8"/>
  <c r="P790" i="8"/>
  <c r="P791" i="8"/>
  <c r="P792" i="8"/>
  <c r="P793" i="8"/>
  <c r="P794" i="8"/>
  <c r="P795" i="8"/>
  <c r="P796" i="8"/>
  <c r="P797" i="8"/>
  <c r="P798" i="8"/>
  <c r="P799" i="8"/>
  <c r="P800" i="8"/>
  <c r="P801" i="8"/>
  <c r="P802" i="8"/>
  <c r="P803" i="8"/>
  <c r="P804" i="8"/>
  <c r="P805" i="8"/>
  <c r="P806" i="8"/>
  <c r="P807" i="8"/>
  <c r="P808" i="8"/>
  <c r="P809" i="8"/>
  <c r="P810" i="8"/>
  <c r="P811" i="8"/>
  <c r="P812" i="8"/>
  <c r="P813" i="8"/>
  <c r="P814" i="8"/>
  <c r="P815" i="8"/>
  <c r="P816" i="8"/>
  <c r="P817" i="8"/>
  <c r="P818" i="8"/>
  <c r="P819" i="8"/>
  <c r="P820" i="8"/>
  <c r="P821" i="8"/>
  <c r="P822" i="8"/>
  <c r="P823" i="8"/>
  <c r="P824" i="8"/>
  <c r="P825" i="8"/>
  <c r="P826" i="8"/>
  <c r="P827" i="8"/>
  <c r="P828" i="8"/>
  <c r="P829" i="8"/>
  <c r="P830" i="8"/>
  <c r="P831" i="8"/>
  <c r="P832" i="8"/>
  <c r="P833" i="8"/>
  <c r="P834" i="8"/>
  <c r="P835" i="8"/>
  <c r="P836" i="8"/>
  <c r="P837" i="8"/>
  <c r="P838" i="8"/>
  <c r="P839" i="8"/>
  <c r="P840" i="8"/>
  <c r="P841" i="8"/>
  <c r="P842" i="8"/>
  <c r="P843" i="8"/>
  <c r="P844" i="8"/>
  <c r="P845" i="8"/>
  <c r="P846" i="8"/>
  <c r="P847" i="8"/>
  <c r="P848" i="8"/>
  <c r="P849" i="8"/>
  <c r="P850" i="8"/>
  <c r="P851" i="8"/>
  <c r="P852" i="8"/>
  <c r="P853" i="8"/>
  <c r="P854" i="8"/>
  <c r="P855" i="8"/>
  <c r="P856" i="8"/>
  <c r="P857" i="8"/>
  <c r="P858" i="8"/>
  <c r="P859" i="8"/>
  <c r="P860" i="8"/>
  <c r="P861" i="8"/>
  <c r="P862" i="8"/>
  <c r="P863" i="8"/>
  <c r="P864" i="8"/>
  <c r="P865" i="8"/>
  <c r="P866" i="8"/>
  <c r="P867" i="8"/>
  <c r="P868" i="8"/>
  <c r="P869" i="8"/>
  <c r="P870" i="8"/>
  <c r="P871" i="8"/>
  <c r="P872" i="8"/>
  <c r="P873" i="8"/>
  <c r="P874" i="8"/>
  <c r="P875" i="8"/>
  <c r="P876" i="8"/>
  <c r="P877" i="8"/>
  <c r="P878" i="8"/>
  <c r="P879" i="8"/>
  <c r="P880" i="8"/>
  <c r="P881" i="8"/>
  <c r="P882" i="8"/>
  <c r="P883" i="8"/>
  <c r="P884" i="8"/>
  <c r="P885" i="8"/>
  <c r="P886" i="8"/>
  <c r="P887" i="8"/>
  <c r="P888" i="8"/>
  <c r="P889" i="8"/>
  <c r="P890" i="8"/>
  <c r="P891" i="8"/>
  <c r="P892" i="8"/>
  <c r="P893" i="8"/>
  <c r="P894" i="8"/>
  <c r="P895" i="8"/>
  <c r="P896" i="8"/>
  <c r="P897" i="8"/>
  <c r="P898" i="8"/>
  <c r="P899" i="8"/>
  <c r="P900" i="8"/>
  <c r="P901" i="8"/>
  <c r="P902" i="8"/>
  <c r="P903" i="8"/>
  <c r="P904" i="8"/>
  <c r="P905" i="8"/>
  <c r="P906" i="8"/>
  <c r="P907" i="8"/>
  <c r="P908" i="8"/>
  <c r="P909" i="8"/>
  <c r="P910" i="8"/>
  <c r="P911" i="8"/>
  <c r="P912" i="8"/>
  <c r="P913" i="8"/>
  <c r="P914" i="8"/>
  <c r="P915" i="8"/>
  <c r="P916" i="8"/>
  <c r="P917" i="8"/>
  <c r="P918" i="8"/>
  <c r="P919" i="8"/>
  <c r="P920" i="8"/>
  <c r="P921" i="8"/>
  <c r="P922" i="8"/>
  <c r="P923" i="8"/>
  <c r="P924" i="8"/>
  <c r="P925" i="8"/>
  <c r="P926" i="8"/>
  <c r="P927" i="8"/>
  <c r="P928" i="8"/>
  <c r="P929" i="8"/>
  <c r="P930" i="8"/>
  <c r="P931" i="8"/>
  <c r="P932" i="8"/>
  <c r="P933" i="8"/>
  <c r="P934" i="8"/>
  <c r="P935" i="8"/>
  <c r="P936" i="8"/>
  <c r="P937" i="8"/>
  <c r="P938" i="8"/>
  <c r="P939" i="8"/>
  <c r="P940" i="8"/>
  <c r="P941" i="8"/>
  <c r="P942" i="8"/>
  <c r="P943" i="8"/>
  <c r="P944" i="8"/>
  <c r="P945" i="8"/>
  <c r="P946" i="8"/>
  <c r="P947" i="8"/>
  <c r="P948" i="8"/>
  <c r="P949" i="8"/>
  <c r="P950" i="8"/>
  <c r="P951" i="8"/>
  <c r="P952" i="8"/>
  <c r="P953" i="8"/>
  <c r="P954" i="8"/>
  <c r="P955" i="8"/>
  <c r="P956" i="8"/>
  <c r="P957" i="8"/>
  <c r="P958" i="8"/>
  <c r="P959" i="8"/>
  <c r="P960" i="8"/>
  <c r="P961" i="8"/>
  <c r="P962" i="8"/>
  <c r="P963" i="8"/>
  <c r="P964" i="8"/>
  <c r="P965" i="8"/>
  <c r="P966" i="8"/>
  <c r="P967" i="8"/>
  <c r="P968" i="8"/>
  <c r="P969" i="8"/>
  <c r="P970" i="8"/>
  <c r="P971" i="8"/>
  <c r="P972" i="8"/>
  <c r="P973" i="8"/>
  <c r="P974" i="8"/>
  <c r="P975" i="8"/>
  <c r="P976" i="8"/>
  <c r="P977" i="8"/>
  <c r="P978" i="8"/>
  <c r="P979" i="8"/>
  <c r="P980" i="8"/>
  <c r="P981" i="8"/>
  <c r="P982" i="8"/>
  <c r="P983" i="8"/>
  <c r="P984" i="8"/>
  <c r="P985" i="8"/>
  <c r="P986" i="8"/>
  <c r="P987" i="8"/>
  <c r="P988" i="8"/>
  <c r="P989" i="8"/>
  <c r="P990" i="8"/>
  <c r="P991" i="8"/>
  <c r="P992" i="8"/>
  <c r="P993" i="8"/>
  <c r="P994" i="8"/>
  <c r="P995" i="8"/>
  <c r="P996" i="8"/>
  <c r="P997" i="8"/>
  <c r="P998" i="8"/>
  <c r="P999" i="8"/>
  <c r="P1000" i="8"/>
  <c r="P1001" i="8"/>
  <c r="P1002" i="8"/>
  <c r="P1003" i="8"/>
  <c r="P1004" i="8"/>
  <c r="P1005" i="8"/>
  <c r="P1006" i="8"/>
  <c r="P1007" i="8"/>
  <c r="P1008" i="8"/>
  <c r="P1009" i="8"/>
  <c r="P1010" i="8"/>
  <c r="P1011" i="8"/>
  <c r="P1012" i="8"/>
  <c r="P1013" i="8"/>
  <c r="P1014" i="8"/>
  <c r="P1015" i="8"/>
  <c r="P1016" i="8"/>
  <c r="P1017" i="8"/>
  <c r="P1018" i="8"/>
  <c r="P1019" i="8"/>
  <c r="P1020" i="8"/>
  <c r="P1021" i="8"/>
  <c r="P1022" i="8"/>
  <c r="P1023" i="8"/>
  <c r="P1024" i="8"/>
  <c r="P1025" i="8"/>
  <c r="P1026" i="8"/>
  <c r="P1027" i="8"/>
  <c r="P1028" i="8"/>
  <c r="P1029" i="8"/>
  <c r="P1030" i="8"/>
  <c r="P1031" i="8"/>
  <c r="P1032" i="8"/>
  <c r="P1033" i="8"/>
  <c r="P1034" i="8"/>
  <c r="P1035" i="8"/>
  <c r="P1036" i="8"/>
  <c r="P1037" i="8"/>
  <c r="P1038" i="8"/>
  <c r="P1039" i="8"/>
  <c r="P1040" i="8"/>
  <c r="P1041" i="8"/>
  <c r="P1042" i="8"/>
  <c r="P1043" i="8"/>
  <c r="P1044" i="8"/>
  <c r="P1045" i="8"/>
  <c r="P1046" i="8"/>
  <c r="P1047" i="8"/>
  <c r="P1048" i="8"/>
  <c r="P1049" i="8"/>
  <c r="P1050" i="8"/>
  <c r="P1051" i="8"/>
  <c r="P1052" i="8"/>
  <c r="P1053" i="8"/>
  <c r="P1054" i="8"/>
  <c r="P1055" i="8"/>
  <c r="P1056" i="8"/>
  <c r="P1057" i="8"/>
  <c r="P1058" i="8"/>
  <c r="P1059" i="8"/>
  <c r="P1060" i="8"/>
  <c r="P1061" i="8"/>
  <c r="P1062" i="8"/>
  <c r="P1063" i="8"/>
  <c r="P1064" i="8"/>
  <c r="P1065" i="8"/>
  <c r="P1066" i="8"/>
  <c r="P1067" i="8"/>
  <c r="P1068" i="8"/>
  <c r="P1069" i="8"/>
  <c r="P1070" i="8"/>
  <c r="P1071" i="8"/>
  <c r="P1072" i="8"/>
  <c r="P1073" i="8"/>
  <c r="P1074" i="8"/>
  <c r="P1075" i="8"/>
  <c r="P1076" i="8"/>
  <c r="P1077" i="8"/>
  <c r="P1078" i="8"/>
  <c r="P1079" i="8"/>
  <c r="P1080" i="8"/>
  <c r="P1081" i="8"/>
  <c r="P1082" i="8"/>
  <c r="P1083" i="8"/>
  <c r="P1084" i="8"/>
  <c r="P1085" i="8"/>
  <c r="P1086" i="8"/>
  <c r="P1087" i="8"/>
  <c r="P1088" i="8"/>
  <c r="P1089" i="8"/>
  <c r="P1090" i="8"/>
  <c r="P1091" i="8"/>
  <c r="P1092" i="8"/>
  <c r="P1093" i="8"/>
  <c r="P1094" i="8"/>
  <c r="P1095" i="8"/>
  <c r="P1096" i="8"/>
  <c r="P1097" i="8"/>
  <c r="P1098" i="8"/>
  <c r="P1099" i="8"/>
  <c r="P1100" i="8"/>
  <c r="P1101" i="8"/>
  <c r="P1102" i="8"/>
  <c r="P1103" i="8"/>
  <c r="P1104" i="8"/>
  <c r="P1105" i="8"/>
  <c r="P1106" i="8"/>
  <c r="P1107" i="8"/>
  <c r="P1108" i="8"/>
  <c r="P1109" i="8"/>
  <c r="P1110" i="8"/>
  <c r="P1111" i="8"/>
  <c r="P1112" i="8"/>
  <c r="P1113" i="8"/>
  <c r="P1114" i="8"/>
  <c r="P1115" i="8"/>
  <c r="P1116" i="8"/>
  <c r="P1117" i="8"/>
  <c r="P1118" i="8"/>
  <c r="P1119" i="8"/>
  <c r="P1120" i="8"/>
  <c r="P1121" i="8"/>
  <c r="P1122" i="8"/>
  <c r="P1123" i="8"/>
  <c r="P1124" i="8"/>
  <c r="P1125" i="8"/>
  <c r="P1126" i="8"/>
  <c r="P1127" i="8"/>
  <c r="P1128" i="8"/>
  <c r="P1129" i="8"/>
  <c r="P1130" i="8"/>
  <c r="P1131" i="8"/>
  <c r="P1132" i="8"/>
  <c r="P1133" i="8"/>
  <c r="P1134" i="8"/>
  <c r="P1135" i="8"/>
  <c r="P1136" i="8"/>
  <c r="P1137" i="8"/>
  <c r="P1138" i="8"/>
  <c r="P1139" i="8"/>
  <c r="P1140" i="8"/>
  <c r="P1141" i="8"/>
  <c r="P1142" i="8"/>
  <c r="P1143" i="8"/>
  <c r="P1144" i="8"/>
  <c r="P2" i="8"/>
  <c r="O2" i="8"/>
  <c r="AK5" i="8"/>
  <c r="AK4" i="8"/>
  <c r="J2" i="8" l="1"/>
  <c r="J1144" i="8"/>
  <c r="F1144" i="8"/>
  <c r="E1144" i="8"/>
  <c r="D1144" i="8"/>
  <c r="G1144" i="8" s="1"/>
  <c r="J1143" i="8"/>
  <c r="F1143" i="8"/>
  <c r="E1143" i="8"/>
  <c r="D1143" i="8"/>
  <c r="G1143" i="8" s="1"/>
  <c r="J1142" i="8"/>
  <c r="F1142" i="8"/>
  <c r="E1142" i="8"/>
  <c r="D1142" i="8"/>
  <c r="G1142" i="8" s="1"/>
  <c r="H1142" i="8" s="1"/>
  <c r="J1141" i="8"/>
  <c r="F1141" i="8"/>
  <c r="E1141" i="8"/>
  <c r="D1141" i="8"/>
  <c r="G1141" i="8" s="1"/>
  <c r="H1141" i="8" s="1"/>
  <c r="J1140" i="8"/>
  <c r="F1140" i="8"/>
  <c r="E1140" i="8"/>
  <c r="D1140" i="8"/>
  <c r="G1140" i="8" s="1"/>
  <c r="J1139" i="8"/>
  <c r="F1139" i="8"/>
  <c r="E1139" i="8"/>
  <c r="D1139" i="8"/>
  <c r="G1139" i="8" s="1"/>
  <c r="J1138" i="8"/>
  <c r="F1138" i="8"/>
  <c r="E1138" i="8"/>
  <c r="D1138" i="8"/>
  <c r="J1137" i="8"/>
  <c r="F1137" i="8"/>
  <c r="E1137" i="8"/>
  <c r="D1137" i="8"/>
  <c r="J1136" i="8"/>
  <c r="F1136" i="8"/>
  <c r="E1136" i="8"/>
  <c r="D1136" i="8"/>
  <c r="G1136" i="8" s="1"/>
  <c r="M1136" i="8" s="1"/>
  <c r="J1135" i="8"/>
  <c r="F1135" i="8"/>
  <c r="E1135" i="8"/>
  <c r="D1135" i="8"/>
  <c r="G1135" i="8" s="1"/>
  <c r="M1135" i="8" s="1"/>
  <c r="J1134" i="8"/>
  <c r="F1134" i="8"/>
  <c r="E1134" i="8"/>
  <c r="D1134" i="8"/>
  <c r="J1133" i="8"/>
  <c r="F1133" i="8"/>
  <c r="E1133" i="8"/>
  <c r="D1133" i="8"/>
  <c r="J1132" i="8"/>
  <c r="F1132" i="8"/>
  <c r="E1132" i="8"/>
  <c r="D1132" i="8"/>
  <c r="G1132" i="8" s="1"/>
  <c r="M1132" i="8" s="1"/>
  <c r="J1131" i="8"/>
  <c r="F1131" i="8"/>
  <c r="E1131" i="8"/>
  <c r="D1131" i="8"/>
  <c r="G1131" i="8" s="1"/>
  <c r="M1131" i="8" s="1"/>
  <c r="J1130" i="8"/>
  <c r="F1130" i="8"/>
  <c r="E1130" i="8"/>
  <c r="D1130" i="8"/>
  <c r="J1129" i="8"/>
  <c r="F1129" i="8"/>
  <c r="E1129" i="8"/>
  <c r="D1129" i="8"/>
  <c r="J1128" i="8"/>
  <c r="F1128" i="8"/>
  <c r="E1128" i="8"/>
  <c r="D1128" i="8"/>
  <c r="G1128" i="8" s="1"/>
  <c r="M1128" i="8" s="1"/>
  <c r="J1127" i="8"/>
  <c r="F1127" i="8"/>
  <c r="E1127" i="8"/>
  <c r="D1127" i="8"/>
  <c r="G1127" i="8" s="1"/>
  <c r="M1127" i="8" s="1"/>
  <c r="J1126" i="8"/>
  <c r="F1126" i="8"/>
  <c r="E1126" i="8"/>
  <c r="D1126" i="8"/>
  <c r="J1125" i="8"/>
  <c r="F1125" i="8"/>
  <c r="E1125" i="8"/>
  <c r="D1125" i="8"/>
  <c r="J1124" i="8"/>
  <c r="F1124" i="8"/>
  <c r="E1124" i="8"/>
  <c r="D1124" i="8"/>
  <c r="G1124" i="8" s="1"/>
  <c r="M1124" i="8" s="1"/>
  <c r="J1123" i="8"/>
  <c r="F1123" i="8"/>
  <c r="E1123" i="8"/>
  <c r="D1123" i="8"/>
  <c r="G1123" i="8" s="1"/>
  <c r="M1123" i="8" s="1"/>
  <c r="J1122" i="8"/>
  <c r="F1122" i="8"/>
  <c r="E1122" i="8"/>
  <c r="D1122" i="8"/>
  <c r="J1121" i="8"/>
  <c r="F1121" i="8"/>
  <c r="E1121" i="8"/>
  <c r="D1121" i="8"/>
  <c r="J1120" i="8"/>
  <c r="F1120" i="8"/>
  <c r="E1120" i="8"/>
  <c r="D1120" i="8"/>
  <c r="G1120" i="8" s="1"/>
  <c r="M1120" i="8" s="1"/>
  <c r="J1119" i="8"/>
  <c r="F1119" i="8"/>
  <c r="E1119" i="8"/>
  <c r="D1119" i="8"/>
  <c r="G1119" i="8" s="1"/>
  <c r="M1119" i="8" s="1"/>
  <c r="J1118" i="8"/>
  <c r="F1118" i="8"/>
  <c r="E1118" i="8"/>
  <c r="D1118" i="8"/>
  <c r="J1117" i="8"/>
  <c r="F1117" i="8"/>
  <c r="E1117" i="8"/>
  <c r="D1117" i="8"/>
  <c r="J1116" i="8"/>
  <c r="F1116" i="8"/>
  <c r="E1116" i="8"/>
  <c r="D1116" i="8"/>
  <c r="G1116" i="8" s="1"/>
  <c r="M1116" i="8" s="1"/>
  <c r="J1115" i="8"/>
  <c r="F1115" i="8"/>
  <c r="E1115" i="8"/>
  <c r="D1115" i="8"/>
  <c r="G1115" i="8" s="1"/>
  <c r="M1115" i="8" s="1"/>
  <c r="J1114" i="8"/>
  <c r="F1114" i="8"/>
  <c r="E1114" i="8"/>
  <c r="D1114" i="8"/>
  <c r="J1113" i="8"/>
  <c r="F1113" i="8"/>
  <c r="E1113" i="8"/>
  <c r="D1113" i="8"/>
  <c r="J1112" i="8"/>
  <c r="F1112" i="8"/>
  <c r="E1112" i="8"/>
  <c r="D1112" i="8"/>
  <c r="G1112" i="8" s="1"/>
  <c r="M1112" i="8" s="1"/>
  <c r="J1111" i="8"/>
  <c r="F1111" i="8"/>
  <c r="E1111" i="8"/>
  <c r="D1111" i="8"/>
  <c r="G1111" i="8" s="1"/>
  <c r="M1111" i="8" s="1"/>
  <c r="J1110" i="8"/>
  <c r="F1110" i="8"/>
  <c r="E1110" i="8"/>
  <c r="D1110" i="8"/>
  <c r="J1109" i="8"/>
  <c r="F1109" i="8"/>
  <c r="E1109" i="8"/>
  <c r="D1109" i="8"/>
  <c r="G1109" i="8" s="1"/>
  <c r="H1109" i="8" s="1"/>
  <c r="J1108" i="8"/>
  <c r="F1108" i="8"/>
  <c r="E1108" i="8"/>
  <c r="D1108" i="8"/>
  <c r="G1108" i="8" s="1"/>
  <c r="M1108" i="8" s="1"/>
  <c r="J1107" i="8"/>
  <c r="F1107" i="8"/>
  <c r="E1107" i="8"/>
  <c r="D1107" i="8"/>
  <c r="G1107" i="8" s="1"/>
  <c r="M1107" i="8" s="1"/>
  <c r="J1106" i="8"/>
  <c r="F1106" i="8"/>
  <c r="E1106" i="8"/>
  <c r="D1106" i="8"/>
  <c r="J1105" i="8"/>
  <c r="F1105" i="8"/>
  <c r="E1105" i="8"/>
  <c r="D1105" i="8"/>
  <c r="G1105" i="8" s="1"/>
  <c r="H1105" i="8" s="1"/>
  <c r="J1104" i="8"/>
  <c r="F1104" i="8"/>
  <c r="E1104" i="8"/>
  <c r="D1104" i="8"/>
  <c r="G1104" i="8" s="1"/>
  <c r="M1104" i="8" s="1"/>
  <c r="J1103" i="8"/>
  <c r="F1103" i="8"/>
  <c r="E1103" i="8"/>
  <c r="D1103" i="8"/>
  <c r="G1103" i="8" s="1"/>
  <c r="M1103" i="8" s="1"/>
  <c r="J1102" i="8"/>
  <c r="F1102" i="8"/>
  <c r="E1102" i="8"/>
  <c r="D1102" i="8"/>
  <c r="J1101" i="8"/>
  <c r="F1101" i="8"/>
  <c r="E1101" i="8"/>
  <c r="D1101" i="8"/>
  <c r="J1100" i="8"/>
  <c r="F1100" i="8"/>
  <c r="E1100" i="8"/>
  <c r="D1100" i="8"/>
  <c r="G1100" i="8" s="1"/>
  <c r="M1100" i="8" s="1"/>
  <c r="J1099" i="8"/>
  <c r="F1099" i="8"/>
  <c r="E1099" i="8"/>
  <c r="D1099" i="8"/>
  <c r="G1099" i="8" s="1"/>
  <c r="M1099" i="8" s="1"/>
  <c r="J1098" i="8"/>
  <c r="F1098" i="8"/>
  <c r="E1098" i="8"/>
  <c r="D1098" i="8"/>
  <c r="J1097" i="8"/>
  <c r="F1097" i="8"/>
  <c r="E1097" i="8"/>
  <c r="D1097" i="8"/>
  <c r="J1096" i="8"/>
  <c r="F1096" i="8"/>
  <c r="E1096" i="8"/>
  <c r="D1096" i="8"/>
  <c r="G1096" i="8" s="1"/>
  <c r="M1096" i="8" s="1"/>
  <c r="J1095" i="8"/>
  <c r="F1095" i="8"/>
  <c r="E1095" i="8"/>
  <c r="D1095" i="8"/>
  <c r="G1095" i="8" s="1"/>
  <c r="M1095" i="8" s="1"/>
  <c r="J1094" i="8"/>
  <c r="F1094" i="8"/>
  <c r="E1094" i="8"/>
  <c r="D1094" i="8"/>
  <c r="J1093" i="8"/>
  <c r="F1093" i="8"/>
  <c r="E1093" i="8"/>
  <c r="D1093" i="8"/>
  <c r="J1092" i="8"/>
  <c r="F1092" i="8"/>
  <c r="E1092" i="8"/>
  <c r="D1092" i="8"/>
  <c r="G1092" i="8" s="1"/>
  <c r="M1092" i="8" s="1"/>
  <c r="J1091" i="8"/>
  <c r="F1091" i="8"/>
  <c r="E1091" i="8"/>
  <c r="D1091" i="8"/>
  <c r="G1091" i="8" s="1"/>
  <c r="M1091" i="8" s="1"/>
  <c r="J1090" i="8"/>
  <c r="F1090" i="8"/>
  <c r="E1090" i="8"/>
  <c r="D1090" i="8"/>
  <c r="J1089" i="8"/>
  <c r="F1089" i="8"/>
  <c r="E1089" i="8"/>
  <c r="D1089" i="8"/>
  <c r="G1089" i="8" s="1"/>
  <c r="H1089" i="8" s="1"/>
  <c r="J1088" i="8"/>
  <c r="F1088" i="8"/>
  <c r="E1088" i="8"/>
  <c r="D1088" i="8"/>
  <c r="G1088" i="8" s="1"/>
  <c r="M1088" i="8" s="1"/>
  <c r="J1087" i="8"/>
  <c r="F1087" i="8"/>
  <c r="E1087" i="8"/>
  <c r="D1087" i="8"/>
  <c r="G1087" i="8" s="1"/>
  <c r="M1087" i="8" s="1"/>
  <c r="J1086" i="8"/>
  <c r="F1086" i="8"/>
  <c r="E1086" i="8"/>
  <c r="D1086" i="8"/>
  <c r="J1085" i="8"/>
  <c r="F1085" i="8"/>
  <c r="E1085" i="8"/>
  <c r="D1085" i="8"/>
  <c r="G1085" i="8" s="1"/>
  <c r="M1085" i="8" s="1"/>
  <c r="J1084" i="8"/>
  <c r="F1084" i="8"/>
  <c r="E1084" i="8"/>
  <c r="D1084" i="8"/>
  <c r="G1084" i="8" s="1"/>
  <c r="M1084" i="8" s="1"/>
  <c r="J1083" i="8"/>
  <c r="F1083" i="8"/>
  <c r="E1083" i="8"/>
  <c r="D1083" i="8"/>
  <c r="G1083" i="8" s="1"/>
  <c r="M1083" i="8" s="1"/>
  <c r="J1082" i="8"/>
  <c r="F1082" i="8"/>
  <c r="E1082" i="8"/>
  <c r="D1082" i="8"/>
  <c r="J1081" i="8"/>
  <c r="F1081" i="8"/>
  <c r="E1081" i="8"/>
  <c r="D1081" i="8"/>
  <c r="J1080" i="8"/>
  <c r="F1080" i="8"/>
  <c r="E1080" i="8"/>
  <c r="D1080" i="8"/>
  <c r="G1080" i="8" s="1"/>
  <c r="M1080" i="8" s="1"/>
  <c r="J1079" i="8"/>
  <c r="F1079" i="8"/>
  <c r="E1079" i="8"/>
  <c r="D1079" i="8"/>
  <c r="G1079" i="8" s="1"/>
  <c r="M1079" i="8" s="1"/>
  <c r="J1078" i="8"/>
  <c r="F1078" i="8"/>
  <c r="E1078" i="8"/>
  <c r="D1078" i="8"/>
  <c r="J1077" i="8"/>
  <c r="F1077" i="8"/>
  <c r="E1077" i="8"/>
  <c r="D1077" i="8"/>
  <c r="J1076" i="8"/>
  <c r="F1076" i="8"/>
  <c r="E1076" i="8"/>
  <c r="D1076" i="8"/>
  <c r="G1076" i="8" s="1"/>
  <c r="M1076" i="8" s="1"/>
  <c r="J1075" i="8"/>
  <c r="F1075" i="8"/>
  <c r="E1075" i="8"/>
  <c r="D1075" i="8"/>
  <c r="G1075" i="8" s="1"/>
  <c r="M1075" i="8" s="1"/>
  <c r="J1074" i="8"/>
  <c r="F1074" i="8"/>
  <c r="E1074" i="8"/>
  <c r="D1074" i="8"/>
  <c r="J1073" i="8"/>
  <c r="F1073" i="8"/>
  <c r="E1073" i="8"/>
  <c r="D1073" i="8"/>
  <c r="J1072" i="8"/>
  <c r="F1072" i="8"/>
  <c r="E1072" i="8"/>
  <c r="D1072" i="8"/>
  <c r="G1072" i="8" s="1"/>
  <c r="M1072" i="8" s="1"/>
  <c r="J1071" i="8"/>
  <c r="F1071" i="8"/>
  <c r="E1071" i="8"/>
  <c r="D1071" i="8"/>
  <c r="G1071" i="8" s="1"/>
  <c r="M1071" i="8" s="1"/>
  <c r="J1070" i="8"/>
  <c r="F1070" i="8"/>
  <c r="E1070" i="8"/>
  <c r="D1070" i="8"/>
  <c r="J1069" i="8"/>
  <c r="F1069" i="8"/>
  <c r="E1069" i="8"/>
  <c r="D1069" i="8"/>
  <c r="G1069" i="8" s="1"/>
  <c r="M1069" i="8" s="1"/>
  <c r="J1068" i="8"/>
  <c r="F1068" i="8"/>
  <c r="E1068" i="8"/>
  <c r="D1068" i="8"/>
  <c r="G1068" i="8" s="1"/>
  <c r="M1068" i="8" s="1"/>
  <c r="J1067" i="8"/>
  <c r="F1067" i="8"/>
  <c r="E1067" i="8"/>
  <c r="D1067" i="8"/>
  <c r="G1067" i="8" s="1"/>
  <c r="J1066" i="8"/>
  <c r="F1066" i="8"/>
  <c r="E1066" i="8"/>
  <c r="D1066" i="8"/>
  <c r="J1065" i="8"/>
  <c r="F1065" i="8"/>
  <c r="E1065" i="8"/>
  <c r="D1065" i="8"/>
  <c r="J1064" i="8"/>
  <c r="F1064" i="8"/>
  <c r="E1064" i="8"/>
  <c r="D1064" i="8"/>
  <c r="G1064" i="8" s="1"/>
  <c r="M1064" i="8" s="1"/>
  <c r="J1063" i="8"/>
  <c r="F1063" i="8"/>
  <c r="E1063" i="8"/>
  <c r="D1063" i="8"/>
  <c r="G1063" i="8" s="1"/>
  <c r="M1063" i="8" s="1"/>
  <c r="J1062" i="8"/>
  <c r="F1062" i="8"/>
  <c r="E1062" i="8"/>
  <c r="D1062" i="8"/>
  <c r="J1061" i="8"/>
  <c r="F1061" i="8"/>
  <c r="E1061" i="8"/>
  <c r="D1061" i="8"/>
  <c r="G1061" i="8" s="1"/>
  <c r="J1060" i="8"/>
  <c r="F1060" i="8"/>
  <c r="E1060" i="8"/>
  <c r="D1060" i="8"/>
  <c r="G1060" i="8" s="1"/>
  <c r="J1059" i="8"/>
  <c r="F1059" i="8"/>
  <c r="E1059" i="8"/>
  <c r="D1059" i="8"/>
  <c r="G1059" i="8" s="1"/>
  <c r="M1059" i="8" s="1"/>
  <c r="J1058" i="8"/>
  <c r="F1058" i="8"/>
  <c r="E1058" i="8"/>
  <c r="D1058" i="8"/>
  <c r="J1057" i="8"/>
  <c r="F1057" i="8"/>
  <c r="E1057" i="8"/>
  <c r="D1057" i="8"/>
  <c r="G1057" i="8" s="1"/>
  <c r="J1056" i="8"/>
  <c r="F1056" i="8"/>
  <c r="E1056" i="8"/>
  <c r="D1056" i="8"/>
  <c r="G1056" i="8" s="1"/>
  <c r="J1055" i="8"/>
  <c r="F1055" i="8"/>
  <c r="E1055" i="8"/>
  <c r="D1055" i="8"/>
  <c r="G1055" i="8" s="1"/>
  <c r="M1055" i="8" s="1"/>
  <c r="J1054" i="8"/>
  <c r="F1054" i="8"/>
  <c r="E1054" i="8"/>
  <c r="D1054" i="8"/>
  <c r="J1053" i="8"/>
  <c r="F1053" i="8"/>
  <c r="E1053" i="8"/>
  <c r="D1053" i="8"/>
  <c r="G1053" i="8" s="1"/>
  <c r="J1052" i="8"/>
  <c r="F1052" i="8"/>
  <c r="E1052" i="8"/>
  <c r="D1052" i="8"/>
  <c r="G1052" i="8" s="1"/>
  <c r="J1051" i="8"/>
  <c r="F1051" i="8"/>
  <c r="E1051" i="8"/>
  <c r="D1051" i="8"/>
  <c r="G1051" i="8" s="1"/>
  <c r="H1051" i="8" s="1"/>
  <c r="J1050" i="8"/>
  <c r="F1050" i="8"/>
  <c r="E1050" i="8"/>
  <c r="D1050" i="8"/>
  <c r="G1050" i="8" s="1"/>
  <c r="J1049" i="8"/>
  <c r="F1049" i="8"/>
  <c r="E1049" i="8"/>
  <c r="D1049" i="8"/>
  <c r="G1049" i="8" s="1"/>
  <c r="J1048" i="8"/>
  <c r="F1048" i="8"/>
  <c r="E1048" i="8"/>
  <c r="D1048" i="8"/>
  <c r="G1048" i="8" s="1"/>
  <c r="J1047" i="8"/>
  <c r="F1047" i="8"/>
  <c r="E1047" i="8"/>
  <c r="D1047" i="8"/>
  <c r="G1047" i="8" s="1"/>
  <c r="M1047" i="8" s="1"/>
  <c r="J1046" i="8"/>
  <c r="F1046" i="8"/>
  <c r="E1046" i="8"/>
  <c r="D1046" i="8"/>
  <c r="G1046" i="8" s="1"/>
  <c r="J1045" i="8"/>
  <c r="F1045" i="8"/>
  <c r="E1045" i="8"/>
  <c r="D1045" i="8"/>
  <c r="G1045" i="8" s="1"/>
  <c r="J1044" i="8"/>
  <c r="F1044" i="8"/>
  <c r="E1044" i="8"/>
  <c r="D1044" i="8"/>
  <c r="G1044" i="8" s="1"/>
  <c r="M1044" i="8" s="1"/>
  <c r="J1043" i="8"/>
  <c r="F1043" i="8"/>
  <c r="E1043" i="8"/>
  <c r="D1043" i="8"/>
  <c r="G1043" i="8" s="1"/>
  <c r="M1043" i="8" s="1"/>
  <c r="J1042" i="8"/>
  <c r="F1042" i="8"/>
  <c r="E1042" i="8"/>
  <c r="D1042" i="8"/>
  <c r="G1042" i="8" s="1"/>
  <c r="J1041" i="8"/>
  <c r="F1041" i="8"/>
  <c r="E1041" i="8"/>
  <c r="D1041" i="8"/>
  <c r="J1040" i="8"/>
  <c r="F1040" i="8"/>
  <c r="E1040" i="8"/>
  <c r="D1040" i="8"/>
  <c r="G1040" i="8" s="1"/>
  <c r="M1040" i="8" s="1"/>
  <c r="J1039" i="8"/>
  <c r="F1039" i="8"/>
  <c r="E1039" i="8"/>
  <c r="D1039" i="8"/>
  <c r="G1039" i="8" s="1"/>
  <c r="M1039" i="8" s="1"/>
  <c r="J1038" i="8"/>
  <c r="F1038" i="8"/>
  <c r="E1038" i="8"/>
  <c r="D1038" i="8"/>
  <c r="G1038" i="8" s="1"/>
  <c r="J1037" i="8"/>
  <c r="F1037" i="8"/>
  <c r="E1037" i="8"/>
  <c r="D1037" i="8"/>
  <c r="G1037" i="8" s="1"/>
  <c r="J1036" i="8"/>
  <c r="F1036" i="8"/>
  <c r="E1036" i="8"/>
  <c r="D1036" i="8"/>
  <c r="G1036" i="8" s="1"/>
  <c r="J1035" i="8"/>
  <c r="F1035" i="8"/>
  <c r="E1035" i="8"/>
  <c r="D1035" i="8"/>
  <c r="G1035" i="8" s="1"/>
  <c r="J1034" i="8"/>
  <c r="F1034" i="8"/>
  <c r="E1034" i="8"/>
  <c r="D1034" i="8"/>
  <c r="G1034" i="8" s="1"/>
  <c r="J1033" i="8"/>
  <c r="F1033" i="8"/>
  <c r="E1033" i="8"/>
  <c r="D1033" i="8"/>
  <c r="G1033" i="8" s="1"/>
  <c r="J1032" i="8"/>
  <c r="F1032" i="8"/>
  <c r="E1032" i="8"/>
  <c r="D1032" i="8"/>
  <c r="G1032" i="8" s="1"/>
  <c r="J1031" i="8"/>
  <c r="F1031" i="8"/>
  <c r="E1031" i="8"/>
  <c r="D1031" i="8"/>
  <c r="G1031" i="8" s="1"/>
  <c r="M1031" i="8" s="1"/>
  <c r="J1030" i="8"/>
  <c r="F1030" i="8"/>
  <c r="E1030" i="8"/>
  <c r="D1030" i="8"/>
  <c r="G1030" i="8" s="1"/>
  <c r="J1029" i="8"/>
  <c r="F1029" i="8"/>
  <c r="E1029" i="8"/>
  <c r="D1029" i="8"/>
  <c r="G1029" i="8" s="1"/>
  <c r="J1028" i="8"/>
  <c r="F1028" i="8"/>
  <c r="E1028" i="8"/>
  <c r="D1028" i="8"/>
  <c r="G1028" i="8" s="1"/>
  <c r="M1028" i="8" s="1"/>
  <c r="J1027" i="8"/>
  <c r="F1027" i="8"/>
  <c r="E1027" i="8"/>
  <c r="D1027" i="8"/>
  <c r="G1027" i="8" s="1"/>
  <c r="M1027" i="8" s="1"/>
  <c r="J1026" i="8"/>
  <c r="F1026" i="8"/>
  <c r="E1026" i="8"/>
  <c r="D1026" i="8"/>
  <c r="G1026" i="8" s="1"/>
  <c r="J1025" i="8"/>
  <c r="F1025" i="8"/>
  <c r="E1025" i="8"/>
  <c r="D1025" i="8"/>
  <c r="J1024" i="8"/>
  <c r="F1024" i="8"/>
  <c r="E1024" i="8"/>
  <c r="D1024" i="8"/>
  <c r="G1024" i="8" s="1"/>
  <c r="M1024" i="8" s="1"/>
  <c r="J1023" i="8"/>
  <c r="F1023" i="8"/>
  <c r="E1023" i="8"/>
  <c r="D1023" i="8"/>
  <c r="G1023" i="8" s="1"/>
  <c r="M1023" i="8" s="1"/>
  <c r="J1022" i="8"/>
  <c r="F1022" i="8"/>
  <c r="E1022" i="8"/>
  <c r="D1022" i="8"/>
  <c r="G1022" i="8" s="1"/>
  <c r="J1021" i="8"/>
  <c r="F1021" i="8"/>
  <c r="E1021" i="8"/>
  <c r="D1021" i="8"/>
  <c r="G1021" i="8" s="1"/>
  <c r="J1020" i="8"/>
  <c r="F1020" i="8"/>
  <c r="E1020" i="8"/>
  <c r="D1020" i="8"/>
  <c r="G1020" i="8" s="1"/>
  <c r="M1020" i="8" s="1"/>
  <c r="J1019" i="8"/>
  <c r="F1019" i="8"/>
  <c r="E1019" i="8"/>
  <c r="D1019" i="8"/>
  <c r="G1019" i="8" s="1"/>
  <c r="J1018" i="8"/>
  <c r="F1018" i="8"/>
  <c r="E1018" i="8"/>
  <c r="D1018" i="8"/>
  <c r="G1018" i="8" s="1"/>
  <c r="J1017" i="8"/>
  <c r="F1017" i="8"/>
  <c r="E1017" i="8"/>
  <c r="D1017" i="8"/>
  <c r="G1017" i="8" s="1"/>
  <c r="J1016" i="8"/>
  <c r="F1016" i="8"/>
  <c r="E1016" i="8"/>
  <c r="D1016" i="8"/>
  <c r="G1016" i="8" s="1"/>
  <c r="J1015" i="8"/>
  <c r="F1015" i="8"/>
  <c r="E1015" i="8"/>
  <c r="D1015" i="8"/>
  <c r="G1015" i="8" s="1"/>
  <c r="M1015" i="8" s="1"/>
  <c r="J1014" i="8"/>
  <c r="F1014" i="8"/>
  <c r="E1014" i="8"/>
  <c r="D1014" i="8"/>
  <c r="G1014" i="8" s="1"/>
  <c r="J1013" i="8"/>
  <c r="F1013" i="8"/>
  <c r="E1013" i="8"/>
  <c r="D1013" i="8"/>
  <c r="G1013" i="8" s="1"/>
  <c r="J1012" i="8"/>
  <c r="F1012" i="8"/>
  <c r="E1012" i="8"/>
  <c r="D1012" i="8"/>
  <c r="G1012" i="8" s="1"/>
  <c r="M1012" i="8" s="1"/>
  <c r="J1011" i="8"/>
  <c r="F1011" i="8"/>
  <c r="E1011" i="8"/>
  <c r="D1011" i="8"/>
  <c r="G1011" i="8" s="1"/>
  <c r="M1011" i="8" s="1"/>
  <c r="J1010" i="8"/>
  <c r="F1010" i="8"/>
  <c r="E1010" i="8"/>
  <c r="D1010" i="8"/>
  <c r="G1010" i="8" s="1"/>
  <c r="J1009" i="8"/>
  <c r="F1009" i="8"/>
  <c r="E1009" i="8"/>
  <c r="D1009" i="8"/>
  <c r="J1008" i="8"/>
  <c r="F1008" i="8"/>
  <c r="E1008" i="8"/>
  <c r="D1008" i="8"/>
  <c r="G1008" i="8" s="1"/>
  <c r="M1008" i="8" s="1"/>
  <c r="J1007" i="8"/>
  <c r="F1007" i="8"/>
  <c r="E1007" i="8"/>
  <c r="D1007" i="8"/>
  <c r="G1007" i="8" s="1"/>
  <c r="M1007" i="8" s="1"/>
  <c r="J1006" i="8"/>
  <c r="F1006" i="8"/>
  <c r="E1006" i="8"/>
  <c r="D1006" i="8"/>
  <c r="G1006" i="8" s="1"/>
  <c r="J1005" i="8"/>
  <c r="F1005" i="8"/>
  <c r="E1005" i="8"/>
  <c r="D1005" i="8"/>
  <c r="G1005" i="8" s="1"/>
  <c r="J1004" i="8"/>
  <c r="F1004" i="8"/>
  <c r="E1004" i="8"/>
  <c r="D1004" i="8"/>
  <c r="G1004" i="8" s="1"/>
  <c r="J1003" i="8"/>
  <c r="F1003" i="8"/>
  <c r="E1003" i="8"/>
  <c r="D1003" i="8"/>
  <c r="G1003" i="8" s="1"/>
  <c r="H1003" i="8" s="1"/>
  <c r="J1002" i="8"/>
  <c r="F1002" i="8"/>
  <c r="E1002" i="8"/>
  <c r="D1002" i="8"/>
  <c r="G1002" i="8" s="1"/>
  <c r="J1001" i="8"/>
  <c r="F1001" i="8"/>
  <c r="E1001" i="8"/>
  <c r="D1001" i="8"/>
  <c r="G1001" i="8" s="1"/>
  <c r="J1000" i="8"/>
  <c r="F1000" i="8"/>
  <c r="E1000" i="8"/>
  <c r="D1000" i="8"/>
  <c r="G1000" i="8" s="1"/>
  <c r="J999" i="8"/>
  <c r="F999" i="8"/>
  <c r="E999" i="8"/>
  <c r="D999" i="8"/>
  <c r="G999" i="8" s="1"/>
  <c r="M999" i="8" s="1"/>
  <c r="J998" i="8"/>
  <c r="F998" i="8"/>
  <c r="E998" i="8"/>
  <c r="D998" i="8"/>
  <c r="G998" i="8" s="1"/>
  <c r="J997" i="8"/>
  <c r="F997" i="8"/>
  <c r="E997" i="8"/>
  <c r="D997" i="8"/>
  <c r="G997" i="8" s="1"/>
  <c r="J996" i="8"/>
  <c r="F996" i="8"/>
  <c r="E996" i="8"/>
  <c r="D996" i="8"/>
  <c r="G996" i="8" s="1"/>
  <c r="M996" i="8" s="1"/>
  <c r="J995" i="8"/>
  <c r="F995" i="8"/>
  <c r="E995" i="8"/>
  <c r="D995" i="8"/>
  <c r="G995" i="8" s="1"/>
  <c r="M995" i="8" s="1"/>
  <c r="J994" i="8"/>
  <c r="F994" i="8"/>
  <c r="E994" i="8"/>
  <c r="D994" i="8"/>
  <c r="G994" i="8" s="1"/>
  <c r="J993" i="8"/>
  <c r="F993" i="8"/>
  <c r="E993" i="8"/>
  <c r="D993" i="8"/>
  <c r="J992" i="8"/>
  <c r="F992" i="8"/>
  <c r="E992" i="8"/>
  <c r="D992" i="8"/>
  <c r="G992" i="8" s="1"/>
  <c r="M992" i="8" s="1"/>
  <c r="J991" i="8"/>
  <c r="F991" i="8"/>
  <c r="E991" i="8"/>
  <c r="D991" i="8"/>
  <c r="G991" i="8" s="1"/>
  <c r="M991" i="8" s="1"/>
  <c r="J990" i="8"/>
  <c r="F990" i="8"/>
  <c r="E990" i="8"/>
  <c r="D990" i="8"/>
  <c r="G990" i="8" s="1"/>
  <c r="J989" i="8"/>
  <c r="F989" i="8"/>
  <c r="E989" i="8"/>
  <c r="D989" i="8"/>
  <c r="G989" i="8" s="1"/>
  <c r="J988" i="8"/>
  <c r="F988" i="8"/>
  <c r="E988" i="8"/>
  <c r="D988" i="8"/>
  <c r="G988" i="8" s="1"/>
  <c r="J987" i="8"/>
  <c r="F987" i="8"/>
  <c r="E987" i="8"/>
  <c r="D987" i="8"/>
  <c r="G987" i="8" s="1"/>
  <c r="J986" i="8"/>
  <c r="F986" i="8"/>
  <c r="E986" i="8"/>
  <c r="D986" i="8"/>
  <c r="G986" i="8" s="1"/>
  <c r="J985" i="8"/>
  <c r="F985" i="8"/>
  <c r="E985" i="8"/>
  <c r="D985" i="8"/>
  <c r="G985" i="8" s="1"/>
  <c r="J984" i="8"/>
  <c r="F984" i="8"/>
  <c r="E984" i="8"/>
  <c r="D984" i="8"/>
  <c r="G984" i="8" s="1"/>
  <c r="J983" i="8"/>
  <c r="F983" i="8"/>
  <c r="E983" i="8"/>
  <c r="D983" i="8"/>
  <c r="G983" i="8" s="1"/>
  <c r="M983" i="8" s="1"/>
  <c r="J982" i="8"/>
  <c r="F982" i="8"/>
  <c r="E982" i="8"/>
  <c r="D982" i="8"/>
  <c r="G982" i="8" s="1"/>
  <c r="J981" i="8"/>
  <c r="F981" i="8"/>
  <c r="E981" i="8"/>
  <c r="D981" i="8"/>
  <c r="G981" i="8" s="1"/>
  <c r="J980" i="8"/>
  <c r="F980" i="8"/>
  <c r="E980" i="8"/>
  <c r="D980" i="8"/>
  <c r="G980" i="8" s="1"/>
  <c r="M980" i="8" s="1"/>
  <c r="J979" i="8"/>
  <c r="F979" i="8"/>
  <c r="E979" i="8"/>
  <c r="D979" i="8"/>
  <c r="G979" i="8" s="1"/>
  <c r="M979" i="8" s="1"/>
  <c r="J978" i="8"/>
  <c r="F978" i="8"/>
  <c r="E978" i="8"/>
  <c r="D978" i="8"/>
  <c r="G978" i="8" s="1"/>
  <c r="J977" i="8"/>
  <c r="F977" i="8"/>
  <c r="E977" i="8"/>
  <c r="D977" i="8"/>
  <c r="J976" i="8"/>
  <c r="F976" i="8"/>
  <c r="E976" i="8"/>
  <c r="D976" i="8"/>
  <c r="G976" i="8" s="1"/>
  <c r="M976" i="8" s="1"/>
  <c r="J975" i="8"/>
  <c r="F975" i="8"/>
  <c r="E975" i="8"/>
  <c r="D975" i="8"/>
  <c r="G975" i="8" s="1"/>
  <c r="M975" i="8" s="1"/>
  <c r="J974" i="8"/>
  <c r="F974" i="8"/>
  <c r="E974" i="8"/>
  <c r="D974" i="8"/>
  <c r="G974" i="8" s="1"/>
  <c r="J973" i="8"/>
  <c r="F973" i="8"/>
  <c r="E973" i="8"/>
  <c r="D973" i="8"/>
  <c r="G973" i="8" s="1"/>
  <c r="J972" i="8"/>
  <c r="F972" i="8"/>
  <c r="E972" i="8"/>
  <c r="D972" i="8"/>
  <c r="G972" i="8" s="1"/>
  <c r="J971" i="8"/>
  <c r="F971" i="8"/>
  <c r="E971" i="8"/>
  <c r="D971" i="8"/>
  <c r="G971" i="8" s="1"/>
  <c r="J970" i="8"/>
  <c r="F970" i="8"/>
  <c r="E970" i="8"/>
  <c r="D970" i="8"/>
  <c r="G970" i="8" s="1"/>
  <c r="J969" i="8"/>
  <c r="F969" i="8"/>
  <c r="E969" i="8"/>
  <c r="D969" i="8"/>
  <c r="G969" i="8" s="1"/>
  <c r="J968" i="8"/>
  <c r="F968" i="8"/>
  <c r="E968" i="8"/>
  <c r="D968" i="8"/>
  <c r="G968" i="8" s="1"/>
  <c r="J967" i="8"/>
  <c r="F967" i="8"/>
  <c r="E967" i="8"/>
  <c r="D967" i="8"/>
  <c r="G967" i="8" s="1"/>
  <c r="M967" i="8" s="1"/>
  <c r="J966" i="8"/>
  <c r="F966" i="8"/>
  <c r="E966" i="8"/>
  <c r="D966" i="8"/>
  <c r="G966" i="8" s="1"/>
  <c r="J965" i="8"/>
  <c r="F965" i="8"/>
  <c r="E965" i="8"/>
  <c r="D965" i="8"/>
  <c r="G965" i="8" s="1"/>
  <c r="J964" i="8"/>
  <c r="F964" i="8"/>
  <c r="E964" i="8"/>
  <c r="D964" i="8"/>
  <c r="G964" i="8" s="1"/>
  <c r="M964" i="8" s="1"/>
  <c r="J963" i="8"/>
  <c r="F963" i="8"/>
  <c r="E963" i="8"/>
  <c r="D963" i="8"/>
  <c r="G963" i="8" s="1"/>
  <c r="M963" i="8" s="1"/>
  <c r="J962" i="8"/>
  <c r="F962" i="8"/>
  <c r="E962" i="8"/>
  <c r="D962" i="8"/>
  <c r="G962" i="8" s="1"/>
  <c r="J961" i="8"/>
  <c r="F961" i="8"/>
  <c r="E961" i="8"/>
  <c r="D961" i="8"/>
  <c r="J960" i="8"/>
  <c r="F960" i="8"/>
  <c r="E960" i="8"/>
  <c r="D960" i="8"/>
  <c r="G960" i="8" s="1"/>
  <c r="M960" i="8" s="1"/>
  <c r="J959" i="8"/>
  <c r="F959" i="8"/>
  <c r="E959" i="8"/>
  <c r="D959" i="8"/>
  <c r="G959" i="8" s="1"/>
  <c r="M959" i="8" s="1"/>
  <c r="J958" i="8"/>
  <c r="F958" i="8"/>
  <c r="E958" i="8"/>
  <c r="D958" i="8"/>
  <c r="G958" i="8" s="1"/>
  <c r="J957" i="8"/>
  <c r="F957" i="8"/>
  <c r="E957" i="8"/>
  <c r="D957" i="8"/>
  <c r="G957" i="8" s="1"/>
  <c r="J956" i="8"/>
  <c r="F956" i="8"/>
  <c r="E956" i="8"/>
  <c r="D956" i="8"/>
  <c r="G956" i="8" s="1"/>
  <c r="J955" i="8"/>
  <c r="F955" i="8"/>
  <c r="E955" i="8"/>
  <c r="D955" i="8"/>
  <c r="G955" i="8" s="1"/>
  <c r="J954" i="8"/>
  <c r="F954" i="8"/>
  <c r="E954" i="8"/>
  <c r="D954" i="8"/>
  <c r="G954" i="8" s="1"/>
  <c r="J953" i="8"/>
  <c r="F953" i="8"/>
  <c r="E953" i="8"/>
  <c r="D953" i="8"/>
  <c r="G953" i="8" s="1"/>
  <c r="J952" i="8"/>
  <c r="F952" i="8"/>
  <c r="E952" i="8"/>
  <c r="D952" i="8"/>
  <c r="G952" i="8" s="1"/>
  <c r="J951" i="8"/>
  <c r="F951" i="8"/>
  <c r="E951" i="8"/>
  <c r="D951" i="8"/>
  <c r="G951" i="8" s="1"/>
  <c r="M951" i="8" s="1"/>
  <c r="J950" i="8"/>
  <c r="F950" i="8"/>
  <c r="E950" i="8"/>
  <c r="D950" i="8"/>
  <c r="G950" i="8" s="1"/>
  <c r="J949" i="8"/>
  <c r="F949" i="8"/>
  <c r="E949" i="8"/>
  <c r="D949" i="8"/>
  <c r="G949" i="8" s="1"/>
  <c r="J948" i="8"/>
  <c r="F948" i="8"/>
  <c r="E948" i="8"/>
  <c r="D948" i="8"/>
  <c r="J947" i="8"/>
  <c r="F947" i="8"/>
  <c r="E947" i="8"/>
  <c r="D947" i="8"/>
  <c r="J946" i="8"/>
  <c r="F946" i="8"/>
  <c r="E946" i="8"/>
  <c r="D946" i="8"/>
  <c r="G946" i="8" s="1"/>
  <c r="J945" i="8"/>
  <c r="F945" i="8"/>
  <c r="E945" i="8"/>
  <c r="D945" i="8"/>
  <c r="J944" i="8"/>
  <c r="F944" i="8"/>
  <c r="E944" i="8"/>
  <c r="D944" i="8"/>
  <c r="G944" i="8" s="1"/>
  <c r="M944" i="8" s="1"/>
  <c r="J943" i="8"/>
  <c r="F943" i="8"/>
  <c r="E943" i="8"/>
  <c r="D943" i="8"/>
  <c r="G943" i="8" s="1"/>
  <c r="J942" i="8"/>
  <c r="F942" i="8"/>
  <c r="E942" i="8"/>
  <c r="D942" i="8"/>
  <c r="G942" i="8" s="1"/>
  <c r="J941" i="8"/>
  <c r="F941" i="8"/>
  <c r="E941" i="8"/>
  <c r="D941" i="8"/>
  <c r="J940" i="8"/>
  <c r="F940" i="8"/>
  <c r="E940" i="8"/>
  <c r="D940" i="8"/>
  <c r="G940" i="8" s="1"/>
  <c r="M940" i="8" s="1"/>
  <c r="J939" i="8"/>
  <c r="F939" i="8"/>
  <c r="E939" i="8"/>
  <c r="D939" i="8"/>
  <c r="G939" i="8" s="1"/>
  <c r="J938" i="8"/>
  <c r="F938" i="8"/>
  <c r="E938" i="8"/>
  <c r="D938" i="8"/>
  <c r="G938" i="8" s="1"/>
  <c r="J937" i="8"/>
  <c r="F937" i="8"/>
  <c r="E937" i="8"/>
  <c r="D937" i="8"/>
  <c r="J936" i="8"/>
  <c r="F936" i="8"/>
  <c r="E936" i="8"/>
  <c r="D936" i="8"/>
  <c r="G936" i="8" s="1"/>
  <c r="M936" i="8" s="1"/>
  <c r="J935" i="8"/>
  <c r="F935" i="8"/>
  <c r="E935" i="8"/>
  <c r="D935" i="8"/>
  <c r="G935" i="8" s="1"/>
  <c r="J934" i="8"/>
  <c r="F934" i="8"/>
  <c r="E934" i="8"/>
  <c r="D934" i="8"/>
  <c r="G934" i="8" s="1"/>
  <c r="J933" i="8"/>
  <c r="F933" i="8"/>
  <c r="E933" i="8"/>
  <c r="D933" i="8"/>
  <c r="J932" i="8"/>
  <c r="F932" i="8"/>
  <c r="E932" i="8"/>
  <c r="D932" i="8"/>
  <c r="G932" i="8" s="1"/>
  <c r="M932" i="8" s="1"/>
  <c r="J931" i="8"/>
  <c r="F931" i="8"/>
  <c r="E931" i="8"/>
  <c r="D931" i="8"/>
  <c r="G931" i="8" s="1"/>
  <c r="J930" i="8"/>
  <c r="F930" i="8"/>
  <c r="E930" i="8"/>
  <c r="D930" i="8"/>
  <c r="G930" i="8" s="1"/>
  <c r="J929" i="8"/>
  <c r="F929" i="8"/>
  <c r="E929" i="8"/>
  <c r="D929" i="8"/>
  <c r="J928" i="8"/>
  <c r="F928" i="8"/>
  <c r="E928" i="8"/>
  <c r="D928" i="8"/>
  <c r="G928" i="8" s="1"/>
  <c r="M928" i="8" s="1"/>
  <c r="J927" i="8"/>
  <c r="F927" i="8"/>
  <c r="E927" i="8"/>
  <c r="D927" i="8"/>
  <c r="G927" i="8" s="1"/>
  <c r="J926" i="8"/>
  <c r="F926" i="8"/>
  <c r="E926" i="8"/>
  <c r="D926" i="8"/>
  <c r="G926" i="8" s="1"/>
  <c r="J925" i="8"/>
  <c r="F925" i="8"/>
  <c r="E925" i="8"/>
  <c r="D925" i="8"/>
  <c r="J924" i="8"/>
  <c r="F924" i="8"/>
  <c r="E924" i="8"/>
  <c r="D924" i="8"/>
  <c r="G924" i="8" s="1"/>
  <c r="M924" i="8" s="1"/>
  <c r="J923" i="8"/>
  <c r="F923" i="8"/>
  <c r="E923" i="8"/>
  <c r="D923" i="8"/>
  <c r="G923" i="8" s="1"/>
  <c r="J922" i="8"/>
  <c r="F922" i="8"/>
  <c r="E922" i="8"/>
  <c r="D922" i="8"/>
  <c r="G922" i="8" s="1"/>
  <c r="J921" i="8"/>
  <c r="F921" i="8"/>
  <c r="E921" i="8"/>
  <c r="D921" i="8"/>
  <c r="J920" i="8"/>
  <c r="F920" i="8"/>
  <c r="E920" i="8"/>
  <c r="D920" i="8"/>
  <c r="G920" i="8" s="1"/>
  <c r="M920" i="8" s="1"/>
  <c r="J919" i="8"/>
  <c r="F919" i="8"/>
  <c r="E919" i="8"/>
  <c r="D919" i="8"/>
  <c r="G919" i="8" s="1"/>
  <c r="J918" i="8"/>
  <c r="F918" i="8"/>
  <c r="E918" i="8"/>
  <c r="D918" i="8"/>
  <c r="G918" i="8" s="1"/>
  <c r="J917" i="8"/>
  <c r="F917" i="8"/>
  <c r="E917" i="8"/>
  <c r="D917" i="8"/>
  <c r="J916" i="8"/>
  <c r="F916" i="8"/>
  <c r="E916" i="8"/>
  <c r="D916" i="8"/>
  <c r="G916" i="8" s="1"/>
  <c r="M916" i="8" s="1"/>
  <c r="J915" i="8"/>
  <c r="F915" i="8"/>
  <c r="E915" i="8"/>
  <c r="D915" i="8"/>
  <c r="G915" i="8" s="1"/>
  <c r="J914" i="8"/>
  <c r="F914" i="8"/>
  <c r="E914" i="8"/>
  <c r="D914" i="8"/>
  <c r="G914" i="8" s="1"/>
  <c r="J913" i="8"/>
  <c r="F913" i="8"/>
  <c r="E913" i="8"/>
  <c r="D913" i="8"/>
  <c r="J912" i="8"/>
  <c r="F912" i="8"/>
  <c r="E912" i="8"/>
  <c r="D912" i="8"/>
  <c r="G912" i="8" s="1"/>
  <c r="M912" i="8" s="1"/>
  <c r="J911" i="8"/>
  <c r="F911" i="8"/>
  <c r="E911" i="8"/>
  <c r="D911" i="8"/>
  <c r="G911" i="8" s="1"/>
  <c r="J910" i="8"/>
  <c r="F910" i="8"/>
  <c r="E910" i="8"/>
  <c r="D910" i="8"/>
  <c r="G910" i="8" s="1"/>
  <c r="J909" i="8"/>
  <c r="F909" i="8"/>
  <c r="E909" i="8"/>
  <c r="D909" i="8"/>
  <c r="J908" i="8"/>
  <c r="F908" i="8"/>
  <c r="E908" i="8"/>
  <c r="D908" i="8"/>
  <c r="G908" i="8" s="1"/>
  <c r="M908" i="8" s="1"/>
  <c r="J907" i="8"/>
  <c r="F907" i="8"/>
  <c r="E907" i="8"/>
  <c r="D907" i="8"/>
  <c r="G907" i="8" s="1"/>
  <c r="J906" i="8"/>
  <c r="F906" i="8"/>
  <c r="E906" i="8"/>
  <c r="D906" i="8"/>
  <c r="G906" i="8" s="1"/>
  <c r="J905" i="8"/>
  <c r="F905" i="8"/>
  <c r="E905" i="8"/>
  <c r="D905" i="8"/>
  <c r="J904" i="8"/>
  <c r="F904" i="8"/>
  <c r="E904" i="8"/>
  <c r="D904" i="8"/>
  <c r="G904" i="8" s="1"/>
  <c r="M904" i="8" s="1"/>
  <c r="J903" i="8"/>
  <c r="F903" i="8"/>
  <c r="E903" i="8"/>
  <c r="D903" i="8"/>
  <c r="G903" i="8" s="1"/>
  <c r="J902" i="8"/>
  <c r="F902" i="8"/>
  <c r="E902" i="8"/>
  <c r="D902" i="8"/>
  <c r="G902" i="8" s="1"/>
  <c r="J901" i="8"/>
  <c r="F901" i="8"/>
  <c r="E901" i="8"/>
  <c r="D901" i="8"/>
  <c r="J900" i="8"/>
  <c r="F900" i="8"/>
  <c r="E900" i="8"/>
  <c r="D900" i="8"/>
  <c r="G900" i="8" s="1"/>
  <c r="M900" i="8" s="1"/>
  <c r="J899" i="8"/>
  <c r="F899" i="8"/>
  <c r="E899" i="8"/>
  <c r="D899" i="8"/>
  <c r="G899" i="8" s="1"/>
  <c r="J898" i="8"/>
  <c r="F898" i="8"/>
  <c r="E898" i="8"/>
  <c r="D898" i="8"/>
  <c r="G898" i="8" s="1"/>
  <c r="J897" i="8"/>
  <c r="F897" i="8"/>
  <c r="E897" i="8"/>
  <c r="D897" i="8"/>
  <c r="J896" i="8"/>
  <c r="F896" i="8"/>
  <c r="E896" i="8"/>
  <c r="D896" i="8"/>
  <c r="G896" i="8" s="1"/>
  <c r="M896" i="8" s="1"/>
  <c r="J895" i="8"/>
  <c r="F895" i="8"/>
  <c r="E895" i="8"/>
  <c r="D895" i="8"/>
  <c r="G895" i="8" s="1"/>
  <c r="J894" i="8"/>
  <c r="F894" i="8"/>
  <c r="E894" i="8"/>
  <c r="D894" i="8"/>
  <c r="G894" i="8" s="1"/>
  <c r="J893" i="8"/>
  <c r="F893" i="8"/>
  <c r="E893" i="8"/>
  <c r="D893" i="8"/>
  <c r="J892" i="8"/>
  <c r="F892" i="8"/>
  <c r="E892" i="8"/>
  <c r="D892" i="8"/>
  <c r="G892" i="8" s="1"/>
  <c r="M892" i="8" s="1"/>
  <c r="J891" i="8"/>
  <c r="F891" i="8"/>
  <c r="E891" i="8"/>
  <c r="D891" i="8"/>
  <c r="G891" i="8" s="1"/>
  <c r="J890" i="8"/>
  <c r="F890" i="8"/>
  <c r="E890" i="8"/>
  <c r="D890" i="8"/>
  <c r="G890" i="8" s="1"/>
  <c r="J889" i="8"/>
  <c r="F889" i="8"/>
  <c r="E889" i="8"/>
  <c r="D889" i="8"/>
  <c r="J888" i="8"/>
  <c r="F888" i="8"/>
  <c r="E888" i="8"/>
  <c r="D888" i="8"/>
  <c r="G888" i="8" s="1"/>
  <c r="M888" i="8" s="1"/>
  <c r="J887" i="8"/>
  <c r="F887" i="8"/>
  <c r="E887" i="8"/>
  <c r="D887" i="8"/>
  <c r="G887" i="8" s="1"/>
  <c r="J886" i="8"/>
  <c r="F886" i="8"/>
  <c r="E886" i="8"/>
  <c r="D886" i="8"/>
  <c r="G886" i="8" s="1"/>
  <c r="J885" i="8"/>
  <c r="F885" i="8"/>
  <c r="E885" i="8"/>
  <c r="D885" i="8"/>
  <c r="J884" i="8"/>
  <c r="F884" i="8"/>
  <c r="E884" i="8"/>
  <c r="D884" i="8"/>
  <c r="G884" i="8" s="1"/>
  <c r="M884" i="8" s="1"/>
  <c r="J883" i="8"/>
  <c r="F883" i="8"/>
  <c r="E883" i="8"/>
  <c r="D883" i="8"/>
  <c r="G883" i="8" s="1"/>
  <c r="J882" i="8"/>
  <c r="F882" i="8"/>
  <c r="E882" i="8"/>
  <c r="D882" i="8"/>
  <c r="G882" i="8" s="1"/>
  <c r="J881" i="8"/>
  <c r="F881" i="8"/>
  <c r="E881" i="8"/>
  <c r="D881" i="8"/>
  <c r="J880" i="8"/>
  <c r="F880" i="8"/>
  <c r="E880" i="8"/>
  <c r="D880" i="8"/>
  <c r="G880" i="8" s="1"/>
  <c r="M880" i="8" s="1"/>
  <c r="J879" i="8"/>
  <c r="F879" i="8"/>
  <c r="E879" i="8"/>
  <c r="D879" i="8"/>
  <c r="G879" i="8" s="1"/>
  <c r="J878" i="8"/>
  <c r="F878" i="8"/>
  <c r="E878" i="8"/>
  <c r="D878" i="8"/>
  <c r="G878" i="8" s="1"/>
  <c r="J877" i="8"/>
  <c r="F877" i="8"/>
  <c r="E877" i="8"/>
  <c r="D877" i="8"/>
  <c r="J876" i="8"/>
  <c r="F876" i="8"/>
  <c r="E876" i="8"/>
  <c r="D876" i="8"/>
  <c r="G876" i="8" s="1"/>
  <c r="M876" i="8" s="1"/>
  <c r="J875" i="8"/>
  <c r="F875" i="8"/>
  <c r="E875" i="8"/>
  <c r="D875" i="8"/>
  <c r="G875" i="8" s="1"/>
  <c r="J874" i="8"/>
  <c r="F874" i="8"/>
  <c r="E874" i="8"/>
  <c r="D874" i="8"/>
  <c r="G874" i="8" s="1"/>
  <c r="J873" i="8"/>
  <c r="F873" i="8"/>
  <c r="E873" i="8"/>
  <c r="D873" i="8"/>
  <c r="J872" i="8"/>
  <c r="F872" i="8"/>
  <c r="E872" i="8"/>
  <c r="D872" i="8"/>
  <c r="G872" i="8" s="1"/>
  <c r="M872" i="8" s="1"/>
  <c r="J871" i="8"/>
  <c r="F871" i="8"/>
  <c r="E871" i="8"/>
  <c r="D871" i="8"/>
  <c r="G871" i="8" s="1"/>
  <c r="J870" i="8"/>
  <c r="F870" i="8"/>
  <c r="E870" i="8"/>
  <c r="D870" i="8"/>
  <c r="G870" i="8" s="1"/>
  <c r="J869" i="8"/>
  <c r="F869" i="8"/>
  <c r="E869" i="8"/>
  <c r="D869" i="8"/>
  <c r="J868" i="8"/>
  <c r="F868" i="8"/>
  <c r="E868" i="8"/>
  <c r="D868" i="8"/>
  <c r="G868" i="8" s="1"/>
  <c r="M868" i="8" s="1"/>
  <c r="J867" i="8"/>
  <c r="F867" i="8"/>
  <c r="E867" i="8"/>
  <c r="D867" i="8"/>
  <c r="G867" i="8" s="1"/>
  <c r="J866" i="8"/>
  <c r="F866" i="8"/>
  <c r="E866" i="8"/>
  <c r="D866" i="8"/>
  <c r="G866" i="8" s="1"/>
  <c r="J865" i="8"/>
  <c r="F865" i="8"/>
  <c r="E865" i="8"/>
  <c r="D865" i="8"/>
  <c r="J864" i="8"/>
  <c r="F864" i="8"/>
  <c r="E864" i="8"/>
  <c r="D864" i="8"/>
  <c r="G864" i="8" s="1"/>
  <c r="M864" i="8" s="1"/>
  <c r="J863" i="8"/>
  <c r="F863" i="8"/>
  <c r="E863" i="8"/>
  <c r="D863" i="8"/>
  <c r="G863" i="8" s="1"/>
  <c r="J862" i="8"/>
  <c r="F862" i="8"/>
  <c r="E862" i="8"/>
  <c r="D862" i="8"/>
  <c r="G862" i="8" s="1"/>
  <c r="J861" i="8"/>
  <c r="F861" i="8"/>
  <c r="E861" i="8"/>
  <c r="D861" i="8"/>
  <c r="J860" i="8"/>
  <c r="F860" i="8"/>
  <c r="E860" i="8"/>
  <c r="D860" i="8"/>
  <c r="G860" i="8" s="1"/>
  <c r="M860" i="8" s="1"/>
  <c r="J859" i="8"/>
  <c r="F859" i="8"/>
  <c r="E859" i="8"/>
  <c r="D859" i="8"/>
  <c r="G859" i="8" s="1"/>
  <c r="J858" i="8"/>
  <c r="F858" i="8"/>
  <c r="E858" i="8"/>
  <c r="D858" i="8"/>
  <c r="G858" i="8" s="1"/>
  <c r="J857" i="8"/>
  <c r="F857" i="8"/>
  <c r="E857" i="8"/>
  <c r="D857" i="8"/>
  <c r="J856" i="8"/>
  <c r="F856" i="8"/>
  <c r="E856" i="8"/>
  <c r="D856" i="8"/>
  <c r="G856" i="8" s="1"/>
  <c r="M856" i="8" s="1"/>
  <c r="J855" i="8"/>
  <c r="F855" i="8"/>
  <c r="E855" i="8"/>
  <c r="D855" i="8"/>
  <c r="G855" i="8" s="1"/>
  <c r="J854" i="8"/>
  <c r="F854" i="8"/>
  <c r="E854" i="8"/>
  <c r="D854" i="8"/>
  <c r="G854" i="8" s="1"/>
  <c r="J853" i="8"/>
  <c r="F853" i="8"/>
  <c r="E853" i="8"/>
  <c r="D853" i="8"/>
  <c r="J852" i="8"/>
  <c r="F852" i="8"/>
  <c r="E852" i="8"/>
  <c r="D852" i="8"/>
  <c r="G852" i="8" s="1"/>
  <c r="M852" i="8" s="1"/>
  <c r="J851" i="8"/>
  <c r="F851" i="8"/>
  <c r="E851" i="8"/>
  <c r="D851" i="8"/>
  <c r="G851" i="8" s="1"/>
  <c r="J850" i="8"/>
  <c r="F850" i="8"/>
  <c r="E850" i="8"/>
  <c r="D850" i="8"/>
  <c r="G850" i="8" s="1"/>
  <c r="J849" i="8"/>
  <c r="F849" i="8"/>
  <c r="E849" i="8"/>
  <c r="D849" i="8"/>
  <c r="J848" i="8"/>
  <c r="F848" i="8"/>
  <c r="E848" i="8"/>
  <c r="D848" i="8"/>
  <c r="G848" i="8" s="1"/>
  <c r="M848" i="8" s="1"/>
  <c r="J847" i="8"/>
  <c r="F847" i="8"/>
  <c r="E847" i="8"/>
  <c r="D847" i="8"/>
  <c r="G847" i="8" s="1"/>
  <c r="J846" i="8"/>
  <c r="F846" i="8"/>
  <c r="E846" i="8"/>
  <c r="D846" i="8"/>
  <c r="G846" i="8" s="1"/>
  <c r="J845" i="8"/>
  <c r="F845" i="8"/>
  <c r="E845" i="8"/>
  <c r="D845" i="8"/>
  <c r="J844" i="8"/>
  <c r="F844" i="8"/>
  <c r="E844" i="8"/>
  <c r="D844" i="8"/>
  <c r="G844" i="8" s="1"/>
  <c r="M844" i="8" s="1"/>
  <c r="J843" i="8"/>
  <c r="F843" i="8"/>
  <c r="E843" i="8"/>
  <c r="D843" i="8"/>
  <c r="G843" i="8" s="1"/>
  <c r="J842" i="8"/>
  <c r="F842" i="8"/>
  <c r="E842" i="8"/>
  <c r="D842" i="8"/>
  <c r="G842" i="8" s="1"/>
  <c r="J841" i="8"/>
  <c r="F841" i="8"/>
  <c r="E841" i="8"/>
  <c r="D841" i="8"/>
  <c r="J840" i="8"/>
  <c r="F840" i="8"/>
  <c r="E840" i="8"/>
  <c r="D840" i="8"/>
  <c r="G840" i="8" s="1"/>
  <c r="M840" i="8" s="1"/>
  <c r="J839" i="8"/>
  <c r="F839" i="8"/>
  <c r="E839" i="8"/>
  <c r="D839" i="8"/>
  <c r="G839" i="8" s="1"/>
  <c r="J838" i="8"/>
  <c r="F838" i="8"/>
  <c r="E838" i="8"/>
  <c r="D838" i="8"/>
  <c r="G838" i="8" s="1"/>
  <c r="J837" i="8"/>
  <c r="F837" i="8"/>
  <c r="E837" i="8"/>
  <c r="D837" i="8"/>
  <c r="J836" i="8"/>
  <c r="F836" i="8"/>
  <c r="E836" i="8"/>
  <c r="D836" i="8"/>
  <c r="G836" i="8" s="1"/>
  <c r="M836" i="8" s="1"/>
  <c r="J835" i="8"/>
  <c r="F835" i="8"/>
  <c r="E835" i="8"/>
  <c r="D835" i="8"/>
  <c r="G835" i="8" s="1"/>
  <c r="J834" i="8"/>
  <c r="F834" i="8"/>
  <c r="E834" i="8"/>
  <c r="D834" i="8"/>
  <c r="G834" i="8" s="1"/>
  <c r="J833" i="8"/>
  <c r="F833" i="8"/>
  <c r="E833" i="8"/>
  <c r="D833" i="8"/>
  <c r="J832" i="8"/>
  <c r="F832" i="8"/>
  <c r="E832" i="8"/>
  <c r="D832" i="8"/>
  <c r="G832" i="8" s="1"/>
  <c r="M832" i="8" s="1"/>
  <c r="J831" i="8"/>
  <c r="F831" i="8"/>
  <c r="E831" i="8"/>
  <c r="D831" i="8"/>
  <c r="G831" i="8" s="1"/>
  <c r="J830" i="8"/>
  <c r="F830" i="8"/>
  <c r="E830" i="8"/>
  <c r="D830" i="8"/>
  <c r="G830" i="8" s="1"/>
  <c r="J829" i="8"/>
  <c r="F829" i="8"/>
  <c r="E829" i="8"/>
  <c r="D829" i="8"/>
  <c r="J828" i="8"/>
  <c r="F828" i="8"/>
  <c r="E828" i="8"/>
  <c r="D828" i="8"/>
  <c r="G828" i="8" s="1"/>
  <c r="M828" i="8" s="1"/>
  <c r="J827" i="8"/>
  <c r="F827" i="8"/>
  <c r="E827" i="8"/>
  <c r="D827" i="8"/>
  <c r="G827" i="8" s="1"/>
  <c r="J826" i="8"/>
  <c r="F826" i="8"/>
  <c r="E826" i="8"/>
  <c r="D826" i="8"/>
  <c r="G826" i="8" s="1"/>
  <c r="J825" i="8"/>
  <c r="F825" i="8"/>
  <c r="E825" i="8"/>
  <c r="D825" i="8"/>
  <c r="J824" i="8"/>
  <c r="F824" i="8"/>
  <c r="E824" i="8"/>
  <c r="D824" i="8"/>
  <c r="G824" i="8" s="1"/>
  <c r="M824" i="8" s="1"/>
  <c r="J823" i="8"/>
  <c r="F823" i="8"/>
  <c r="E823" i="8"/>
  <c r="D823" i="8"/>
  <c r="G823" i="8" s="1"/>
  <c r="J822" i="8"/>
  <c r="F822" i="8"/>
  <c r="E822" i="8"/>
  <c r="D822" i="8"/>
  <c r="G822" i="8" s="1"/>
  <c r="J821" i="8"/>
  <c r="F821" i="8"/>
  <c r="E821" i="8"/>
  <c r="D821" i="8"/>
  <c r="J820" i="8"/>
  <c r="F820" i="8"/>
  <c r="E820" i="8"/>
  <c r="D820" i="8"/>
  <c r="G820" i="8" s="1"/>
  <c r="M820" i="8" s="1"/>
  <c r="J819" i="8"/>
  <c r="F819" i="8"/>
  <c r="E819" i="8"/>
  <c r="D819" i="8"/>
  <c r="G819" i="8" s="1"/>
  <c r="J818" i="8"/>
  <c r="F818" i="8"/>
  <c r="E818" i="8"/>
  <c r="D818" i="8"/>
  <c r="G818" i="8" s="1"/>
  <c r="J817" i="8"/>
  <c r="F817" i="8"/>
  <c r="E817" i="8"/>
  <c r="D817" i="8"/>
  <c r="J816" i="8"/>
  <c r="F816" i="8"/>
  <c r="E816" i="8"/>
  <c r="D816" i="8"/>
  <c r="G816" i="8" s="1"/>
  <c r="M816" i="8" s="1"/>
  <c r="J815" i="8"/>
  <c r="F815" i="8"/>
  <c r="E815" i="8"/>
  <c r="D815" i="8"/>
  <c r="G815" i="8" s="1"/>
  <c r="J814" i="8"/>
  <c r="F814" i="8"/>
  <c r="E814" i="8"/>
  <c r="D814" i="8"/>
  <c r="G814" i="8" s="1"/>
  <c r="J813" i="8"/>
  <c r="F813" i="8"/>
  <c r="E813" i="8"/>
  <c r="D813" i="8"/>
  <c r="J812" i="8"/>
  <c r="F812" i="8"/>
  <c r="E812" i="8"/>
  <c r="D812" i="8"/>
  <c r="G812" i="8" s="1"/>
  <c r="M812" i="8" s="1"/>
  <c r="J811" i="8"/>
  <c r="F811" i="8"/>
  <c r="E811" i="8"/>
  <c r="D811" i="8"/>
  <c r="G811" i="8" s="1"/>
  <c r="J810" i="8"/>
  <c r="F810" i="8"/>
  <c r="E810" i="8"/>
  <c r="D810" i="8"/>
  <c r="G810" i="8" s="1"/>
  <c r="J809" i="8"/>
  <c r="F809" i="8"/>
  <c r="E809" i="8"/>
  <c r="D809" i="8"/>
  <c r="J808" i="8"/>
  <c r="F808" i="8"/>
  <c r="E808" i="8"/>
  <c r="D808" i="8"/>
  <c r="G808" i="8" s="1"/>
  <c r="M808" i="8" s="1"/>
  <c r="J807" i="8"/>
  <c r="F807" i="8"/>
  <c r="E807" i="8"/>
  <c r="D807" i="8"/>
  <c r="G807" i="8" s="1"/>
  <c r="J806" i="8"/>
  <c r="F806" i="8"/>
  <c r="E806" i="8"/>
  <c r="D806" i="8"/>
  <c r="G806" i="8" s="1"/>
  <c r="J805" i="8"/>
  <c r="F805" i="8"/>
  <c r="E805" i="8"/>
  <c r="D805" i="8"/>
  <c r="J804" i="8"/>
  <c r="F804" i="8"/>
  <c r="E804" i="8"/>
  <c r="D804" i="8"/>
  <c r="G804" i="8" s="1"/>
  <c r="M804" i="8" s="1"/>
  <c r="J803" i="8"/>
  <c r="F803" i="8"/>
  <c r="E803" i="8"/>
  <c r="D803" i="8"/>
  <c r="G803" i="8" s="1"/>
  <c r="J802" i="8"/>
  <c r="F802" i="8"/>
  <c r="E802" i="8"/>
  <c r="D802" i="8"/>
  <c r="G802" i="8" s="1"/>
  <c r="J801" i="8"/>
  <c r="F801" i="8"/>
  <c r="E801" i="8"/>
  <c r="D801" i="8"/>
  <c r="J800" i="8"/>
  <c r="F800" i="8"/>
  <c r="E800" i="8"/>
  <c r="D800" i="8"/>
  <c r="G800" i="8" s="1"/>
  <c r="M800" i="8" s="1"/>
  <c r="J799" i="8"/>
  <c r="F799" i="8"/>
  <c r="E799" i="8"/>
  <c r="D799" i="8"/>
  <c r="G799" i="8" s="1"/>
  <c r="J798" i="8"/>
  <c r="F798" i="8"/>
  <c r="E798" i="8"/>
  <c r="D798" i="8"/>
  <c r="G798" i="8" s="1"/>
  <c r="J797" i="8"/>
  <c r="F797" i="8"/>
  <c r="E797" i="8"/>
  <c r="D797" i="8"/>
  <c r="J796" i="8"/>
  <c r="F796" i="8"/>
  <c r="E796" i="8"/>
  <c r="D796" i="8"/>
  <c r="G796" i="8" s="1"/>
  <c r="M796" i="8" s="1"/>
  <c r="J795" i="8"/>
  <c r="F795" i="8"/>
  <c r="E795" i="8"/>
  <c r="D795" i="8"/>
  <c r="G795" i="8" s="1"/>
  <c r="J794" i="8"/>
  <c r="F794" i="8"/>
  <c r="E794" i="8"/>
  <c r="D794" i="8"/>
  <c r="G794" i="8" s="1"/>
  <c r="J793" i="8"/>
  <c r="F793" i="8"/>
  <c r="E793" i="8"/>
  <c r="D793" i="8"/>
  <c r="J792" i="8"/>
  <c r="F792" i="8"/>
  <c r="E792" i="8"/>
  <c r="D792" i="8"/>
  <c r="G792" i="8" s="1"/>
  <c r="M792" i="8" s="1"/>
  <c r="J791" i="8"/>
  <c r="F791" i="8"/>
  <c r="E791" i="8"/>
  <c r="D791" i="8"/>
  <c r="G791" i="8" s="1"/>
  <c r="J790" i="8"/>
  <c r="F790" i="8"/>
  <c r="E790" i="8"/>
  <c r="D790" i="8"/>
  <c r="G790" i="8" s="1"/>
  <c r="J789" i="8"/>
  <c r="F789" i="8"/>
  <c r="E789" i="8"/>
  <c r="D789" i="8"/>
  <c r="J788" i="8"/>
  <c r="F788" i="8"/>
  <c r="E788" i="8"/>
  <c r="D788" i="8"/>
  <c r="G788" i="8" s="1"/>
  <c r="M788" i="8" s="1"/>
  <c r="J787" i="8"/>
  <c r="F787" i="8"/>
  <c r="E787" i="8"/>
  <c r="D787" i="8"/>
  <c r="G787" i="8" s="1"/>
  <c r="J786" i="8"/>
  <c r="F786" i="8"/>
  <c r="E786" i="8"/>
  <c r="D786" i="8"/>
  <c r="G786" i="8" s="1"/>
  <c r="J785" i="8"/>
  <c r="F785" i="8"/>
  <c r="E785" i="8"/>
  <c r="D785" i="8"/>
  <c r="J784" i="8"/>
  <c r="F784" i="8"/>
  <c r="E784" i="8"/>
  <c r="D784" i="8"/>
  <c r="G784" i="8" s="1"/>
  <c r="M784" i="8" s="1"/>
  <c r="J783" i="8"/>
  <c r="F783" i="8"/>
  <c r="E783" i="8"/>
  <c r="D783" i="8"/>
  <c r="G783" i="8" s="1"/>
  <c r="J782" i="8"/>
  <c r="F782" i="8"/>
  <c r="E782" i="8"/>
  <c r="D782" i="8"/>
  <c r="G782" i="8" s="1"/>
  <c r="J781" i="8"/>
  <c r="F781" i="8"/>
  <c r="E781" i="8"/>
  <c r="D781" i="8"/>
  <c r="J780" i="8"/>
  <c r="F780" i="8"/>
  <c r="E780" i="8"/>
  <c r="D780" i="8"/>
  <c r="G780" i="8" s="1"/>
  <c r="M780" i="8" s="1"/>
  <c r="J779" i="8"/>
  <c r="F779" i="8"/>
  <c r="E779" i="8"/>
  <c r="D779" i="8"/>
  <c r="G779" i="8" s="1"/>
  <c r="J778" i="8"/>
  <c r="F778" i="8"/>
  <c r="E778" i="8"/>
  <c r="D778" i="8"/>
  <c r="G778" i="8" s="1"/>
  <c r="J777" i="8"/>
  <c r="F777" i="8"/>
  <c r="E777" i="8"/>
  <c r="D777" i="8"/>
  <c r="J776" i="8"/>
  <c r="G776" i="8"/>
  <c r="M776" i="8" s="1"/>
  <c r="F776" i="8"/>
  <c r="E776" i="8"/>
  <c r="D776" i="8"/>
  <c r="J775" i="8"/>
  <c r="F775" i="8"/>
  <c r="E775" i="8"/>
  <c r="D775" i="8"/>
  <c r="G775" i="8" s="1"/>
  <c r="J774" i="8"/>
  <c r="F774" i="8"/>
  <c r="E774" i="8"/>
  <c r="D774" i="8"/>
  <c r="G774" i="8" s="1"/>
  <c r="J773" i="8"/>
  <c r="F773" i="8"/>
  <c r="E773" i="8"/>
  <c r="D773" i="8"/>
  <c r="J772" i="8"/>
  <c r="F772" i="8"/>
  <c r="E772" i="8"/>
  <c r="D772" i="8"/>
  <c r="G772" i="8" s="1"/>
  <c r="M772" i="8" s="1"/>
  <c r="J771" i="8"/>
  <c r="F771" i="8"/>
  <c r="E771" i="8"/>
  <c r="D771" i="8"/>
  <c r="G771" i="8" s="1"/>
  <c r="J770" i="8"/>
  <c r="F770" i="8"/>
  <c r="E770" i="8"/>
  <c r="D770" i="8"/>
  <c r="G770" i="8" s="1"/>
  <c r="J769" i="8"/>
  <c r="F769" i="8"/>
  <c r="E769" i="8"/>
  <c r="D769" i="8"/>
  <c r="J768" i="8"/>
  <c r="F768" i="8"/>
  <c r="E768" i="8"/>
  <c r="D768" i="8"/>
  <c r="G768" i="8" s="1"/>
  <c r="M768" i="8" s="1"/>
  <c r="J767" i="8"/>
  <c r="F767" i="8"/>
  <c r="E767" i="8"/>
  <c r="D767" i="8"/>
  <c r="G767" i="8" s="1"/>
  <c r="J766" i="8"/>
  <c r="F766" i="8"/>
  <c r="E766" i="8"/>
  <c r="D766" i="8"/>
  <c r="G766" i="8" s="1"/>
  <c r="J765" i="8"/>
  <c r="F765" i="8"/>
  <c r="E765" i="8"/>
  <c r="D765" i="8"/>
  <c r="J764" i="8"/>
  <c r="F764" i="8"/>
  <c r="E764" i="8"/>
  <c r="D764" i="8"/>
  <c r="G764" i="8" s="1"/>
  <c r="M764" i="8" s="1"/>
  <c r="J763" i="8"/>
  <c r="F763" i="8"/>
  <c r="E763" i="8"/>
  <c r="D763" i="8"/>
  <c r="G763" i="8" s="1"/>
  <c r="J762" i="8"/>
  <c r="F762" i="8"/>
  <c r="E762" i="8"/>
  <c r="D762" i="8"/>
  <c r="G762" i="8" s="1"/>
  <c r="J761" i="8"/>
  <c r="F761" i="8"/>
  <c r="E761" i="8"/>
  <c r="D761" i="8"/>
  <c r="J760" i="8"/>
  <c r="F760" i="8"/>
  <c r="E760" i="8"/>
  <c r="D760" i="8"/>
  <c r="G760" i="8" s="1"/>
  <c r="M760" i="8" s="1"/>
  <c r="J759" i="8"/>
  <c r="F759" i="8"/>
  <c r="E759" i="8"/>
  <c r="D759" i="8"/>
  <c r="G759" i="8" s="1"/>
  <c r="J758" i="8"/>
  <c r="F758" i="8"/>
  <c r="E758" i="8"/>
  <c r="D758" i="8"/>
  <c r="G758" i="8" s="1"/>
  <c r="J757" i="8"/>
  <c r="F757" i="8"/>
  <c r="E757" i="8"/>
  <c r="D757" i="8"/>
  <c r="J756" i="8"/>
  <c r="F756" i="8"/>
  <c r="E756" i="8"/>
  <c r="D756" i="8"/>
  <c r="G756" i="8" s="1"/>
  <c r="M756" i="8" s="1"/>
  <c r="J755" i="8"/>
  <c r="F755" i="8"/>
  <c r="E755" i="8"/>
  <c r="D755" i="8"/>
  <c r="G755" i="8" s="1"/>
  <c r="J754" i="8"/>
  <c r="F754" i="8"/>
  <c r="E754" i="8"/>
  <c r="D754" i="8"/>
  <c r="G754" i="8" s="1"/>
  <c r="J753" i="8"/>
  <c r="F753" i="8"/>
  <c r="E753" i="8"/>
  <c r="D753" i="8"/>
  <c r="J752" i="8"/>
  <c r="F752" i="8"/>
  <c r="E752" i="8"/>
  <c r="D752" i="8"/>
  <c r="G752" i="8" s="1"/>
  <c r="M752" i="8" s="1"/>
  <c r="J751" i="8"/>
  <c r="F751" i="8"/>
  <c r="E751" i="8"/>
  <c r="D751" i="8"/>
  <c r="G751" i="8" s="1"/>
  <c r="J750" i="8"/>
  <c r="F750" i="8"/>
  <c r="E750" i="8"/>
  <c r="D750" i="8"/>
  <c r="G750" i="8" s="1"/>
  <c r="J749" i="8"/>
  <c r="F749" i="8"/>
  <c r="E749" i="8"/>
  <c r="D749" i="8"/>
  <c r="J748" i="8"/>
  <c r="F748" i="8"/>
  <c r="E748" i="8"/>
  <c r="D748" i="8"/>
  <c r="G748" i="8" s="1"/>
  <c r="M748" i="8" s="1"/>
  <c r="J747" i="8"/>
  <c r="F747" i="8"/>
  <c r="E747" i="8"/>
  <c r="D747" i="8"/>
  <c r="G747" i="8" s="1"/>
  <c r="J746" i="8"/>
  <c r="F746" i="8"/>
  <c r="E746" i="8"/>
  <c r="D746" i="8"/>
  <c r="G746" i="8" s="1"/>
  <c r="J745" i="8"/>
  <c r="F745" i="8"/>
  <c r="E745" i="8"/>
  <c r="D745" i="8"/>
  <c r="J744" i="8"/>
  <c r="F744" i="8"/>
  <c r="E744" i="8"/>
  <c r="D744" i="8"/>
  <c r="G744" i="8" s="1"/>
  <c r="M744" i="8" s="1"/>
  <c r="J743" i="8"/>
  <c r="F743" i="8"/>
  <c r="E743" i="8"/>
  <c r="D743" i="8"/>
  <c r="G743" i="8" s="1"/>
  <c r="J742" i="8"/>
  <c r="F742" i="8"/>
  <c r="E742" i="8"/>
  <c r="D742" i="8"/>
  <c r="G742" i="8" s="1"/>
  <c r="J741" i="8"/>
  <c r="F741" i="8"/>
  <c r="E741" i="8"/>
  <c r="D741" i="8"/>
  <c r="J740" i="8"/>
  <c r="F740" i="8"/>
  <c r="E740" i="8"/>
  <c r="D740" i="8"/>
  <c r="G740" i="8" s="1"/>
  <c r="M740" i="8" s="1"/>
  <c r="J739" i="8"/>
  <c r="F739" i="8"/>
  <c r="E739" i="8"/>
  <c r="D739" i="8"/>
  <c r="G739" i="8" s="1"/>
  <c r="J738" i="8"/>
  <c r="F738" i="8"/>
  <c r="E738" i="8"/>
  <c r="D738" i="8"/>
  <c r="G738" i="8" s="1"/>
  <c r="J737" i="8"/>
  <c r="F737" i="8"/>
  <c r="E737" i="8"/>
  <c r="D737" i="8"/>
  <c r="J736" i="8"/>
  <c r="F736" i="8"/>
  <c r="E736" i="8"/>
  <c r="D736" i="8"/>
  <c r="G736" i="8" s="1"/>
  <c r="M736" i="8" s="1"/>
  <c r="J735" i="8"/>
  <c r="F735" i="8"/>
  <c r="E735" i="8"/>
  <c r="D735" i="8"/>
  <c r="G735" i="8" s="1"/>
  <c r="J734" i="8"/>
  <c r="F734" i="8"/>
  <c r="E734" i="8"/>
  <c r="D734" i="8"/>
  <c r="G734" i="8" s="1"/>
  <c r="J733" i="8"/>
  <c r="F733" i="8"/>
  <c r="E733" i="8"/>
  <c r="D733" i="8"/>
  <c r="J732" i="8"/>
  <c r="F732" i="8"/>
  <c r="E732" i="8"/>
  <c r="D732" i="8"/>
  <c r="G732" i="8" s="1"/>
  <c r="M732" i="8" s="1"/>
  <c r="J731" i="8"/>
  <c r="F731" i="8"/>
  <c r="E731" i="8"/>
  <c r="D731" i="8"/>
  <c r="G731" i="8" s="1"/>
  <c r="J730" i="8"/>
  <c r="F730" i="8"/>
  <c r="E730" i="8"/>
  <c r="D730" i="8"/>
  <c r="G730" i="8" s="1"/>
  <c r="J729" i="8"/>
  <c r="F729" i="8"/>
  <c r="E729" i="8"/>
  <c r="D729" i="8"/>
  <c r="J728" i="8"/>
  <c r="F728" i="8"/>
  <c r="E728" i="8"/>
  <c r="D728" i="8"/>
  <c r="G728" i="8" s="1"/>
  <c r="M728" i="8" s="1"/>
  <c r="J727" i="8"/>
  <c r="F727" i="8"/>
  <c r="E727" i="8"/>
  <c r="D727" i="8"/>
  <c r="G727" i="8" s="1"/>
  <c r="J726" i="8"/>
  <c r="F726" i="8"/>
  <c r="E726" i="8"/>
  <c r="D726" i="8"/>
  <c r="G726" i="8" s="1"/>
  <c r="J725" i="8"/>
  <c r="F725" i="8"/>
  <c r="E725" i="8"/>
  <c r="D725" i="8"/>
  <c r="J724" i="8"/>
  <c r="F724" i="8"/>
  <c r="E724" i="8"/>
  <c r="D724" i="8"/>
  <c r="G724" i="8" s="1"/>
  <c r="M724" i="8" s="1"/>
  <c r="J723" i="8"/>
  <c r="F723" i="8"/>
  <c r="E723" i="8"/>
  <c r="D723" i="8"/>
  <c r="G723" i="8" s="1"/>
  <c r="J722" i="8"/>
  <c r="F722" i="8"/>
  <c r="E722" i="8"/>
  <c r="D722" i="8"/>
  <c r="G722" i="8" s="1"/>
  <c r="J721" i="8"/>
  <c r="F721" i="8"/>
  <c r="E721" i="8"/>
  <c r="D721" i="8"/>
  <c r="J720" i="8"/>
  <c r="F720" i="8"/>
  <c r="E720" i="8"/>
  <c r="D720" i="8"/>
  <c r="G720" i="8" s="1"/>
  <c r="M720" i="8" s="1"/>
  <c r="J719" i="8"/>
  <c r="F719" i="8"/>
  <c r="E719" i="8"/>
  <c r="D719" i="8"/>
  <c r="G719" i="8" s="1"/>
  <c r="J718" i="8"/>
  <c r="F718" i="8"/>
  <c r="E718" i="8"/>
  <c r="D718" i="8"/>
  <c r="G718" i="8" s="1"/>
  <c r="J717" i="8"/>
  <c r="F717" i="8"/>
  <c r="E717" i="8"/>
  <c r="D717" i="8"/>
  <c r="J716" i="8"/>
  <c r="F716" i="8"/>
  <c r="E716" i="8"/>
  <c r="D716" i="8"/>
  <c r="G716" i="8" s="1"/>
  <c r="M716" i="8" s="1"/>
  <c r="J715" i="8"/>
  <c r="F715" i="8"/>
  <c r="E715" i="8"/>
  <c r="D715" i="8"/>
  <c r="G715" i="8" s="1"/>
  <c r="J714" i="8"/>
  <c r="F714" i="8"/>
  <c r="E714" i="8"/>
  <c r="D714" i="8"/>
  <c r="G714" i="8" s="1"/>
  <c r="J713" i="8"/>
  <c r="F713" i="8"/>
  <c r="E713" i="8"/>
  <c r="D713" i="8"/>
  <c r="J712" i="8"/>
  <c r="F712" i="8"/>
  <c r="E712" i="8"/>
  <c r="D712" i="8"/>
  <c r="G712" i="8" s="1"/>
  <c r="M712" i="8" s="1"/>
  <c r="J711" i="8"/>
  <c r="F711" i="8"/>
  <c r="E711" i="8"/>
  <c r="D711" i="8"/>
  <c r="G711" i="8" s="1"/>
  <c r="J710" i="8"/>
  <c r="F710" i="8"/>
  <c r="E710" i="8"/>
  <c r="D710" i="8"/>
  <c r="G710" i="8" s="1"/>
  <c r="J709" i="8"/>
  <c r="F709" i="8"/>
  <c r="E709" i="8"/>
  <c r="D709" i="8"/>
  <c r="J708" i="8"/>
  <c r="F708" i="8"/>
  <c r="E708" i="8"/>
  <c r="D708" i="8"/>
  <c r="G708" i="8" s="1"/>
  <c r="M708" i="8" s="1"/>
  <c r="J707" i="8"/>
  <c r="F707" i="8"/>
  <c r="E707" i="8"/>
  <c r="D707" i="8"/>
  <c r="G707" i="8" s="1"/>
  <c r="J706" i="8"/>
  <c r="F706" i="8"/>
  <c r="E706" i="8"/>
  <c r="D706" i="8"/>
  <c r="G706" i="8" s="1"/>
  <c r="J705" i="8"/>
  <c r="F705" i="8"/>
  <c r="E705" i="8"/>
  <c r="D705" i="8"/>
  <c r="J704" i="8"/>
  <c r="F704" i="8"/>
  <c r="E704" i="8"/>
  <c r="D704" i="8"/>
  <c r="G704" i="8" s="1"/>
  <c r="M704" i="8" s="1"/>
  <c r="J703" i="8"/>
  <c r="F703" i="8"/>
  <c r="E703" i="8"/>
  <c r="D703" i="8"/>
  <c r="G703" i="8" s="1"/>
  <c r="J702" i="8"/>
  <c r="F702" i="8"/>
  <c r="E702" i="8"/>
  <c r="D702" i="8"/>
  <c r="G702" i="8" s="1"/>
  <c r="J701" i="8"/>
  <c r="F701" i="8"/>
  <c r="E701" i="8"/>
  <c r="D701" i="8"/>
  <c r="J700" i="8"/>
  <c r="F700" i="8"/>
  <c r="E700" i="8"/>
  <c r="D700" i="8"/>
  <c r="G700" i="8" s="1"/>
  <c r="M700" i="8" s="1"/>
  <c r="J699" i="8"/>
  <c r="F699" i="8"/>
  <c r="E699" i="8"/>
  <c r="D699" i="8"/>
  <c r="G699" i="8" s="1"/>
  <c r="J698" i="8"/>
  <c r="F698" i="8"/>
  <c r="E698" i="8"/>
  <c r="D698" i="8"/>
  <c r="G698" i="8" s="1"/>
  <c r="J697" i="8"/>
  <c r="F697" i="8"/>
  <c r="E697" i="8"/>
  <c r="D697" i="8"/>
  <c r="J696" i="8"/>
  <c r="F696" i="8"/>
  <c r="E696" i="8"/>
  <c r="D696" i="8"/>
  <c r="G696" i="8" s="1"/>
  <c r="M696" i="8" s="1"/>
  <c r="J695" i="8"/>
  <c r="F695" i="8"/>
  <c r="E695" i="8"/>
  <c r="D695" i="8"/>
  <c r="G695" i="8" s="1"/>
  <c r="J694" i="8"/>
  <c r="F694" i="8"/>
  <c r="E694" i="8"/>
  <c r="D694" i="8"/>
  <c r="G694" i="8" s="1"/>
  <c r="J693" i="8"/>
  <c r="F693" i="8"/>
  <c r="E693" i="8"/>
  <c r="D693" i="8"/>
  <c r="J692" i="8"/>
  <c r="F692" i="8"/>
  <c r="E692" i="8"/>
  <c r="D692" i="8"/>
  <c r="G692" i="8" s="1"/>
  <c r="M692" i="8" s="1"/>
  <c r="J691" i="8"/>
  <c r="F691" i="8"/>
  <c r="E691" i="8"/>
  <c r="D691" i="8"/>
  <c r="G691" i="8" s="1"/>
  <c r="J690" i="8"/>
  <c r="F690" i="8"/>
  <c r="E690" i="8"/>
  <c r="D690" i="8"/>
  <c r="G690" i="8" s="1"/>
  <c r="J689" i="8"/>
  <c r="F689" i="8"/>
  <c r="E689" i="8"/>
  <c r="D689" i="8"/>
  <c r="J688" i="8"/>
  <c r="F688" i="8"/>
  <c r="E688" i="8"/>
  <c r="D688" i="8"/>
  <c r="G688" i="8" s="1"/>
  <c r="M688" i="8" s="1"/>
  <c r="J687" i="8"/>
  <c r="F687" i="8"/>
  <c r="E687" i="8"/>
  <c r="D687" i="8"/>
  <c r="G687" i="8" s="1"/>
  <c r="J686" i="8"/>
  <c r="F686" i="8"/>
  <c r="E686" i="8"/>
  <c r="D686" i="8"/>
  <c r="G686" i="8" s="1"/>
  <c r="J685" i="8"/>
  <c r="F685" i="8"/>
  <c r="E685" i="8"/>
  <c r="D685" i="8"/>
  <c r="J684" i="8"/>
  <c r="F684" i="8"/>
  <c r="E684" i="8"/>
  <c r="D684" i="8"/>
  <c r="G684" i="8" s="1"/>
  <c r="M684" i="8" s="1"/>
  <c r="J683" i="8"/>
  <c r="F683" i="8"/>
  <c r="E683" i="8"/>
  <c r="D683" i="8"/>
  <c r="G683" i="8" s="1"/>
  <c r="J682" i="8"/>
  <c r="F682" i="8"/>
  <c r="E682" i="8"/>
  <c r="D682" i="8"/>
  <c r="G682" i="8" s="1"/>
  <c r="J681" i="8"/>
  <c r="F681" i="8"/>
  <c r="E681" i="8"/>
  <c r="D681" i="8"/>
  <c r="G681" i="8" s="1"/>
  <c r="M681" i="8" s="1"/>
  <c r="J680" i="8"/>
  <c r="G680" i="8"/>
  <c r="F680" i="8"/>
  <c r="E680" i="8"/>
  <c r="D680" i="8"/>
  <c r="J679" i="8"/>
  <c r="F679" i="8"/>
  <c r="E679" i="8"/>
  <c r="D679" i="8"/>
  <c r="G679" i="8" s="1"/>
  <c r="J678" i="8"/>
  <c r="F678" i="8"/>
  <c r="E678" i="8"/>
  <c r="D678" i="8"/>
  <c r="G678" i="8" s="1"/>
  <c r="J677" i="8"/>
  <c r="F677" i="8"/>
  <c r="E677" i="8"/>
  <c r="D677" i="8"/>
  <c r="G677" i="8" s="1"/>
  <c r="M677" i="8" s="1"/>
  <c r="J676" i="8"/>
  <c r="F676" i="8"/>
  <c r="E676" i="8"/>
  <c r="D676" i="8"/>
  <c r="G676" i="8" s="1"/>
  <c r="J675" i="8"/>
  <c r="F675" i="8"/>
  <c r="E675" i="8"/>
  <c r="D675" i="8"/>
  <c r="G675" i="8" s="1"/>
  <c r="M675" i="8" s="1"/>
  <c r="J674" i="8"/>
  <c r="F674" i="8"/>
  <c r="E674" i="8"/>
  <c r="D674" i="8"/>
  <c r="G674" i="8" s="1"/>
  <c r="J673" i="8"/>
  <c r="F673" i="8"/>
  <c r="E673" i="8"/>
  <c r="D673" i="8"/>
  <c r="G673" i="8" s="1"/>
  <c r="M673" i="8" s="1"/>
  <c r="J672" i="8"/>
  <c r="F672" i="8"/>
  <c r="E672" i="8"/>
  <c r="D672" i="8"/>
  <c r="G672" i="8" s="1"/>
  <c r="J671" i="8"/>
  <c r="F671" i="8"/>
  <c r="E671" i="8"/>
  <c r="D671" i="8"/>
  <c r="G671" i="8" s="1"/>
  <c r="J670" i="8"/>
  <c r="F670" i="8"/>
  <c r="E670" i="8"/>
  <c r="D670" i="8"/>
  <c r="G670" i="8" s="1"/>
  <c r="J669" i="8"/>
  <c r="F669" i="8"/>
  <c r="E669" i="8"/>
  <c r="D669" i="8"/>
  <c r="G669" i="8" s="1"/>
  <c r="M669" i="8" s="1"/>
  <c r="J668" i="8"/>
  <c r="F668" i="8"/>
  <c r="E668" i="8"/>
  <c r="D668" i="8"/>
  <c r="G668" i="8" s="1"/>
  <c r="J667" i="8"/>
  <c r="F667" i="8"/>
  <c r="E667" i="8"/>
  <c r="D667" i="8"/>
  <c r="G667" i="8" s="1"/>
  <c r="M667" i="8" s="1"/>
  <c r="J666" i="8"/>
  <c r="F666" i="8"/>
  <c r="E666" i="8"/>
  <c r="D666" i="8"/>
  <c r="G666" i="8" s="1"/>
  <c r="J665" i="8"/>
  <c r="F665" i="8"/>
  <c r="E665" i="8"/>
  <c r="D665" i="8"/>
  <c r="G665" i="8" s="1"/>
  <c r="M665" i="8" s="1"/>
  <c r="J664" i="8"/>
  <c r="F664" i="8"/>
  <c r="E664" i="8"/>
  <c r="D664" i="8"/>
  <c r="G664" i="8" s="1"/>
  <c r="J663" i="8"/>
  <c r="F663" i="8"/>
  <c r="E663" i="8"/>
  <c r="D663" i="8"/>
  <c r="G663" i="8" s="1"/>
  <c r="J662" i="8"/>
  <c r="F662" i="8"/>
  <c r="E662" i="8"/>
  <c r="D662" i="8"/>
  <c r="G662" i="8" s="1"/>
  <c r="J661" i="8"/>
  <c r="F661" i="8"/>
  <c r="E661" i="8"/>
  <c r="D661" i="8"/>
  <c r="G661" i="8" s="1"/>
  <c r="M661" i="8" s="1"/>
  <c r="J660" i="8"/>
  <c r="F660" i="8"/>
  <c r="E660" i="8"/>
  <c r="D660" i="8"/>
  <c r="G660" i="8" s="1"/>
  <c r="J659" i="8"/>
  <c r="F659" i="8"/>
  <c r="E659" i="8"/>
  <c r="D659" i="8"/>
  <c r="G659" i="8" s="1"/>
  <c r="M659" i="8" s="1"/>
  <c r="J658" i="8"/>
  <c r="F658" i="8"/>
  <c r="E658" i="8"/>
  <c r="D658" i="8"/>
  <c r="G658" i="8" s="1"/>
  <c r="J657" i="8"/>
  <c r="F657" i="8"/>
  <c r="E657" i="8"/>
  <c r="D657" i="8"/>
  <c r="G657" i="8" s="1"/>
  <c r="M657" i="8" s="1"/>
  <c r="J656" i="8"/>
  <c r="F656" i="8"/>
  <c r="E656" i="8"/>
  <c r="D656" i="8"/>
  <c r="G656" i="8" s="1"/>
  <c r="J655" i="8"/>
  <c r="F655" i="8"/>
  <c r="E655" i="8"/>
  <c r="D655" i="8"/>
  <c r="G655" i="8" s="1"/>
  <c r="J654" i="8"/>
  <c r="F654" i="8"/>
  <c r="E654" i="8"/>
  <c r="D654" i="8"/>
  <c r="G654" i="8" s="1"/>
  <c r="J653" i="8"/>
  <c r="F653" i="8"/>
  <c r="E653" i="8"/>
  <c r="D653" i="8"/>
  <c r="G653" i="8" s="1"/>
  <c r="M653" i="8" s="1"/>
  <c r="J652" i="8"/>
  <c r="F652" i="8"/>
  <c r="E652" i="8"/>
  <c r="D652" i="8"/>
  <c r="G652" i="8" s="1"/>
  <c r="J651" i="8"/>
  <c r="F651" i="8"/>
  <c r="E651" i="8"/>
  <c r="D651" i="8"/>
  <c r="G651" i="8" s="1"/>
  <c r="M651" i="8" s="1"/>
  <c r="J650" i="8"/>
  <c r="F650" i="8"/>
  <c r="E650" i="8"/>
  <c r="D650" i="8"/>
  <c r="G650" i="8" s="1"/>
  <c r="J649" i="8"/>
  <c r="F649" i="8"/>
  <c r="E649" i="8"/>
  <c r="D649" i="8"/>
  <c r="G649" i="8" s="1"/>
  <c r="M649" i="8" s="1"/>
  <c r="J648" i="8"/>
  <c r="F648" i="8"/>
  <c r="E648" i="8"/>
  <c r="D648" i="8"/>
  <c r="G648" i="8" s="1"/>
  <c r="J647" i="8"/>
  <c r="F647" i="8"/>
  <c r="E647" i="8"/>
  <c r="D647" i="8"/>
  <c r="G647" i="8" s="1"/>
  <c r="J646" i="8"/>
  <c r="F646" i="8"/>
  <c r="E646" i="8"/>
  <c r="D646" i="8"/>
  <c r="G646" i="8" s="1"/>
  <c r="J645" i="8"/>
  <c r="F645" i="8"/>
  <c r="E645" i="8"/>
  <c r="D645" i="8"/>
  <c r="G645" i="8" s="1"/>
  <c r="M645" i="8" s="1"/>
  <c r="J644" i="8"/>
  <c r="F644" i="8"/>
  <c r="E644" i="8"/>
  <c r="D644" i="8"/>
  <c r="G644" i="8" s="1"/>
  <c r="J643" i="8"/>
  <c r="F643" i="8"/>
  <c r="E643" i="8"/>
  <c r="D643" i="8"/>
  <c r="G643" i="8" s="1"/>
  <c r="M643" i="8" s="1"/>
  <c r="J642" i="8"/>
  <c r="F642" i="8"/>
  <c r="E642" i="8"/>
  <c r="D642" i="8"/>
  <c r="G642" i="8" s="1"/>
  <c r="J641" i="8"/>
  <c r="F641" i="8"/>
  <c r="E641" i="8"/>
  <c r="D641" i="8"/>
  <c r="G641" i="8" s="1"/>
  <c r="M641" i="8" s="1"/>
  <c r="J640" i="8"/>
  <c r="F640" i="8"/>
  <c r="E640" i="8"/>
  <c r="D640" i="8"/>
  <c r="G640" i="8" s="1"/>
  <c r="J639" i="8"/>
  <c r="F639" i="8"/>
  <c r="E639" i="8"/>
  <c r="D639" i="8"/>
  <c r="G639" i="8" s="1"/>
  <c r="J638" i="8"/>
  <c r="F638" i="8"/>
  <c r="E638" i="8"/>
  <c r="D638" i="8"/>
  <c r="G638" i="8" s="1"/>
  <c r="J637" i="8"/>
  <c r="F637" i="8"/>
  <c r="E637" i="8"/>
  <c r="D637" i="8"/>
  <c r="G637" i="8" s="1"/>
  <c r="M637" i="8" s="1"/>
  <c r="J636" i="8"/>
  <c r="F636" i="8"/>
  <c r="E636" i="8"/>
  <c r="D636" i="8"/>
  <c r="G636" i="8" s="1"/>
  <c r="J635" i="8"/>
  <c r="F635" i="8"/>
  <c r="E635" i="8"/>
  <c r="D635" i="8"/>
  <c r="G635" i="8" s="1"/>
  <c r="M635" i="8" s="1"/>
  <c r="J634" i="8"/>
  <c r="F634" i="8"/>
  <c r="E634" i="8"/>
  <c r="D634" i="8"/>
  <c r="G634" i="8" s="1"/>
  <c r="J633" i="8"/>
  <c r="F633" i="8"/>
  <c r="E633" i="8"/>
  <c r="D633" i="8"/>
  <c r="G633" i="8" s="1"/>
  <c r="M633" i="8" s="1"/>
  <c r="J632" i="8"/>
  <c r="F632" i="8"/>
  <c r="E632" i="8"/>
  <c r="D632" i="8"/>
  <c r="G632" i="8" s="1"/>
  <c r="J631" i="8"/>
  <c r="F631" i="8"/>
  <c r="E631" i="8"/>
  <c r="D631" i="8"/>
  <c r="G631" i="8" s="1"/>
  <c r="J630" i="8"/>
  <c r="F630" i="8"/>
  <c r="E630" i="8"/>
  <c r="D630" i="8"/>
  <c r="G630" i="8" s="1"/>
  <c r="J629" i="8"/>
  <c r="F629" i="8"/>
  <c r="E629" i="8"/>
  <c r="D629" i="8"/>
  <c r="G629" i="8" s="1"/>
  <c r="M629" i="8" s="1"/>
  <c r="J628" i="8"/>
  <c r="F628" i="8"/>
  <c r="E628" i="8"/>
  <c r="D628" i="8"/>
  <c r="G628" i="8" s="1"/>
  <c r="J627" i="8"/>
  <c r="F627" i="8"/>
  <c r="E627" i="8"/>
  <c r="D627" i="8"/>
  <c r="G627" i="8" s="1"/>
  <c r="M627" i="8" s="1"/>
  <c r="J626" i="8"/>
  <c r="F626" i="8"/>
  <c r="E626" i="8"/>
  <c r="D626" i="8"/>
  <c r="G626" i="8" s="1"/>
  <c r="J625" i="8"/>
  <c r="F625" i="8"/>
  <c r="E625" i="8"/>
  <c r="D625" i="8"/>
  <c r="G625" i="8" s="1"/>
  <c r="M625" i="8" s="1"/>
  <c r="J624" i="8"/>
  <c r="F624" i="8"/>
  <c r="E624" i="8"/>
  <c r="D624" i="8"/>
  <c r="G624" i="8" s="1"/>
  <c r="J623" i="8"/>
  <c r="F623" i="8"/>
  <c r="E623" i="8"/>
  <c r="D623" i="8"/>
  <c r="G623" i="8" s="1"/>
  <c r="J622" i="8"/>
  <c r="F622" i="8"/>
  <c r="E622" i="8"/>
  <c r="D622" i="8"/>
  <c r="G622" i="8" s="1"/>
  <c r="J621" i="8"/>
  <c r="F621" i="8"/>
  <c r="E621" i="8"/>
  <c r="D621" i="8"/>
  <c r="G621" i="8" s="1"/>
  <c r="M621" i="8" s="1"/>
  <c r="J620" i="8"/>
  <c r="F620" i="8"/>
  <c r="E620" i="8"/>
  <c r="D620" i="8"/>
  <c r="G620" i="8" s="1"/>
  <c r="J619" i="8"/>
  <c r="F619" i="8"/>
  <c r="E619" i="8"/>
  <c r="D619" i="8"/>
  <c r="G619" i="8" s="1"/>
  <c r="M619" i="8" s="1"/>
  <c r="J618" i="8"/>
  <c r="F618" i="8"/>
  <c r="E618" i="8"/>
  <c r="D618" i="8"/>
  <c r="G618" i="8" s="1"/>
  <c r="J617" i="8"/>
  <c r="F617" i="8"/>
  <c r="E617" i="8"/>
  <c r="D617" i="8"/>
  <c r="G617" i="8" s="1"/>
  <c r="M617" i="8" s="1"/>
  <c r="J616" i="8"/>
  <c r="F616" i="8"/>
  <c r="E616" i="8"/>
  <c r="D616" i="8"/>
  <c r="G616" i="8" s="1"/>
  <c r="J615" i="8"/>
  <c r="F615" i="8"/>
  <c r="E615" i="8"/>
  <c r="D615" i="8"/>
  <c r="G615" i="8" s="1"/>
  <c r="J614" i="8"/>
  <c r="F614" i="8"/>
  <c r="E614" i="8"/>
  <c r="D614" i="8"/>
  <c r="G614" i="8" s="1"/>
  <c r="J613" i="8"/>
  <c r="F613" i="8"/>
  <c r="E613" i="8"/>
  <c r="D613" i="8"/>
  <c r="G613" i="8" s="1"/>
  <c r="M613" i="8" s="1"/>
  <c r="J612" i="8"/>
  <c r="F612" i="8"/>
  <c r="E612" i="8"/>
  <c r="D612" i="8"/>
  <c r="G612" i="8" s="1"/>
  <c r="J611" i="8"/>
  <c r="F611" i="8"/>
  <c r="E611" i="8"/>
  <c r="D611" i="8"/>
  <c r="G611" i="8" s="1"/>
  <c r="M611" i="8" s="1"/>
  <c r="J610" i="8"/>
  <c r="F610" i="8"/>
  <c r="E610" i="8"/>
  <c r="D610" i="8"/>
  <c r="G610" i="8" s="1"/>
  <c r="J609" i="8"/>
  <c r="F609" i="8"/>
  <c r="E609" i="8"/>
  <c r="D609" i="8"/>
  <c r="G609" i="8" s="1"/>
  <c r="M609" i="8" s="1"/>
  <c r="J608" i="8"/>
  <c r="F608" i="8"/>
  <c r="E608" i="8"/>
  <c r="D608" i="8"/>
  <c r="G608" i="8" s="1"/>
  <c r="J607" i="8"/>
  <c r="F607" i="8"/>
  <c r="E607" i="8"/>
  <c r="D607" i="8"/>
  <c r="G607" i="8" s="1"/>
  <c r="J606" i="8"/>
  <c r="F606" i="8"/>
  <c r="E606" i="8"/>
  <c r="D606" i="8"/>
  <c r="G606" i="8" s="1"/>
  <c r="J605" i="8"/>
  <c r="F605" i="8"/>
  <c r="E605" i="8"/>
  <c r="D605" i="8"/>
  <c r="G605" i="8" s="1"/>
  <c r="M605" i="8" s="1"/>
  <c r="J604" i="8"/>
  <c r="F604" i="8"/>
  <c r="E604" i="8"/>
  <c r="D604" i="8"/>
  <c r="G604" i="8" s="1"/>
  <c r="J603" i="8"/>
  <c r="F603" i="8"/>
  <c r="E603" i="8"/>
  <c r="D603" i="8"/>
  <c r="G603" i="8" s="1"/>
  <c r="M603" i="8" s="1"/>
  <c r="J602" i="8"/>
  <c r="F602" i="8"/>
  <c r="E602" i="8"/>
  <c r="D602" i="8"/>
  <c r="G602" i="8" s="1"/>
  <c r="J601" i="8"/>
  <c r="F601" i="8"/>
  <c r="E601" i="8"/>
  <c r="D601" i="8"/>
  <c r="G601" i="8" s="1"/>
  <c r="M601" i="8" s="1"/>
  <c r="J600" i="8"/>
  <c r="F600" i="8"/>
  <c r="E600" i="8"/>
  <c r="D600" i="8"/>
  <c r="G600" i="8" s="1"/>
  <c r="J599" i="8"/>
  <c r="F599" i="8"/>
  <c r="E599" i="8"/>
  <c r="D599" i="8"/>
  <c r="G599" i="8" s="1"/>
  <c r="J598" i="8"/>
  <c r="F598" i="8"/>
  <c r="E598" i="8"/>
  <c r="D598" i="8"/>
  <c r="G598" i="8" s="1"/>
  <c r="J597" i="8"/>
  <c r="F597" i="8"/>
  <c r="E597" i="8"/>
  <c r="D597" i="8"/>
  <c r="G597" i="8" s="1"/>
  <c r="M597" i="8" s="1"/>
  <c r="J596" i="8"/>
  <c r="F596" i="8"/>
  <c r="E596" i="8"/>
  <c r="D596" i="8"/>
  <c r="G596" i="8" s="1"/>
  <c r="J595" i="8"/>
  <c r="F595" i="8"/>
  <c r="E595" i="8"/>
  <c r="D595" i="8"/>
  <c r="G595" i="8" s="1"/>
  <c r="M595" i="8" s="1"/>
  <c r="J594" i="8"/>
  <c r="F594" i="8"/>
  <c r="E594" i="8"/>
  <c r="D594" i="8"/>
  <c r="G594" i="8" s="1"/>
  <c r="J593" i="8"/>
  <c r="F593" i="8"/>
  <c r="E593" i="8"/>
  <c r="D593" i="8"/>
  <c r="G593" i="8" s="1"/>
  <c r="M593" i="8" s="1"/>
  <c r="J592" i="8"/>
  <c r="F592" i="8"/>
  <c r="E592" i="8"/>
  <c r="D592" i="8"/>
  <c r="G592" i="8" s="1"/>
  <c r="J591" i="8"/>
  <c r="F591" i="8"/>
  <c r="E591" i="8"/>
  <c r="D591" i="8"/>
  <c r="G591" i="8" s="1"/>
  <c r="J590" i="8"/>
  <c r="F590" i="8"/>
  <c r="E590" i="8"/>
  <c r="D590" i="8"/>
  <c r="G590" i="8" s="1"/>
  <c r="J589" i="8"/>
  <c r="F589" i="8"/>
  <c r="E589" i="8"/>
  <c r="D589" i="8"/>
  <c r="G589" i="8" s="1"/>
  <c r="M589" i="8" s="1"/>
  <c r="J588" i="8"/>
  <c r="F588" i="8"/>
  <c r="E588" i="8"/>
  <c r="D588" i="8"/>
  <c r="G588" i="8" s="1"/>
  <c r="J587" i="8"/>
  <c r="F587" i="8"/>
  <c r="E587" i="8"/>
  <c r="D587" i="8"/>
  <c r="G587" i="8" s="1"/>
  <c r="M587" i="8" s="1"/>
  <c r="J586" i="8"/>
  <c r="F586" i="8"/>
  <c r="E586" i="8"/>
  <c r="D586" i="8"/>
  <c r="G586" i="8" s="1"/>
  <c r="J585" i="8"/>
  <c r="F585" i="8"/>
  <c r="E585" i="8"/>
  <c r="D585" i="8"/>
  <c r="G585" i="8" s="1"/>
  <c r="M585" i="8" s="1"/>
  <c r="J584" i="8"/>
  <c r="F584" i="8"/>
  <c r="E584" i="8"/>
  <c r="D584" i="8"/>
  <c r="G584" i="8" s="1"/>
  <c r="J583" i="8"/>
  <c r="F583" i="8"/>
  <c r="E583" i="8"/>
  <c r="D583" i="8"/>
  <c r="G583" i="8" s="1"/>
  <c r="J582" i="8"/>
  <c r="F582" i="8"/>
  <c r="E582" i="8"/>
  <c r="D582" i="8"/>
  <c r="J581" i="8"/>
  <c r="F581" i="8"/>
  <c r="E581" i="8"/>
  <c r="D581" i="8"/>
  <c r="G581" i="8" s="1"/>
  <c r="J580" i="8"/>
  <c r="F580" i="8"/>
  <c r="E580" i="8"/>
  <c r="D580" i="8"/>
  <c r="G580" i="8" s="1"/>
  <c r="J579" i="8"/>
  <c r="F579" i="8"/>
  <c r="E579" i="8"/>
  <c r="D579" i="8"/>
  <c r="G579" i="8" s="1"/>
  <c r="M579" i="8" s="1"/>
  <c r="J578" i="8"/>
  <c r="F578" i="8"/>
  <c r="E578" i="8"/>
  <c r="D578" i="8"/>
  <c r="J577" i="8"/>
  <c r="F577" i="8"/>
  <c r="E577" i="8"/>
  <c r="D577" i="8"/>
  <c r="J576" i="8"/>
  <c r="F576" i="8"/>
  <c r="E576" i="8"/>
  <c r="D576" i="8"/>
  <c r="G576" i="8" s="1"/>
  <c r="J575" i="8"/>
  <c r="F575" i="8"/>
  <c r="E575" i="8"/>
  <c r="D575" i="8"/>
  <c r="G575" i="8" s="1"/>
  <c r="M575" i="8" s="1"/>
  <c r="J574" i="8"/>
  <c r="F574" i="8"/>
  <c r="E574" i="8"/>
  <c r="D574" i="8"/>
  <c r="G574" i="8" s="1"/>
  <c r="J573" i="8"/>
  <c r="F573" i="8"/>
  <c r="E573" i="8"/>
  <c r="D573" i="8"/>
  <c r="J572" i="8"/>
  <c r="F572" i="8"/>
  <c r="E572" i="8"/>
  <c r="D572" i="8"/>
  <c r="G572" i="8" s="1"/>
  <c r="M572" i="8" s="1"/>
  <c r="J571" i="8"/>
  <c r="F571" i="8"/>
  <c r="E571" i="8"/>
  <c r="D571" i="8"/>
  <c r="G571" i="8" s="1"/>
  <c r="M571" i="8" s="1"/>
  <c r="J570" i="8"/>
  <c r="F570" i="8"/>
  <c r="E570" i="8"/>
  <c r="D570" i="8"/>
  <c r="G570" i="8" s="1"/>
  <c r="J569" i="8"/>
  <c r="F569" i="8"/>
  <c r="E569" i="8"/>
  <c r="D569" i="8"/>
  <c r="J568" i="8"/>
  <c r="F568" i="8"/>
  <c r="E568" i="8"/>
  <c r="D568" i="8"/>
  <c r="G568" i="8" s="1"/>
  <c r="M568" i="8" s="1"/>
  <c r="J567" i="8"/>
  <c r="F567" i="8"/>
  <c r="E567" i="8"/>
  <c r="D567" i="8"/>
  <c r="G567" i="8" s="1"/>
  <c r="J566" i="8"/>
  <c r="F566" i="8"/>
  <c r="E566" i="8"/>
  <c r="D566" i="8"/>
  <c r="J565" i="8"/>
  <c r="F565" i="8"/>
  <c r="E565" i="8"/>
  <c r="D565" i="8"/>
  <c r="G565" i="8" s="1"/>
  <c r="J564" i="8"/>
  <c r="F564" i="8"/>
  <c r="E564" i="8"/>
  <c r="D564" i="8"/>
  <c r="G564" i="8" s="1"/>
  <c r="J563" i="8"/>
  <c r="F563" i="8"/>
  <c r="E563" i="8"/>
  <c r="D563" i="8"/>
  <c r="G563" i="8" s="1"/>
  <c r="M563" i="8" s="1"/>
  <c r="J562" i="8"/>
  <c r="F562" i="8"/>
  <c r="E562" i="8"/>
  <c r="D562" i="8"/>
  <c r="J561" i="8"/>
  <c r="F561" i="8"/>
  <c r="E561" i="8"/>
  <c r="D561" i="8"/>
  <c r="J560" i="8"/>
  <c r="F560" i="8"/>
  <c r="E560" i="8"/>
  <c r="D560" i="8"/>
  <c r="G560" i="8" s="1"/>
  <c r="M560" i="8" s="1"/>
  <c r="J559" i="8"/>
  <c r="F559" i="8"/>
  <c r="E559" i="8"/>
  <c r="D559" i="8"/>
  <c r="G559" i="8" s="1"/>
  <c r="M559" i="8" s="1"/>
  <c r="J558" i="8"/>
  <c r="F558" i="8"/>
  <c r="E558" i="8"/>
  <c r="D558" i="8"/>
  <c r="J557" i="8"/>
  <c r="G557" i="8"/>
  <c r="M557" i="8" s="1"/>
  <c r="F557" i="8"/>
  <c r="E557" i="8"/>
  <c r="D557" i="8"/>
  <c r="J556" i="8"/>
  <c r="F556" i="8"/>
  <c r="E556" i="8"/>
  <c r="D556" i="8"/>
  <c r="G556" i="8" s="1"/>
  <c r="M556" i="8" s="1"/>
  <c r="J555" i="8"/>
  <c r="F555" i="8"/>
  <c r="E555" i="8"/>
  <c r="D555" i="8"/>
  <c r="G555" i="8" s="1"/>
  <c r="M555" i="8" s="1"/>
  <c r="J554" i="8"/>
  <c r="F554" i="8"/>
  <c r="E554" i="8"/>
  <c r="D554" i="8"/>
  <c r="G554" i="8" s="1"/>
  <c r="J553" i="8"/>
  <c r="F553" i="8"/>
  <c r="E553" i="8"/>
  <c r="D553" i="8"/>
  <c r="G553" i="8" s="1"/>
  <c r="J552" i="8"/>
  <c r="F552" i="8"/>
  <c r="E552" i="8"/>
  <c r="D552" i="8"/>
  <c r="G552" i="8" s="1"/>
  <c r="M552" i="8" s="1"/>
  <c r="J551" i="8"/>
  <c r="F551" i="8"/>
  <c r="E551" i="8"/>
  <c r="D551" i="8"/>
  <c r="G551" i="8" s="1"/>
  <c r="J550" i="8"/>
  <c r="F550" i="8"/>
  <c r="E550" i="8"/>
  <c r="D550" i="8"/>
  <c r="J549" i="8"/>
  <c r="F549" i="8"/>
  <c r="E549" i="8"/>
  <c r="D549" i="8"/>
  <c r="G549" i="8" s="1"/>
  <c r="J548" i="8"/>
  <c r="F548" i="8"/>
  <c r="E548" i="8"/>
  <c r="D548" i="8"/>
  <c r="G548" i="8" s="1"/>
  <c r="J547" i="8"/>
  <c r="F547" i="8"/>
  <c r="E547" i="8"/>
  <c r="D547" i="8"/>
  <c r="G547" i="8" s="1"/>
  <c r="M547" i="8" s="1"/>
  <c r="J546" i="8"/>
  <c r="F546" i="8"/>
  <c r="E546" i="8"/>
  <c r="D546" i="8"/>
  <c r="G546" i="8" s="1"/>
  <c r="J545" i="8"/>
  <c r="F545" i="8"/>
  <c r="E545" i="8"/>
  <c r="D545" i="8"/>
  <c r="J544" i="8"/>
  <c r="F544" i="8"/>
  <c r="E544" i="8"/>
  <c r="D544" i="8"/>
  <c r="G544" i="8" s="1"/>
  <c r="M544" i="8" s="1"/>
  <c r="J543" i="8"/>
  <c r="F543" i="8"/>
  <c r="E543" i="8"/>
  <c r="D543" i="8"/>
  <c r="G543" i="8" s="1"/>
  <c r="M543" i="8" s="1"/>
  <c r="J542" i="8"/>
  <c r="F542" i="8"/>
  <c r="E542" i="8"/>
  <c r="D542" i="8"/>
  <c r="J541" i="8"/>
  <c r="F541" i="8"/>
  <c r="E541" i="8"/>
  <c r="D541" i="8"/>
  <c r="G541" i="8" s="1"/>
  <c r="M541" i="8" s="1"/>
  <c r="J540" i="8"/>
  <c r="F540" i="8"/>
  <c r="E540" i="8"/>
  <c r="D540" i="8"/>
  <c r="G540" i="8" s="1"/>
  <c r="M540" i="8" s="1"/>
  <c r="J539" i="8"/>
  <c r="F539" i="8"/>
  <c r="E539" i="8"/>
  <c r="D539" i="8"/>
  <c r="G539" i="8" s="1"/>
  <c r="M539" i="8" s="1"/>
  <c r="J538" i="8"/>
  <c r="F538" i="8"/>
  <c r="E538" i="8"/>
  <c r="D538" i="8"/>
  <c r="G538" i="8" s="1"/>
  <c r="J537" i="8"/>
  <c r="F537" i="8"/>
  <c r="E537" i="8"/>
  <c r="D537" i="8"/>
  <c r="G537" i="8" s="1"/>
  <c r="J536" i="8"/>
  <c r="F536" i="8"/>
  <c r="E536" i="8"/>
  <c r="D536" i="8"/>
  <c r="G536" i="8" s="1"/>
  <c r="M536" i="8" s="1"/>
  <c r="J535" i="8"/>
  <c r="F535" i="8"/>
  <c r="E535" i="8"/>
  <c r="D535" i="8"/>
  <c r="G535" i="8" s="1"/>
  <c r="J534" i="8"/>
  <c r="F534" i="8"/>
  <c r="E534" i="8"/>
  <c r="D534" i="8"/>
  <c r="J533" i="8"/>
  <c r="F533" i="8"/>
  <c r="E533" i="8"/>
  <c r="D533" i="8"/>
  <c r="G533" i="8" s="1"/>
  <c r="J532" i="8"/>
  <c r="F532" i="8"/>
  <c r="E532" i="8"/>
  <c r="D532" i="8"/>
  <c r="G532" i="8" s="1"/>
  <c r="J531" i="8"/>
  <c r="F531" i="8"/>
  <c r="E531" i="8"/>
  <c r="D531" i="8"/>
  <c r="G531" i="8" s="1"/>
  <c r="J530" i="8"/>
  <c r="F530" i="8"/>
  <c r="E530" i="8"/>
  <c r="D530" i="8"/>
  <c r="G530" i="8" s="1"/>
  <c r="J529" i="8"/>
  <c r="F529" i="8"/>
  <c r="E529" i="8"/>
  <c r="D529" i="8"/>
  <c r="J528" i="8"/>
  <c r="F528" i="8"/>
  <c r="E528" i="8"/>
  <c r="D528" i="8"/>
  <c r="G528" i="8" s="1"/>
  <c r="J527" i="8"/>
  <c r="F527" i="8"/>
  <c r="E527" i="8"/>
  <c r="D527" i="8"/>
  <c r="G527" i="8" s="1"/>
  <c r="M527" i="8" s="1"/>
  <c r="J526" i="8"/>
  <c r="F526" i="8"/>
  <c r="E526" i="8"/>
  <c r="D526" i="8"/>
  <c r="G526" i="8" s="1"/>
  <c r="J525" i="8"/>
  <c r="F525" i="8"/>
  <c r="E525" i="8"/>
  <c r="D525" i="8"/>
  <c r="J524" i="8"/>
  <c r="F524" i="8"/>
  <c r="E524" i="8"/>
  <c r="D524" i="8"/>
  <c r="G524" i="8" s="1"/>
  <c r="M524" i="8" s="1"/>
  <c r="J523" i="8"/>
  <c r="F523" i="8"/>
  <c r="E523" i="8"/>
  <c r="D523" i="8"/>
  <c r="G523" i="8" s="1"/>
  <c r="M523" i="8" s="1"/>
  <c r="J522" i="8"/>
  <c r="F522" i="8"/>
  <c r="E522" i="8"/>
  <c r="D522" i="8"/>
  <c r="G522" i="8" s="1"/>
  <c r="J521" i="8"/>
  <c r="F521" i="8"/>
  <c r="E521" i="8"/>
  <c r="D521" i="8"/>
  <c r="J520" i="8"/>
  <c r="F520" i="8"/>
  <c r="E520" i="8"/>
  <c r="D520" i="8"/>
  <c r="G520" i="8" s="1"/>
  <c r="M520" i="8" s="1"/>
  <c r="J519" i="8"/>
  <c r="F519" i="8"/>
  <c r="E519" i="8"/>
  <c r="D519" i="8"/>
  <c r="G519" i="8" s="1"/>
  <c r="J518" i="8"/>
  <c r="F518" i="8"/>
  <c r="E518" i="8"/>
  <c r="D518" i="8"/>
  <c r="J517" i="8"/>
  <c r="F517" i="8"/>
  <c r="E517" i="8"/>
  <c r="D517" i="8"/>
  <c r="G517" i="8" s="1"/>
  <c r="J516" i="8"/>
  <c r="F516" i="8"/>
  <c r="E516" i="8"/>
  <c r="D516" i="8"/>
  <c r="G516" i="8" s="1"/>
  <c r="J515" i="8"/>
  <c r="F515" i="8"/>
  <c r="E515" i="8"/>
  <c r="D515" i="8"/>
  <c r="G515" i="8" s="1"/>
  <c r="M515" i="8" s="1"/>
  <c r="J514" i="8"/>
  <c r="F514" i="8"/>
  <c r="E514" i="8"/>
  <c r="D514" i="8"/>
  <c r="J513" i="8"/>
  <c r="F513" i="8"/>
  <c r="E513" i="8"/>
  <c r="D513" i="8"/>
  <c r="J512" i="8"/>
  <c r="F512" i="8"/>
  <c r="E512" i="8"/>
  <c r="D512" i="8"/>
  <c r="G512" i="8" s="1"/>
  <c r="J511" i="8"/>
  <c r="F511" i="8"/>
  <c r="E511" i="8"/>
  <c r="D511" i="8"/>
  <c r="G511" i="8" s="1"/>
  <c r="M511" i="8" s="1"/>
  <c r="J510" i="8"/>
  <c r="F510" i="8"/>
  <c r="E510" i="8"/>
  <c r="D510" i="8"/>
  <c r="G510" i="8" s="1"/>
  <c r="J509" i="8"/>
  <c r="F509" i="8"/>
  <c r="E509" i="8"/>
  <c r="D509" i="8"/>
  <c r="J508" i="8"/>
  <c r="F508" i="8"/>
  <c r="E508" i="8"/>
  <c r="D508" i="8"/>
  <c r="G508" i="8" s="1"/>
  <c r="M508" i="8" s="1"/>
  <c r="J507" i="8"/>
  <c r="F507" i="8"/>
  <c r="E507" i="8"/>
  <c r="D507" i="8"/>
  <c r="G507" i="8" s="1"/>
  <c r="M507" i="8" s="1"/>
  <c r="J506" i="8"/>
  <c r="F506" i="8"/>
  <c r="E506" i="8"/>
  <c r="D506" i="8"/>
  <c r="G506" i="8" s="1"/>
  <c r="J505" i="8"/>
  <c r="F505" i="8"/>
  <c r="E505" i="8"/>
  <c r="D505" i="8"/>
  <c r="J504" i="8"/>
  <c r="F504" i="8"/>
  <c r="E504" i="8"/>
  <c r="D504" i="8"/>
  <c r="G504" i="8" s="1"/>
  <c r="M504" i="8" s="1"/>
  <c r="J503" i="8"/>
  <c r="F503" i="8"/>
  <c r="E503" i="8"/>
  <c r="D503" i="8"/>
  <c r="G503" i="8" s="1"/>
  <c r="J502" i="8"/>
  <c r="F502" i="8"/>
  <c r="E502" i="8"/>
  <c r="D502" i="8"/>
  <c r="J501" i="8"/>
  <c r="F501" i="8"/>
  <c r="E501" i="8"/>
  <c r="D501" i="8"/>
  <c r="G501" i="8" s="1"/>
  <c r="J500" i="8"/>
  <c r="F500" i="8"/>
  <c r="E500" i="8"/>
  <c r="D500" i="8"/>
  <c r="G500" i="8" s="1"/>
  <c r="J499" i="8"/>
  <c r="F499" i="8"/>
  <c r="E499" i="8"/>
  <c r="D499" i="8"/>
  <c r="G499" i="8" s="1"/>
  <c r="M499" i="8" s="1"/>
  <c r="J498" i="8"/>
  <c r="F498" i="8"/>
  <c r="E498" i="8"/>
  <c r="D498" i="8"/>
  <c r="J497" i="8"/>
  <c r="F497" i="8"/>
  <c r="E497" i="8"/>
  <c r="D497" i="8"/>
  <c r="J496" i="8"/>
  <c r="F496" i="8"/>
  <c r="E496" i="8"/>
  <c r="D496" i="8"/>
  <c r="G496" i="8" s="1"/>
  <c r="J495" i="8"/>
  <c r="F495" i="8"/>
  <c r="E495" i="8"/>
  <c r="D495" i="8"/>
  <c r="G495" i="8" s="1"/>
  <c r="M495" i="8" s="1"/>
  <c r="J494" i="8"/>
  <c r="F494" i="8"/>
  <c r="E494" i="8"/>
  <c r="D494" i="8"/>
  <c r="J493" i="8"/>
  <c r="F493" i="8"/>
  <c r="E493" i="8"/>
  <c r="D493" i="8"/>
  <c r="G493" i="8" s="1"/>
  <c r="M493" i="8" s="1"/>
  <c r="J492" i="8"/>
  <c r="F492" i="8"/>
  <c r="E492" i="8"/>
  <c r="D492" i="8"/>
  <c r="G492" i="8" s="1"/>
  <c r="M492" i="8" s="1"/>
  <c r="J491" i="8"/>
  <c r="F491" i="8"/>
  <c r="E491" i="8"/>
  <c r="D491" i="8"/>
  <c r="G491" i="8" s="1"/>
  <c r="M491" i="8" s="1"/>
  <c r="J490" i="8"/>
  <c r="F490" i="8"/>
  <c r="E490" i="8"/>
  <c r="D490" i="8"/>
  <c r="G490" i="8" s="1"/>
  <c r="J489" i="8"/>
  <c r="F489" i="8"/>
  <c r="E489" i="8"/>
  <c r="D489" i="8"/>
  <c r="G489" i="8" s="1"/>
  <c r="J488" i="8"/>
  <c r="F488" i="8"/>
  <c r="E488" i="8"/>
  <c r="D488" i="8"/>
  <c r="G488" i="8" s="1"/>
  <c r="M488" i="8" s="1"/>
  <c r="J487" i="8"/>
  <c r="F487" i="8"/>
  <c r="E487" i="8"/>
  <c r="D487" i="8"/>
  <c r="G487" i="8" s="1"/>
  <c r="J486" i="8"/>
  <c r="F486" i="8"/>
  <c r="E486" i="8"/>
  <c r="D486" i="8"/>
  <c r="J485" i="8"/>
  <c r="F485" i="8"/>
  <c r="E485" i="8"/>
  <c r="D485" i="8"/>
  <c r="G485" i="8" s="1"/>
  <c r="J484" i="8"/>
  <c r="F484" i="8"/>
  <c r="E484" i="8"/>
  <c r="D484" i="8"/>
  <c r="G484" i="8" s="1"/>
  <c r="J483" i="8"/>
  <c r="F483" i="8"/>
  <c r="E483" i="8"/>
  <c r="D483" i="8"/>
  <c r="G483" i="8" s="1"/>
  <c r="M483" i="8" s="1"/>
  <c r="J482" i="8"/>
  <c r="F482" i="8"/>
  <c r="E482" i="8"/>
  <c r="D482" i="8"/>
  <c r="G482" i="8" s="1"/>
  <c r="J481" i="8"/>
  <c r="F481" i="8"/>
  <c r="E481" i="8"/>
  <c r="D481" i="8"/>
  <c r="J480" i="8"/>
  <c r="F480" i="8"/>
  <c r="E480" i="8"/>
  <c r="D480" i="8"/>
  <c r="G480" i="8" s="1"/>
  <c r="J479" i="8"/>
  <c r="F479" i="8"/>
  <c r="E479" i="8"/>
  <c r="D479" i="8"/>
  <c r="G479" i="8" s="1"/>
  <c r="M479" i="8" s="1"/>
  <c r="J478" i="8"/>
  <c r="F478" i="8"/>
  <c r="E478" i="8"/>
  <c r="D478" i="8"/>
  <c r="J477" i="8"/>
  <c r="F477" i="8"/>
  <c r="E477" i="8"/>
  <c r="D477" i="8"/>
  <c r="G477" i="8" s="1"/>
  <c r="M477" i="8" s="1"/>
  <c r="J476" i="8"/>
  <c r="F476" i="8"/>
  <c r="E476" i="8"/>
  <c r="D476" i="8"/>
  <c r="G476" i="8" s="1"/>
  <c r="M476" i="8" s="1"/>
  <c r="J475" i="8"/>
  <c r="F475" i="8"/>
  <c r="E475" i="8"/>
  <c r="D475" i="8"/>
  <c r="G475" i="8" s="1"/>
  <c r="M475" i="8" s="1"/>
  <c r="J474" i="8"/>
  <c r="F474" i="8"/>
  <c r="E474" i="8"/>
  <c r="D474" i="8"/>
  <c r="G474" i="8" s="1"/>
  <c r="J473" i="8"/>
  <c r="G473" i="8"/>
  <c r="F473" i="8"/>
  <c r="E473" i="8"/>
  <c r="D473" i="8"/>
  <c r="J472" i="8"/>
  <c r="F472" i="8"/>
  <c r="E472" i="8"/>
  <c r="D472" i="8"/>
  <c r="G472" i="8" s="1"/>
  <c r="M472" i="8" s="1"/>
  <c r="J471" i="8"/>
  <c r="F471" i="8"/>
  <c r="E471" i="8"/>
  <c r="D471" i="8"/>
  <c r="G471" i="8" s="1"/>
  <c r="J470" i="8"/>
  <c r="F470" i="8"/>
  <c r="E470" i="8"/>
  <c r="D470" i="8"/>
  <c r="J469" i="8"/>
  <c r="F469" i="8"/>
  <c r="E469" i="8"/>
  <c r="D469" i="8"/>
  <c r="G469" i="8" s="1"/>
  <c r="J468" i="8"/>
  <c r="F468" i="8"/>
  <c r="E468" i="8"/>
  <c r="D468" i="8"/>
  <c r="G468" i="8" s="1"/>
  <c r="J467" i="8"/>
  <c r="F467" i="8"/>
  <c r="E467" i="8"/>
  <c r="D467" i="8"/>
  <c r="G467" i="8" s="1"/>
  <c r="J466" i="8"/>
  <c r="F466" i="8"/>
  <c r="E466" i="8"/>
  <c r="D466" i="8"/>
  <c r="G466" i="8" s="1"/>
  <c r="J465" i="8"/>
  <c r="F465" i="8"/>
  <c r="E465" i="8"/>
  <c r="D465" i="8"/>
  <c r="J464" i="8"/>
  <c r="F464" i="8"/>
  <c r="E464" i="8"/>
  <c r="D464" i="8"/>
  <c r="G464" i="8" s="1"/>
  <c r="J463" i="8"/>
  <c r="F463" i="8"/>
  <c r="E463" i="8"/>
  <c r="D463" i="8"/>
  <c r="G463" i="8" s="1"/>
  <c r="M463" i="8" s="1"/>
  <c r="J462" i="8"/>
  <c r="F462" i="8"/>
  <c r="E462" i="8"/>
  <c r="D462" i="8"/>
  <c r="G462" i="8" s="1"/>
  <c r="J461" i="8"/>
  <c r="F461" i="8"/>
  <c r="E461" i="8"/>
  <c r="D461" i="8"/>
  <c r="J460" i="8"/>
  <c r="F460" i="8"/>
  <c r="E460" i="8"/>
  <c r="D460" i="8"/>
  <c r="G460" i="8" s="1"/>
  <c r="M460" i="8" s="1"/>
  <c r="J459" i="8"/>
  <c r="F459" i="8"/>
  <c r="E459" i="8"/>
  <c r="D459" i="8"/>
  <c r="G459" i="8" s="1"/>
  <c r="M459" i="8" s="1"/>
  <c r="J458" i="8"/>
  <c r="F458" i="8"/>
  <c r="E458" i="8"/>
  <c r="D458" i="8"/>
  <c r="G458" i="8" s="1"/>
  <c r="J457" i="8"/>
  <c r="F457" i="8"/>
  <c r="E457" i="8"/>
  <c r="D457" i="8"/>
  <c r="J456" i="8"/>
  <c r="F456" i="8"/>
  <c r="E456" i="8"/>
  <c r="D456" i="8"/>
  <c r="G456" i="8" s="1"/>
  <c r="M456" i="8" s="1"/>
  <c r="J455" i="8"/>
  <c r="F455" i="8"/>
  <c r="E455" i="8"/>
  <c r="D455" i="8"/>
  <c r="G455" i="8" s="1"/>
  <c r="J454" i="8"/>
  <c r="F454" i="8"/>
  <c r="E454" i="8"/>
  <c r="D454" i="8"/>
  <c r="J453" i="8"/>
  <c r="F453" i="8"/>
  <c r="E453" i="8"/>
  <c r="D453" i="8"/>
  <c r="G453" i="8" s="1"/>
  <c r="J452" i="8"/>
  <c r="F452" i="8"/>
  <c r="E452" i="8"/>
  <c r="D452" i="8"/>
  <c r="G452" i="8" s="1"/>
  <c r="J451" i="8"/>
  <c r="F451" i="8"/>
  <c r="E451" i="8"/>
  <c r="D451" i="8"/>
  <c r="G451" i="8" s="1"/>
  <c r="M451" i="8" s="1"/>
  <c r="J450" i="8"/>
  <c r="F450" i="8"/>
  <c r="E450" i="8"/>
  <c r="D450" i="8"/>
  <c r="J449" i="8"/>
  <c r="F449" i="8"/>
  <c r="E449" i="8"/>
  <c r="D449" i="8"/>
  <c r="J448" i="8"/>
  <c r="F448" i="8"/>
  <c r="E448" i="8"/>
  <c r="D448" i="8"/>
  <c r="G448" i="8" s="1"/>
  <c r="J447" i="8"/>
  <c r="F447" i="8"/>
  <c r="E447" i="8"/>
  <c r="D447" i="8"/>
  <c r="J446" i="8"/>
  <c r="F446" i="8"/>
  <c r="E446" i="8"/>
  <c r="D446" i="8"/>
  <c r="G446" i="8" s="1"/>
  <c r="M446" i="8" s="1"/>
  <c r="J445" i="8"/>
  <c r="F445" i="8"/>
  <c r="E445" i="8"/>
  <c r="D445" i="8"/>
  <c r="J444" i="8"/>
  <c r="F444" i="8"/>
  <c r="E444" i="8"/>
  <c r="D444" i="8"/>
  <c r="G444" i="8" s="1"/>
  <c r="J443" i="8"/>
  <c r="F443" i="8"/>
  <c r="E443" i="8"/>
  <c r="D443" i="8"/>
  <c r="J442" i="8"/>
  <c r="F442" i="8"/>
  <c r="E442" i="8"/>
  <c r="D442" i="8"/>
  <c r="G442" i="8" s="1"/>
  <c r="M442" i="8" s="1"/>
  <c r="J441" i="8"/>
  <c r="F441" i="8"/>
  <c r="E441" i="8"/>
  <c r="D441" i="8"/>
  <c r="J440" i="8"/>
  <c r="F440" i="8"/>
  <c r="E440" i="8"/>
  <c r="D440" i="8"/>
  <c r="G440" i="8" s="1"/>
  <c r="J439" i="8"/>
  <c r="F439" i="8"/>
  <c r="E439" i="8"/>
  <c r="D439" i="8"/>
  <c r="G439" i="8" s="1"/>
  <c r="J438" i="8"/>
  <c r="F438" i="8"/>
  <c r="E438" i="8"/>
  <c r="D438" i="8"/>
  <c r="J437" i="8"/>
  <c r="F437" i="8"/>
  <c r="E437" i="8"/>
  <c r="D437" i="8"/>
  <c r="J436" i="8"/>
  <c r="F436" i="8"/>
  <c r="E436" i="8"/>
  <c r="D436" i="8"/>
  <c r="G436" i="8" s="1"/>
  <c r="J435" i="8"/>
  <c r="F435" i="8"/>
  <c r="E435" i="8"/>
  <c r="D435" i="8"/>
  <c r="G435" i="8" s="1"/>
  <c r="J434" i="8"/>
  <c r="F434" i="8"/>
  <c r="E434" i="8"/>
  <c r="D434" i="8"/>
  <c r="J433" i="8"/>
  <c r="F433" i="8"/>
  <c r="E433" i="8"/>
  <c r="D433" i="8"/>
  <c r="J432" i="8"/>
  <c r="F432" i="8"/>
  <c r="E432" i="8"/>
  <c r="D432" i="8"/>
  <c r="G432" i="8" s="1"/>
  <c r="J431" i="8"/>
  <c r="F431" i="8"/>
  <c r="E431" i="8"/>
  <c r="D431" i="8"/>
  <c r="J430" i="8"/>
  <c r="F430" i="8"/>
  <c r="E430" i="8"/>
  <c r="D430" i="8"/>
  <c r="G430" i="8" s="1"/>
  <c r="M430" i="8" s="1"/>
  <c r="J429" i="8"/>
  <c r="F429" i="8"/>
  <c r="E429" i="8"/>
  <c r="D429" i="8"/>
  <c r="J428" i="8"/>
  <c r="F428" i="8"/>
  <c r="E428" i="8"/>
  <c r="D428" i="8"/>
  <c r="G428" i="8" s="1"/>
  <c r="J427" i="8"/>
  <c r="F427" i="8"/>
  <c r="E427" i="8"/>
  <c r="D427" i="8"/>
  <c r="J426" i="8"/>
  <c r="F426" i="8"/>
  <c r="E426" i="8"/>
  <c r="D426" i="8"/>
  <c r="G426" i="8" s="1"/>
  <c r="M426" i="8" s="1"/>
  <c r="J425" i="8"/>
  <c r="F425" i="8"/>
  <c r="E425" i="8"/>
  <c r="D425" i="8"/>
  <c r="J424" i="8"/>
  <c r="F424" i="8"/>
  <c r="E424" i="8"/>
  <c r="D424" i="8"/>
  <c r="G424" i="8" s="1"/>
  <c r="J423" i="8"/>
  <c r="F423" i="8"/>
  <c r="E423" i="8"/>
  <c r="D423" i="8"/>
  <c r="G423" i="8" s="1"/>
  <c r="J422" i="8"/>
  <c r="F422" i="8"/>
  <c r="E422" i="8"/>
  <c r="D422" i="8"/>
  <c r="J421" i="8"/>
  <c r="F421" i="8"/>
  <c r="E421" i="8"/>
  <c r="D421" i="8"/>
  <c r="J420" i="8"/>
  <c r="F420" i="8"/>
  <c r="E420" i="8"/>
  <c r="D420" i="8"/>
  <c r="G420" i="8" s="1"/>
  <c r="J419" i="8"/>
  <c r="F419" i="8"/>
  <c r="E419" i="8"/>
  <c r="D419" i="8"/>
  <c r="G419" i="8" s="1"/>
  <c r="J418" i="8"/>
  <c r="F418" i="8"/>
  <c r="E418" i="8"/>
  <c r="D418" i="8"/>
  <c r="J417" i="8"/>
  <c r="F417" i="8"/>
  <c r="E417" i="8"/>
  <c r="D417" i="8"/>
  <c r="J416" i="8"/>
  <c r="F416" i="8"/>
  <c r="E416" i="8"/>
  <c r="D416" i="8"/>
  <c r="G416" i="8" s="1"/>
  <c r="J415" i="8"/>
  <c r="F415" i="8"/>
  <c r="E415" i="8"/>
  <c r="D415" i="8"/>
  <c r="J414" i="8"/>
  <c r="F414" i="8"/>
  <c r="E414" i="8"/>
  <c r="D414" i="8"/>
  <c r="G414" i="8" s="1"/>
  <c r="M414" i="8" s="1"/>
  <c r="J413" i="8"/>
  <c r="F413" i="8"/>
  <c r="E413" i="8"/>
  <c r="D413" i="8"/>
  <c r="J412" i="8"/>
  <c r="F412" i="8"/>
  <c r="E412" i="8"/>
  <c r="D412" i="8"/>
  <c r="G412" i="8" s="1"/>
  <c r="J411" i="8"/>
  <c r="F411" i="8"/>
  <c r="E411" i="8"/>
  <c r="D411" i="8"/>
  <c r="J410" i="8"/>
  <c r="F410" i="8"/>
  <c r="E410" i="8"/>
  <c r="D410" i="8"/>
  <c r="G410" i="8" s="1"/>
  <c r="M410" i="8" s="1"/>
  <c r="J409" i="8"/>
  <c r="F409" i="8"/>
  <c r="E409" i="8"/>
  <c r="D409" i="8"/>
  <c r="J408" i="8"/>
  <c r="F408" i="8"/>
  <c r="E408" i="8"/>
  <c r="D408" i="8"/>
  <c r="G408" i="8" s="1"/>
  <c r="J407" i="8"/>
  <c r="F407" i="8"/>
  <c r="E407" i="8"/>
  <c r="D407" i="8"/>
  <c r="G407" i="8" s="1"/>
  <c r="J406" i="8"/>
  <c r="F406" i="8"/>
  <c r="E406" i="8"/>
  <c r="D406" i="8"/>
  <c r="J405" i="8"/>
  <c r="F405" i="8"/>
  <c r="E405" i="8"/>
  <c r="D405" i="8"/>
  <c r="J404" i="8"/>
  <c r="F404" i="8"/>
  <c r="E404" i="8"/>
  <c r="D404" i="8"/>
  <c r="G404" i="8" s="1"/>
  <c r="J403" i="8"/>
  <c r="F403" i="8"/>
  <c r="E403" i="8"/>
  <c r="D403" i="8"/>
  <c r="G403" i="8" s="1"/>
  <c r="J402" i="8"/>
  <c r="F402" i="8"/>
  <c r="E402" i="8"/>
  <c r="D402" i="8"/>
  <c r="J401" i="8"/>
  <c r="F401" i="8"/>
  <c r="E401" i="8"/>
  <c r="D401" i="8"/>
  <c r="J400" i="8"/>
  <c r="F400" i="8"/>
  <c r="E400" i="8"/>
  <c r="D400" i="8"/>
  <c r="G400" i="8" s="1"/>
  <c r="J399" i="8"/>
  <c r="F399" i="8"/>
  <c r="E399" i="8"/>
  <c r="D399" i="8"/>
  <c r="J398" i="8"/>
  <c r="F398" i="8"/>
  <c r="E398" i="8"/>
  <c r="D398" i="8"/>
  <c r="G398" i="8" s="1"/>
  <c r="M398" i="8" s="1"/>
  <c r="J397" i="8"/>
  <c r="F397" i="8"/>
  <c r="E397" i="8"/>
  <c r="D397" i="8"/>
  <c r="J396" i="8"/>
  <c r="F396" i="8"/>
  <c r="E396" i="8"/>
  <c r="D396" i="8"/>
  <c r="G396" i="8" s="1"/>
  <c r="J395" i="8"/>
  <c r="G395" i="8"/>
  <c r="F395" i="8"/>
  <c r="E395" i="8"/>
  <c r="D395" i="8"/>
  <c r="J394" i="8"/>
  <c r="F394" i="8"/>
  <c r="E394" i="8"/>
  <c r="D394" i="8"/>
  <c r="G394" i="8" s="1"/>
  <c r="M394" i="8" s="1"/>
  <c r="J393" i="8"/>
  <c r="F393" i="8"/>
  <c r="E393" i="8"/>
  <c r="D393" i="8"/>
  <c r="J392" i="8"/>
  <c r="F392" i="8"/>
  <c r="E392" i="8"/>
  <c r="D392" i="8"/>
  <c r="G392" i="8" s="1"/>
  <c r="J391" i="8"/>
  <c r="F391" i="8"/>
  <c r="E391" i="8"/>
  <c r="D391" i="8"/>
  <c r="G391" i="8" s="1"/>
  <c r="J390" i="8"/>
  <c r="F390" i="8"/>
  <c r="E390" i="8"/>
  <c r="D390" i="8"/>
  <c r="J389" i="8"/>
  <c r="F389" i="8"/>
  <c r="E389" i="8"/>
  <c r="D389" i="8"/>
  <c r="J388" i="8"/>
  <c r="F388" i="8"/>
  <c r="E388" i="8"/>
  <c r="D388" i="8"/>
  <c r="G388" i="8" s="1"/>
  <c r="J387" i="8"/>
  <c r="F387" i="8"/>
  <c r="E387" i="8"/>
  <c r="D387" i="8"/>
  <c r="G387" i="8" s="1"/>
  <c r="J386" i="8"/>
  <c r="F386" i="8"/>
  <c r="E386" i="8"/>
  <c r="D386" i="8"/>
  <c r="G386" i="8" s="1"/>
  <c r="M386" i="8" s="1"/>
  <c r="J385" i="8"/>
  <c r="F385" i="8"/>
  <c r="E385" i="8"/>
  <c r="D385" i="8"/>
  <c r="J384" i="8"/>
  <c r="F384" i="8"/>
  <c r="E384" i="8"/>
  <c r="D384" i="8"/>
  <c r="G384" i="8" s="1"/>
  <c r="J383" i="8"/>
  <c r="F383" i="8"/>
  <c r="E383" i="8"/>
  <c r="D383" i="8"/>
  <c r="G383" i="8" s="1"/>
  <c r="J382" i="8"/>
  <c r="F382" i="8"/>
  <c r="E382" i="8"/>
  <c r="D382" i="8"/>
  <c r="G382" i="8" s="1"/>
  <c r="M382" i="8" s="1"/>
  <c r="J381" i="8"/>
  <c r="F381" i="8"/>
  <c r="E381" i="8"/>
  <c r="D381" i="8"/>
  <c r="J380" i="8"/>
  <c r="F380" i="8"/>
  <c r="E380" i="8"/>
  <c r="D380" i="8"/>
  <c r="G380" i="8" s="1"/>
  <c r="J379" i="8"/>
  <c r="F379" i="8"/>
  <c r="E379" i="8"/>
  <c r="D379" i="8"/>
  <c r="G379" i="8" s="1"/>
  <c r="J378" i="8"/>
  <c r="F378" i="8"/>
  <c r="E378" i="8"/>
  <c r="D378" i="8"/>
  <c r="J377" i="8"/>
  <c r="F377" i="8"/>
  <c r="E377" i="8"/>
  <c r="D377" i="8"/>
  <c r="J376" i="8"/>
  <c r="F376" i="8"/>
  <c r="E376" i="8"/>
  <c r="D376" i="8"/>
  <c r="G376" i="8" s="1"/>
  <c r="J375" i="8"/>
  <c r="F375" i="8"/>
  <c r="E375" i="8"/>
  <c r="D375" i="8"/>
  <c r="G375" i="8" s="1"/>
  <c r="J374" i="8"/>
  <c r="F374" i="8"/>
  <c r="E374" i="8"/>
  <c r="D374" i="8"/>
  <c r="G374" i="8" s="1"/>
  <c r="M374" i="8" s="1"/>
  <c r="J373" i="8"/>
  <c r="F373" i="8"/>
  <c r="E373" i="8"/>
  <c r="D373" i="8"/>
  <c r="J372" i="8"/>
  <c r="F372" i="8"/>
  <c r="E372" i="8"/>
  <c r="D372" i="8"/>
  <c r="G372" i="8" s="1"/>
  <c r="J371" i="8"/>
  <c r="F371" i="8"/>
  <c r="E371" i="8"/>
  <c r="D371" i="8"/>
  <c r="J370" i="8"/>
  <c r="F370" i="8"/>
  <c r="E370" i="8"/>
  <c r="D370" i="8"/>
  <c r="G370" i="8" s="1"/>
  <c r="M370" i="8" s="1"/>
  <c r="J369" i="8"/>
  <c r="F369" i="8"/>
  <c r="E369" i="8"/>
  <c r="D369" i="8"/>
  <c r="J368" i="8"/>
  <c r="F368" i="8"/>
  <c r="E368" i="8"/>
  <c r="D368" i="8"/>
  <c r="G368" i="8" s="1"/>
  <c r="J367" i="8"/>
  <c r="F367" i="8"/>
  <c r="E367" i="8"/>
  <c r="D367" i="8"/>
  <c r="J366" i="8"/>
  <c r="F366" i="8"/>
  <c r="E366" i="8"/>
  <c r="D366" i="8"/>
  <c r="G366" i="8" s="1"/>
  <c r="M366" i="8" s="1"/>
  <c r="J365" i="8"/>
  <c r="F365" i="8"/>
  <c r="E365" i="8"/>
  <c r="D365" i="8"/>
  <c r="J364" i="8"/>
  <c r="F364" i="8"/>
  <c r="E364" i="8"/>
  <c r="D364" i="8"/>
  <c r="G364" i="8" s="1"/>
  <c r="J363" i="8"/>
  <c r="G363" i="8"/>
  <c r="F363" i="8"/>
  <c r="E363" i="8"/>
  <c r="D363" i="8"/>
  <c r="J362" i="8"/>
  <c r="F362" i="8"/>
  <c r="E362" i="8"/>
  <c r="D362" i="8"/>
  <c r="J361" i="8"/>
  <c r="F361" i="8"/>
  <c r="E361" i="8"/>
  <c r="D361" i="8"/>
  <c r="J360" i="8"/>
  <c r="F360" i="8"/>
  <c r="E360" i="8"/>
  <c r="D360" i="8"/>
  <c r="G360" i="8" s="1"/>
  <c r="J359" i="8"/>
  <c r="F359" i="8"/>
  <c r="E359" i="8"/>
  <c r="D359" i="8"/>
  <c r="G359" i="8" s="1"/>
  <c r="J358" i="8"/>
  <c r="F358" i="8"/>
  <c r="E358" i="8"/>
  <c r="D358" i="8"/>
  <c r="G358" i="8" s="1"/>
  <c r="M358" i="8" s="1"/>
  <c r="J357" i="8"/>
  <c r="F357" i="8"/>
  <c r="E357" i="8"/>
  <c r="D357" i="8"/>
  <c r="J356" i="8"/>
  <c r="F356" i="8"/>
  <c r="E356" i="8"/>
  <c r="D356" i="8"/>
  <c r="G356" i="8" s="1"/>
  <c r="J355" i="8"/>
  <c r="F355" i="8"/>
  <c r="E355" i="8"/>
  <c r="D355" i="8"/>
  <c r="J354" i="8"/>
  <c r="F354" i="8"/>
  <c r="E354" i="8"/>
  <c r="D354" i="8"/>
  <c r="J353" i="8"/>
  <c r="F353" i="8"/>
  <c r="E353" i="8"/>
  <c r="D353" i="8"/>
  <c r="J352" i="8"/>
  <c r="F352" i="8"/>
  <c r="E352" i="8"/>
  <c r="D352" i="8"/>
  <c r="G352" i="8" s="1"/>
  <c r="J351" i="8"/>
  <c r="F351" i="8"/>
  <c r="E351" i="8"/>
  <c r="D351" i="8"/>
  <c r="G351" i="8" s="1"/>
  <c r="J350" i="8"/>
  <c r="F350" i="8"/>
  <c r="E350" i="8"/>
  <c r="D350" i="8"/>
  <c r="G350" i="8" s="1"/>
  <c r="M350" i="8" s="1"/>
  <c r="J349" i="8"/>
  <c r="F349" i="8"/>
  <c r="E349" i="8"/>
  <c r="D349" i="8"/>
  <c r="J348" i="8"/>
  <c r="F348" i="8"/>
  <c r="E348" i="8"/>
  <c r="D348" i="8"/>
  <c r="G348" i="8" s="1"/>
  <c r="J347" i="8"/>
  <c r="F347" i="8"/>
  <c r="E347" i="8"/>
  <c r="D347" i="8"/>
  <c r="J346" i="8"/>
  <c r="F346" i="8"/>
  <c r="E346" i="8"/>
  <c r="D346" i="8"/>
  <c r="J345" i="8"/>
  <c r="F345" i="8"/>
  <c r="E345" i="8"/>
  <c r="D345" i="8"/>
  <c r="J344" i="8"/>
  <c r="F344" i="8"/>
  <c r="E344" i="8"/>
  <c r="D344" i="8"/>
  <c r="G344" i="8" s="1"/>
  <c r="J343" i="8"/>
  <c r="F343" i="8"/>
  <c r="E343" i="8"/>
  <c r="D343" i="8"/>
  <c r="G343" i="8" s="1"/>
  <c r="J342" i="8"/>
  <c r="F342" i="8"/>
  <c r="E342" i="8"/>
  <c r="D342" i="8"/>
  <c r="J341" i="8"/>
  <c r="F341" i="8"/>
  <c r="E341" i="8"/>
  <c r="D341" i="8"/>
  <c r="J340" i="8"/>
  <c r="F340" i="8"/>
  <c r="E340" i="8"/>
  <c r="D340" i="8"/>
  <c r="G340" i="8" s="1"/>
  <c r="J339" i="8"/>
  <c r="F339" i="8"/>
  <c r="E339" i="8"/>
  <c r="D339" i="8"/>
  <c r="J338" i="8"/>
  <c r="F338" i="8"/>
  <c r="E338" i="8"/>
  <c r="D338" i="8"/>
  <c r="G338" i="8" s="1"/>
  <c r="M338" i="8" s="1"/>
  <c r="J337" i="8"/>
  <c r="F337" i="8"/>
  <c r="E337" i="8"/>
  <c r="D337" i="8"/>
  <c r="J336" i="8"/>
  <c r="F336" i="8"/>
  <c r="E336" i="8"/>
  <c r="D336" i="8"/>
  <c r="G336" i="8" s="1"/>
  <c r="J335" i="8"/>
  <c r="F335" i="8"/>
  <c r="E335" i="8"/>
  <c r="D335" i="8"/>
  <c r="G335" i="8" s="1"/>
  <c r="J334" i="8"/>
  <c r="F334" i="8"/>
  <c r="E334" i="8"/>
  <c r="D334" i="8"/>
  <c r="G334" i="8" s="1"/>
  <c r="M334" i="8" s="1"/>
  <c r="J333" i="8"/>
  <c r="F333" i="8"/>
  <c r="E333" i="8"/>
  <c r="D333" i="8"/>
  <c r="J332" i="8"/>
  <c r="F332" i="8"/>
  <c r="E332" i="8"/>
  <c r="D332" i="8"/>
  <c r="G332" i="8" s="1"/>
  <c r="J331" i="8"/>
  <c r="F331" i="8"/>
  <c r="E331" i="8"/>
  <c r="D331" i="8"/>
  <c r="G331" i="8" s="1"/>
  <c r="J330" i="8"/>
  <c r="F330" i="8"/>
  <c r="E330" i="8"/>
  <c r="D330" i="8"/>
  <c r="J329" i="8"/>
  <c r="F329" i="8"/>
  <c r="E329" i="8"/>
  <c r="D329" i="8"/>
  <c r="J328" i="8"/>
  <c r="F328" i="8"/>
  <c r="E328" i="8"/>
  <c r="D328" i="8"/>
  <c r="G328" i="8" s="1"/>
  <c r="J327" i="8"/>
  <c r="F327" i="8"/>
  <c r="E327" i="8"/>
  <c r="D327" i="8"/>
  <c r="G327" i="8" s="1"/>
  <c r="J326" i="8"/>
  <c r="F326" i="8"/>
  <c r="E326" i="8"/>
  <c r="D326" i="8"/>
  <c r="G326" i="8" s="1"/>
  <c r="M326" i="8" s="1"/>
  <c r="J325" i="8"/>
  <c r="F325" i="8"/>
  <c r="E325" i="8"/>
  <c r="D325" i="8"/>
  <c r="J324" i="8"/>
  <c r="F324" i="8"/>
  <c r="E324" i="8"/>
  <c r="D324" i="8"/>
  <c r="G324" i="8" s="1"/>
  <c r="J323" i="8"/>
  <c r="F323" i="8"/>
  <c r="E323" i="8"/>
  <c r="D323" i="8"/>
  <c r="J322" i="8"/>
  <c r="F322" i="8"/>
  <c r="E322" i="8"/>
  <c r="D322" i="8"/>
  <c r="G322" i="8" s="1"/>
  <c r="M322" i="8" s="1"/>
  <c r="J321" i="8"/>
  <c r="F321" i="8"/>
  <c r="E321" i="8"/>
  <c r="D321" i="8"/>
  <c r="J320" i="8"/>
  <c r="F320" i="8"/>
  <c r="E320" i="8"/>
  <c r="D320" i="8"/>
  <c r="G320" i="8" s="1"/>
  <c r="J319" i="8"/>
  <c r="F319" i="8"/>
  <c r="E319" i="8"/>
  <c r="D319" i="8"/>
  <c r="G319" i="8" s="1"/>
  <c r="J318" i="8"/>
  <c r="G318" i="8"/>
  <c r="M318" i="8" s="1"/>
  <c r="F318" i="8"/>
  <c r="E318" i="8"/>
  <c r="D318" i="8"/>
  <c r="J317" i="8"/>
  <c r="F317" i="8"/>
  <c r="E317" i="8"/>
  <c r="D317" i="8"/>
  <c r="J316" i="8"/>
  <c r="F316" i="8"/>
  <c r="E316" i="8"/>
  <c r="D316" i="8"/>
  <c r="G316" i="8" s="1"/>
  <c r="J315" i="8"/>
  <c r="F315" i="8"/>
  <c r="E315" i="8"/>
  <c r="D315" i="8"/>
  <c r="G315" i="8" s="1"/>
  <c r="J314" i="8"/>
  <c r="F314" i="8"/>
  <c r="E314" i="8"/>
  <c r="D314" i="8"/>
  <c r="J313" i="8"/>
  <c r="F313" i="8"/>
  <c r="E313" i="8"/>
  <c r="D313" i="8"/>
  <c r="J312" i="8"/>
  <c r="F312" i="8"/>
  <c r="E312" i="8"/>
  <c r="D312" i="8"/>
  <c r="G312" i="8" s="1"/>
  <c r="J311" i="8"/>
  <c r="F311" i="8"/>
  <c r="E311" i="8"/>
  <c r="D311" i="8"/>
  <c r="G311" i="8" s="1"/>
  <c r="J310" i="8"/>
  <c r="F310" i="8"/>
  <c r="E310" i="8"/>
  <c r="D310" i="8"/>
  <c r="G310" i="8" s="1"/>
  <c r="M310" i="8" s="1"/>
  <c r="J309" i="8"/>
  <c r="F309" i="8"/>
  <c r="E309" i="8"/>
  <c r="D309" i="8"/>
  <c r="J308" i="8"/>
  <c r="F308" i="8"/>
  <c r="E308" i="8"/>
  <c r="D308" i="8"/>
  <c r="G308" i="8" s="1"/>
  <c r="J307" i="8"/>
  <c r="F307" i="8"/>
  <c r="E307" i="8"/>
  <c r="D307" i="8"/>
  <c r="J306" i="8"/>
  <c r="F306" i="8"/>
  <c r="E306" i="8"/>
  <c r="D306" i="8"/>
  <c r="G306" i="8" s="1"/>
  <c r="M306" i="8" s="1"/>
  <c r="J305" i="8"/>
  <c r="F305" i="8"/>
  <c r="E305" i="8"/>
  <c r="D305" i="8"/>
  <c r="J304" i="8"/>
  <c r="F304" i="8"/>
  <c r="E304" i="8"/>
  <c r="D304" i="8"/>
  <c r="G304" i="8" s="1"/>
  <c r="J303" i="8"/>
  <c r="F303" i="8"/>
  <c r="E303" i="8"/>
  <c r="D303" i="8"/>
  <c r="J302" i="8"/>
  <c r="F302" i="8"/>
  <c r="E302" i="8"/>
  <c r="D302" i="8"/>
  <c r="G302" i="8" s="1"/>
  <c r="M302" i="8" s="1"/>
  <c r="J301" i="8"/>
  <c r="F301" i="8"/>
  <c r="E301" i="8"/>
  <c r="D301" i="8"/>
  <c r="J300" i="8"/>
  <c r="F300" i="8"/>
  <c r="E300" i="8"/>
  <c r="D300" i="8"/>
  <c r="G300" i="8" s="1"/>
  <c r="J299" i="8"/>
  <c r="F299" i="8"/>
  <c r="E299" i="8"/>
  <c r="D299" i="8"/>
  <c r="G299" i="8" s="1"/>
  <c r="J298" i="8"/>
  <c r="F298" i="8"/>
  <c r="E298" i="8"/>
  <c r="D298" i="8"/>
  <c r="J297" i="8"/>
  <c r="F297" i="8"/>
  <c r="E297" i="8"/>
  <c r="D297" i="8"/>
  <c r="J296" i="8"/>
  <c r="F296" i="8"/>
  <c r="E296" i="8"/>
  <c r="D296" i="8"/>
  <c r="G296" i="8" s="1"/>
  <c r="J295" i="8"/>
  <c r="F295" i="8"/>
  <c r="E295" i="8"/>
  <c r="D295" i="8"/>
  <c r="G295" i="8" s="1"/>
  <c r="J294" i="8"/>
  <c r="F294" i="8"/>
  <c r="E294" i="8"/>
  <c r="D294" i="8"/>
  <c r="G294" i="8" s="1"/>
  <c r="M294" i="8" s="1"/>
  <c r="J293" i="8"/>
  <c r="F293" i="8"/>
  <c r="E293" i="8"/>
  <c r="D293" i="8"/>
  <c r="J292" i="8"/>
  <c r="F292" i="8"/>
  <c r="E292" i="8"/>
  <c r="D292" i="8"/>
  <c r="G292" i="8" s="1"/>
  <c r="J291" i="8"/>
  <c r="F291" i="8"/>
  <c r="E291" i="8"/>
  <c r="D291" i="8"/>
  <c r="J290" i="8"/>
  <c r="F290" i="8"/>
  <c r="E290" i="8"/>
  <c r="D290" i="8"/>
  <c r="J289" i="8"/>
  <c r="F289" i="8"/>
  <c r="E289" i="8"/>
  <c r="D289" i="8"/>
  <c r="J288" i="8"/>
  <c r="F288" i="8"/>
  <c r="E288" i="8"/>
  <c r="D288" i="8"/>
  <c r="G288" i="8" s="1"/>
  <c r="J287" i="8"/>
  <c r="F287" i="8"/>
  <c r="E287" i="8"/>
  <c r="D287" i="8"/>
  <c r="G287" i="8" s="1"/>
  <c r="J286" i="8"/>
  <c r="F286" i="8"/>
  <c r="E286" i="8"/>
  <c r="D286" i="8"/>
  <c r="G286" i="8" s="1"/>
  <c r="M286" i="8" s="1"/>
  <c r="J285" i="8"/>
  <c r="F285" i="8"/>
  <c r="E285" i="8"/>
  <c r="D285" i="8"/>
  <c r="J284" i="8"/>
  <c r="F284" i="8"/>
  <c r="E284" i="8"/>
  <c r="D284" i="8"/>
  <c r="G284" i="8" s="1"/>
  <c r="J283" i="8"/>
  <c r="F283" i="8"/>
  <c r="E283" i="8"/>
  <c r="D283" i="8"/>
  <c r="J282" i="8"/>
  <c r="F282" i="8"/>
  <c r="E282" i="8"/>
  <c r="D282" i="8"/>
  <c r="J281" i="8"/>
  <c r="F281" i="8"/>
  <c r="E281" i="8"/>
  <c r="D281" i="8"/>
  <c r="J280" i="8"/>
  <c r="F280" i="8"/>
  <c r="E280" i="8"/>
  <c r="D280" i="8"/>
  <c r="G280" i="8" s="1"/>
  <c r="J279" i="8"/>
  <c r="F279" i="8"/>
  <c r="E279" i="8"/>
  <c r="D279" i="8"/>
  <c r="G279" i="8" s="1"/>
  <c r="J278" i="8"/>
  <c r="F278" i="8"/>
  <c r="E278" i="8"/>
  <c r="D278" i="8"/>
  <c r="J277" i="8"/>
  <c r="F277" i="8"/>
  <c r="E277" i="8"/>
  <c r="D277" i="8"/>
  <c r="J276" i="8"/>
  <c r="F276" i="8"/>
  <c r="E276" i="8"/>
  <c r="D276" i="8"/>
  <c r="G276" i="8" s="1"/>
  <c r="J275" i="8"/>
  <c r="F275" i="8"/>
  <c r="E275" i="8"/>
  <c r="D275" i="8"/>
  <c r="J274" i="8"/>
  <c r="F274" i="8"/>
  <c r="E274" i="8"/>
  <c r="D274" i="8"/>
  <c r="G274" i="8" s="1"/>
  <c r="M274" i="8" s="1"/>
  <c r="J273" i="8"/>
  <c r="F273" i="8"/>
  <c r="E273" i="8"/>
  <c r="D273" i="8"/>
  <c r="J272" i="8"/>
  <c r="F272" i="8"/>
  <c r="E272" i="8"/>
  <c r="D272" i="8"/>
  <c r="G272" i="8" s="1"/>
  <c r="J271" i="8"/>
  <c r="F271" i="8"/>
  <c r="E271" i="8"/>
  <c r="D271" i="8"/>
  <c r="G271" i="8" s="1"/>
  <c r="J270" i="8"/>
  <c r="F270" i="8"/>
  <c r="E270" i="8"/>
  <c r="D270" i="8"/>
  <c r="J269" i="8"/>
  <c r="F269" i="8"/>
  <c r="E269" i="8"/>
  <c r="D269" i="8"/>
  <c r="J268" i="8"/>
  <c r="F268" i="8"/>
  <c r="E268" i="8"/>
  <c r="D268" i="8"/>
  <c r="G268" i="8" s="1"/>
  <c r="J267" i="8"/>
  <c r="F267" i="8"/>
  <c r="E267" i="8"/>
  <c r="D267" i="8"/>
  <c r="G267" i="8" s="1"/>
  <c r="J266" i="8"/>
  <c r="G266" i="8"/>
  <c r="M266" i="8" s="1"/>
  <c r="F266" i="8"/>
  <c r="E266" i="8"/>
  <c r="D266" i="8"/>
  <c r="J265" i="8"/>
  <c r="F265" i="8"/>
  <c r="E265" i="8"/>
  <c r="D265" i="8"/>
  <c r="J264" i="8"/>
  <c r="F264" i="8"/>
  <c r="E264" i="8"/>
  <c r="D264" i="8"/>
  <c r="G264" i="8" s="1"/>
  <c r="J263" i="8"/>
  <c r="F263" i="8"/>
  <c r="E263" i="8"/>
  <c r="D263" i="8"/>
  <c r="J262" i="8"/>
  <c r="F262" i="8"/>
  <c r="E262" i="8"/>
  <c r="D262" i="8"/>
  <c r="G262" i="8" s="1"/>
  <c r="M262" i="8" s="1"/>
  <c r="J261" i="8"/>
  <c r="F261" i="8"/>
  <c r="E261" i="8"/>
  <c r="D261" i="8"/>
  <c r="J260" i="8"/>
  <c r="F260" i="8"/>
  <c r="E260" i="8"/>
  <c r="D260" i="8"/>
  <c r="G260" i="8" s="1"/>
  <c r="J259" i="8"/>
  <c r="F259" i="8"/>
  <c r="E259" i="8"/>
  <c r="D259" i="8"/>
  <c r="G259" i="8" s="1"/>
  <c r="J258" i="8"/>
  <c r="F258" i="8"/>
  <c r="E258" i="8"/>
  <c r="D258" i="8"/>
  <c r="G258" i="8" s="1"/>
  <c r="M258" i="8" s="1"/>
  <c r="J257" i="8"/>
  <c r="F257" i="8"/>
  <c r="E257" i="8"/>
  <c r="D257" i="8"/>
  <c r="J256" i="8"/>
  <c r="F256" i="8"/>
  <c r="E256" i="8"/>
  <c r="D256" i="8"/>
  <c r="G256" i="8" s="1"/>
  <c r="J255" i="8"/>
  <c r="F255" i="8"/>
  <c r="E255" i="8"/>
  <c r="D255" i="8"/>
  <c r="G255" i="8" s="1"/>
  <c r="J254" i="8"/>
  <c r="F254" i="8"/>
  <c r="E254" i="8"/>
  <c r="D254" i="8"/>
  <c r="J253" i="8"/>
  <c r="F253" i="8"/>
  <c r="E253" i="8"/>
  <c r="D253" i="8"/>
  <c r="J252" i="8"/>
  <c r="F252" i="8"/>
  <c r="E252" i="8"/>
  <c r="D252" i="8"/>
  <c r="G252" i="8" s="1"/>
  <c r="J251" i="8"/>
  <c r="F251" i="8"/>
  <c r="E251" i="8"/>
  <c r="D251" i="8"/>
  <c r="G251" i="8" s="1"/>
  <c r="J250" i="8"/>
  <c r="F250" i="8"/>
  <c r="E250" i="8"/>
  <c r="D250" i="8"/>
  <c r="G250" i="8" s="1"/>
  <c r="M250" i="8" s="1"/>
  <c r="J249" i="8"/>
  <c r="F249" i="8"/>
  <c r="E249" i="8"/>
  <c r="D249" i="8"/>
  <c r="J248" i="8"/>
  <c r="F248" i="8"/>
  <c r="E248" i="8"/>
  <c r="D248" i="8"/>
  <c r="G248" i="8" s="1"/>
  <c r="J247" i="8"/>
  <c r="F247" i="8"/>
  <c r="E247" i="8"/>
  <c r="D247" i="8"/>
  <c r="J246" i="8"/>
  <c r="F246" i="8"/>
  <c r="E246" i="8"/>
  <c r="D246" i="8"/>
  <c r="G246" i="8" s="1"/>
  <c r="M246" i="8" s="1"/>
  <c r="J245" i="8"/>
  <c r="F245" i="8"/>
  <c r="E245" i="8"/>
  <c r="D245" i="8"/>
  <c r="J244" i="8"/>
  <c r="F244" i="8"/>
  <c r="E244" i="8"/>
  <c r="D244" i="8"/>
  <c r="G244" i="8" s="1"/>
  <c r="J243" i="8"/>
  <c r="F243" i="8"/>
  <c r="E243" i="8"/>
  <c r="D243" i="8"/>
  <c r="G243" i="8" s="1"/>
  <c r="J242" i="8"/>
  <c r="F242" i="8"/>
  <c r="E242" i="8"/>
  <c r="D242" i="8"/>
  <c r="G242" i="8" s="1"/>
  <c r="M242" i="8" s="1"/>
  <c r="J241" i="8"/>
  <c r="F241" i="8"/>
  <c r="E241" i="8"/>
  <c r="D241" i="8"/>
  <c r="J240" i="8"/>
  <c r="F240" i="8"/>
  <c r="E240" i="8"/>
  <c r="D240" i="8"/>
  <c r="G240" i="8" s="1"/>
  <c r="J239" i="8"/>
  <c r="F239" i="8"/>
  <c r="E239" i="8"/>
  <c r="D239" i="8"/>
  <c r="G239" i="8" s="1"/>
  <c r="J238" i="8"/>
  <c r="F238" i="8"/>
  <c r="E238" i="8"/>
  <c r="D238" i="8"/>
  <c r="J237" i="8"/>
  <c r="F237" i="8"/>
  <c r="E237" i="8"/>
  <c r="D237" i="8"/>
  <c r="J236" i="8"/>
  <c r="F236" i="8"/>
  <c r="E236" i="8"/>
  <c r="D236" i="8"/>
  <c r="G236" i="8" s="1"/>
  <c r="J235" i="8"/>
  <c r="F235" i="8"/>
  <c r="E235" i="8"/>
  <c r="D235" i="8"/>
  <c r="G235" i="8" s="1"/>
  <c r="J234" i="8"/>
  <c r="F234" i="8"/>
  <c r="E234" i="8"/>
  <c r="D234" i="8"/>
  <c r="G234" i="8" s="1"/>
  <c r="M234" i="8" s="1"/>
  <c r="J233" i="8"/>
  <c r="F233" i="8"/>
  <c r="E233" i="8"/>
  <c r="D233" i="8"/>
  <c r="J232" i="8"/>
  <c r="F232" i="8"/>
  <c r="E232" i="8"/>
  <c r="D232" i="8"/>
  <c r="G232" i="8" s="1"/>
  <c r="J231" i="8"/>
  <c r="F231" i="8"/>
  <c r="E231" i="8"/>
  <c r="D231" i="8"/>
  <c r="J230" i="8"/>
  <c r="F230" i="8"/>
  <c r="E230" i="8"/>
  <c r="D230" i="8"/>
  <c r="G230" i="8" s="1"/>
  <c r="M230" i="8" s="1"/>
  <c r="J229" i="8"/>
  <c r="F229" i="8"/>
  <c r="E229" i="8"/>
  <c r="D229" i="8"/>
  <c r="J228" i="8"/>
  <c r="F228" i="8"/>
  <c r="E228" i="8"/>
  <c r="D228" i="8"/>
  <c r="G228" i="8" s="1"/>
  <c r="J227" i="8"/>
  <c r="F227" i="8"/>
  <c r="E227" i="8"/>
  <c r="D227" i="8"/>
  <c r="G227" i="8" s="1"/>
  <c r="J226" i="8"/>
  <c r="F226" i="8"/>
  <c r="E226" i="8"/>
  <c r="D226" i="8"/>
  <c r="G226" i="8" s="1"/>
  <c r="M226" i="8" s="1"/>
  <c r="J225" i="8"/>
  <c r="F225" i="8"/>
  <c r="E225" i="8"/>
  <c r="D225" i="8"/>
  <c r="J224" i="8"/>
  <c r="F224" i="8"/>
  <c r="E224" i="8"/>
  <c r="D224" i="8"/>
  <c r="G224" i="8" s="1"/>
  <c r="J223" i="8"/>
  <c r="F223" i="8"/>
  <c r="E223" i="8"/>
  <c r="D223" i="8"/>
  <c r="G223" i="8" s="1"/>
  <c r="J222" i="8"/>
  <c r="F222" i="8"/>
  <c r="E222" i="8"/>
  <c r="D222" i="8"/>
  <c r="J221" i="8"/>
  <c r="F221" i="8"/>
  <c r="E221" i="8"/>
  <c r="D221" i="8"/>
  <c r="J220" i="8"/>
  <c r="F220" i="8"/>
  <c r="E220" i="8"/>
  <c r="D220" i="8"/>
  <c r="G220" i="8" s="1"/>
  <c r="J219" i="8"/>
  <c r="F219" i="8"/>
  <c r="E219" i="8"/>
  <c r="D219" i="8"/>
  <c r="G219" i="8" s="1"/>
  <c r="J218" i="8"/>
  <c r="F218" i="8"/>
  <c r="E218" i="8"/>
  <c r="D218" i="8"/>
  <c r="G218" i="8" s="1"/>
  <c r="M218" i="8" s="1"/>
  <c r="J217" i="8"/>
  <c r="F217" i="8"/>
  <c r="E217" i="8"/>
  <c r="D217" i="8"/>
  <c r="J216" i="8"/>
  <c r="F216" i="8"/>
  <c r="E216" i="8"/>
  <c r="D216" i="8"/>
  <c r="G216" i="8" s="1"/>
  <c r="J215" i="8"/>
  <c r="F215" i="8"/>
  <c r="E215" i="8"/>
  <c r="D215" i="8"/>
  <c r="J214" i="8"/>
  <c r="G214" i="8"/>
  <c r="M214" i="8" s="1"/>
  <c r="F214" i="8"/>
  <c r="E214" i="8"/>
  <c r="D214" i="8"/>
  <c r="J213" i="8"/>
  <c r="F213" i="8"/>
  <c r="E213" i="8"/>
  <c r="D213" i="8"/>
  <c r="J212" i="8"/>
  <c r="F212" i="8"/>
  <c r="E212" i="8"/>
  <c r="D212" i="8"/>
  <c r="G212" i="8" s="1"/>
  <c r="J211" i="8"/>
  <c r="F211" i="8"/>
  <c r="E211" i="8"/>
  <c r="D211" i="8"/>
  <c r="G211" i="8" s="1"/>
  <c r="J210" i="8"/>
  <c r="F210" i="8"/>
  <c r="E210" i="8"/>
  <c r="D210" i="8"/>
  <c r="G210" i="8" s="1"/>
  <c r="M210" i="8" s="1"/>
  <c r="J209" i="8"/>
  <c r="F209" i="8"/>
  <c r="E209" i="8"/>
  <c r="D209" i="8"/>
  <c r="J208" i="8"/>
  <c r="F208" i="8"/>
  <c r="E208" i="8"/>
  <c r="D208" i="8"/>
  <c r="G208" i="8" s="1"/>
  <c r="J207" i="8"/>
  <c r="F207" i="8"/>
  <c r="E207" i="8"/>
  <c r="D207" i="8"/>
  <c r="G207" i="8" s="1"/>
  <c r="J206" i="8"/>
  <c r="F206" i="8"/>
  <c r="E206" i="8"/>
  <c r="D206" i="8"/>
  <c r="J205" i="8"/>
  <c r="F205" i="8"/>
  <c r="E205" i="8"/>
  <c r="D205" i="8"/>
  <c r="J204" i="8"/>
  <c r="F204" i="8"/>
  <c r="E204" i="8"/>
  <c r="D204" i="8"/>
  <c r="G204" i="8" s="1"/>
  <c r="J203" i="8"/>
  <c r="F203" i="8"/>
  <c r="E203" i="8"/>
  <c r="D203" i="8"/>
  <c r="G203" i="8" s="1"/>
  <c r="J202" i="8"/>
  <c r="F202" i="8"/>
  <c r="E202" i="8"/>
  <c r="D202" i="8"/>
  <c r="G202" i="8" s="1"/>
  <c r="M202" i="8" s="1"/>
  <c r="J201" i="8"/>
  <c r="F201" i="8"/>
  <c r="E201" i="8"/>
  <c r="D201" i="8"/>
  <c r="J200" i="8"/>
  <c r="F200" i="8"/>
  <c r="E200" i="8"/>
  <c r="D200" i="8"/>
  <c r="G200" i="8" s="1"/>
  <c r="J199" i="8"/>
  <c r="F199" i="8"/>
  <c r="E199" i="8"/>
  <c r="D199" i="8"/>
  <c r="J198" i="8"/>
  <c r="F198" i="8"/>
  <c r="E198" i="8"/>
  <c r="D198" i="8"/>
  <c r="G198" i="8" s="1"/>
  <c r="M198" i="8" s="1"/>
  <c r="J197" i="8"/>
  <c r="F197" i="8"/>
  <c r="E197" i="8"/>
  <c r="D197" i="8"/>
  <c r="J196" i="8"/>
  <c r="F196" i="8"/>
  <c r="E196" i="8"/>
  <c r="D196" i="8"/>
  <c r="G196" i="8" s="1"/>
  <c r="J195" i="8"/>
  <c r="F195" i="8"/>
  <c r="E195" i="8"/>
  <c r="D195" i="8"/>
  <c r="G195" i="8" s="1"/>
  <c r="J194" i="8"/>
  <c r="F194" i="8"/>
  <c r="E194" i="8"/>
  <c r="D194" i="8"/>
  <c r="G194" i="8" s="1"/>
  <c r="M194" i="8" s="1"/>
  <c r="J193" i="8"/>
  <c r="F193" i="8"/>
  <c r="E193" i="8"/>
  <c r="D193" i="8"/>
  <c r="J192" i="8"/>
  <c r="F192" i="8"/>
  <c r="E192" i="8"/>
  <c r="D192" i="8"/>
  <c r="G192" i="8" s="1"/>
  <c r="J191" i="8"/>
  <c r="F191" i="8"/>
  <c r="E191" i="8"/>
  <c r="D191" i="8"/>
  <c r="G191" i="8" s="1"/>
  <c r="J190" i="8"/>
  <c r="F190" i="8"/>
  <c r="E190" i="8"/>
  <c r="D190" i="8"/>
  <c r="J189" i="8"/>
  <c r="F189" i="8"/>
  <c r="E189" i="8"/>
  <c r="D189" i="8"/>
  <c r="J188" i="8"/>
  <c r="F188" i="8"/>
  <c r="E188" i="8"/>
  <c r="D188" i="8"/>
  <c r="G188" i="8" s="1"/>
  <c r="J187" i="8"/>
  <c r="F187" i="8"/>
  <c r="E187" i="8"/>
  <c r="D187" i="8"/>
  <c r="G187" i="8" s="1"/>
  <c r="J186" i="8"/>
  <c r="F186" i="8"/>
  <c r="E186" i="8"/>
  <c r="D186" i="8"/>
  <c r="G186" i="8" s="1"/>
  <c r="M186" i="8" s="1"/>
  <c r="J185" i="8"/>
  <c r="F185" i="8"/>
  <c r="E185" i="8"/>
  <c r="D185" i="8"/>
  <c r="J184" i="8"/>
  <c r="F184" i="8"/>
  <c r="E184" i="8"/>
  <c r="D184" i="8"/>
  <c r="G184" i="8" s="1"/>
  <c r="J183" i="8"/>
  <c r="F183" i="8"/>
  <c r="E183" i="8"/>
  <c r="D183" i="8"/>
  <c r="J182" i="8"/>
  <c r="F182" i="8"/>
  <c r="E182" i="8"/>
  <c r="D182" i="8"/>
  <c r="G182" i="8" s="1"/>
  <c r="M182" i="8" s="1"/>
  <c r="J181" i="8"/>
  <c r="F181" i="8"/>
  <c r="E181" i="8"/>
  <c r="D181" i="8"/>
  <c r="J180" i="8"/>
  <c r="F180" i="8"/>
  <c r="E180" i="8"/>
  <c r="D180" i="8"/>
  <c r="G180" i="8" s="1"/>
  <c r="J179" i="8"/>
  <c r="F179" i="8"/>
  <c r="E179" i="8"/>
  <c r="D179" i="8"/>
  <c r="G179" i="8" s="1"/>
  <c r="J178" i="8"/>
  <c r="F178" i="8"/>
  <c r="E178" i="8"/>
  <c r="D178" i="8"/>
  <c r="G178" i="8" s="1"/>
  <c r="M178" i="8" s="1"/>
  <c r="J177" i="8"/>
  <c r="F177" i="8"/>
  <c r="E177" i="8"/>
  <c r="D177" i="8"/>
  <c r="J176" i="8"/>
  <c r="F176" i="8"/>
  <c r="E176" i="8"/>
  <c r="D176" i="8"/>
  <c r="G176" i="8" s="1"/>
  <c r="J175" i="8"/>
  <c r="F175" i="8"/>
  <c r="E175" i="8"/>
  <c r="D175" i="8"/>
  <c r="G175" i="8" s="1"/>
  <c r="J174" i="8"/>
  <c r="F174" i="8"/>
  <c r="E174" i="8"/>
  <c r="D174" i="8"/>
  <c r="J173" i="8"/>
  <c r="F173" i="8"/>
  <c r="E173" i="8"/>
  <c r="D173" i="8"/>
  <c r="J172" i="8"/>
  <c r="F172" i="8"/>
  <c r="E172" i="8"/>
  <c r="D172" i="8"/>
  <c r="G172" i="8" s="1"/>
  <c r="J171" i="8"/>
  <c r="F171" i="8"/>
  <c r="E171" i="8"/>
  <c r="D171" i="8"/>
  <c r="G171" i="8" s="1"/>
  <c r="J170" i="8"/>
  <c r="G170" i="8"/>
  <c r="M170" i="8" s="1"/>
  <c r="F170" i="8"/>
  <c r="E170" i="8"/>
  <c r="D170" i="8"/>
  <c r="J169" i="8"/>
  <c r="F169" i="8"/>
  <c r="E169" i="8"/>
  <c r="D169" i="8"/>
  <c r="J168" i="8"/>
  <c r="F168" i="8"/>
  <c r="E168" i="8"/>
  <c r="D168" i="8"/>
  <c r="G168" i="8" s="1"/>
  <c r="J167" i="8"/>
  <c r="F167" i="8"/>
  <c r="E167" i="8"/>
  <c r="D167" i="8"/>
  <c r="J166" i="8"/>
  <c r="F166" i="8"/>
  <c r="E166" i="8"/>
  <c r="D166" i="8"/>
  <c r="G166" i="8" s="1"/>
  <c r="M166" i="8" s="1"/>
  <c r="J165" i="8"/>
  <c r="F165" i="8"/>
  <c r="E165" i="8"/>
  <c r="D165" i="8"/>
  <c r="J164" i="8"/>
  <c r="F164" i="8"/>
  <c r="E164" i="8"/>
  <c r="D164" i="8"/>
  <c r="G164" i="8" s="1"/>
  <c r="J163" i="8"/>
  <c r="F163" i="8"/>
  <c r="E163" i="8"/>
  <c r="D163" i="8"/>
  <c r="G163" i="8" s="1"/>
  <c r="J162" i="8"/>
  <c r="F162" i="8"/>
  <c r="E162" i="8"/>
  <c r="D162" i="8"/>
  <c r="G162" i="8" s="1"/>
  <c r="M162" i="8" s="1"/>
  <c r="J161" i="8"/>
  <c r="F161" i="8"/>
  <c r="E161" i="8"/>
  <c r="D161" i="8"/>
  <c r="J160" i="8"/>
  <c r="F160" i="8"/>
  <c r="E160" i="8"/>
  <c r="D160" i="8"/>
  <c r="G160" i="8" s="1"/>
  <c r="J159" i="8"/>
  <c r="F159" i="8"/>
  <c r="E159" i="8"/>
  <c r="D159" i="8"/>
  <c r="G159" i="8" s="1"/>
  <c r="J158" i="8"/>
  <c r="F158" i="8"/>
  <c r="E158" i="8"/>
  <c r="D158" i="8"/>
  <c r="J157" i="8"/>
  <c r="F157" i="8"/>
  <c r="E157" i="8"/>
  <c r="D157" i="8"/>
  <c r="J156" i="8"/>
  <c r="F156" i="8"/>
  <c r="E156" i="8"/>
  <c r="D156" i="8"/>
  <c r="G156" i="8" s="1"/>
  <c r="J155" i="8"/>
  <c r="F155" i="8"/>
  <c r="E155" i="8"/>
  <c r="D155" i="8"/>
  <c r="G155" i="8" s="1"/>
  <c r="J154" i="8"/>
  <c r="F154" i="8"/>
  <c r="E154" i="8"/>
  <c r="D154" i="8"/>
  <c r="G154" i="8" s="1"/>
  <c r="M154" i="8" s="1"/>
  <c r="J153" i="8"/>
  <c r="F153" i="8"/>
  <c r="E153" i="8"/>
  <c r="D153" i="8"/>
  <c r="J152" i="8"/>
  <c r="F152" i="8"/>
  <c r="E152" i="8"/>
  <c r="D152" i="8"/>
  <c r="G152" i="8" s="1"/>
  <c r="J151" i="8"/>
  <c r="F151" i="8"/>
  <c r="E151" i="8"/>
  <c r="D151" i="8"/>
  <c r="J150" i="8"/>
  <c r="F150" i="8"/>
  <c r="E150" i="8"/>
  <c r="D150" i="8"/>
  <c r="G150" i="8" s="1"/>
  <c r="M150" i="8" s="1"/>
  <c r="J149" i="8"/>
  <c r="F149" i="8"/>
  <c r="E149" i="8"/>
  <c r="D149" i="8"/>
  <c r="J148" i="8"/>
  <c r="F148" i="8"/>
  <c r="E148" i="8"/>
  <c r="D148" i="8"/>
  <c r="G148" i="8" s="1"/>
  <c r="J147" i="8"/>
  <c r="F147" i="8"/>
  <c r="E147" i="8"/>
  <c r="D147" i="8"/>
  <c r="G147" i="8" s="1"/>
  <c r="J146" i="8"/>
  <c r="F146" i="8"/>
  <c r="E146" i="8"/>
  <c r="D146" i="8"/>
  <c r="G146" i="8" s="1"/>
  <c r="M146" i="8" s="1"/>
  <c r="J145" i="8"/>
  <c r="F145" i="8"/>
  <c r="E145" i="8"/>
  <c r="D145" i="8"/>
  <c r="J144" i="8"/>
  <c r="F144" i="8"/>
  <c r="E144" i="8"/>
  <c r="D144" i="8"/>
  <c r="G144" i="8" s="1"/>
  <c r="J143" i="8"/>
  <c r="F143" i="8"/>
  <c r="E143" i="8"/>
  <c r="D143" i="8"/>
  <c r="G143" i="8" s="1"/>
  <c r="J142" i="8"/>
  <c r="F142" i="8"/>
  <c r="E142" i="8"/>
  <c r="D142" i="8"/>
  <c r="J141" i="8"/>
  <c r="F141" i="8"/>
  <c r="E141" i="8"/>
  <c r="D141" i="8"/>
  <c r="J140" i="8"/>
  <c r="F140" i="8"/>
  <c r="E140" i="8"/>
  <c r="D140" i="8"/>
  <c r="G140" i="8" s="1"/>
  <c r="J139" i="8"/>
  <c r="F139" i="8"/>
  <c r="E139" i="8"/>
  <c r="D139" i="8"/>
  <c r="G139" i="8" s="1"/>
  <c r="J138" i="8"/>
  <c r="F138" i="8"/>
  <c r="E138" i="8"/>
  <c r="D138" i="8"/>
  <c r="G138" i="8" s="1"/>
  <c r="M138" i="8" s="1"/>
  <c r="J137" i="8"/>
  <c r="F137" i="8"/>
  <c r="E137" i="8"/>
  <c r="D137" i="8"/>
  <c r="J136" i="8"/>
  <c r="F136" i="8"/>
  <c r="E136" i="8"/>
  <c r="D136" i="8"/>
  <c r="G136" i="8" s="1"/>
  <c r="J135" i="8"/>
  <c r="F135" i="8"/>
  <c r="E135" i="8"/>
  <c r="D135" i="8"/>
  <c r="J134" i="8"/>
  <c r="F134" i="8"/>
  <c r="E134" i="8"/>
  <c r="D134" i="8"/>
  <c r="G134" i="8" s="1"/>
  <c r="M134" i="8" s="1"/>
  <c r="J133" i="8"/>
  <c r="F133" i="8"/>
  <c r="E133" i="8"/>
  <c r="D133" i="8"/>
  <c r="J132" i="8"/>
  <c r="F132" i="8"/>
  <c r="E132" i="8"/>
  <c r="D132" i="8"/>
  <c r="G132" i="8" s="1"/>
  <c r="J131" i="8"/>
  <c r="F131" i="8"/>
  <c r="E131" i="8"/>
  <c r="D131" i="8"/>
  <c r="G131" i="8" s="1"/>
  <c r="J130" i="8"/>
  <c r="F130" i="8"/>
  <c r="E130" i="8"/>
  <c r="D130" i="8"/>
  <c r="G130" i="8" s="1"/>
  <c r="M130" i="8" s="1"/>
  <c r="J129" i="8"/>
  <c r="F129" i="8"/>
  <c r="E129" i="8"/>
  <c r="D129" i="8"/>
  <c r="J128" i="8"/>
  <c r="F128" i="8"/>
  <c r="E128" i="8"/>
  <c r="D128" i="8"/>
  <c r="G128" i="8" s="1"/>
  <c r="J127" i="8"/>
  <c r="G127" i="8"/>
  <c r="F127" i="8"/>
  <c r="E127" i="8"/>
  <c r="D127" i="8"/>
  <c r="J126" i="8"/>
  <c r="F126" i="8"/>
  <c r="E126" i="8"/>
  <c r="D126" i="8"/>
  <c r="J125" i="8"/>
  <c r="F125" i="8"/>
  <c r="E125" i="8"/>
  <c r="D125" i="8"/>
  <c r="J124" i="8"/>
  <c r="F124" i="8"/>
  <c r="E124" i="8"/>
  <c r="D124" i="8"/>
  <c r="G124" i="8" s="1"/>
  <c r="J123" i="8"/>
  <c r="F123" i="8"/>
  <c r="E123" i="8"/>
  <c r="D123" i="8"/>
  <c r="J122" i="8"/>
  <c r="F122" i="8"/>
  <c r="E122" i="8"/>
  <c r="D122" i="8"/>
  <c r="G122" i="8" s="1"/>
  <c r="M122" i="8" s="1"/>
  <c r="J121" i="8"/>
  <c r="F121" i="8"/>
  <c r="E121" i="8"/>
  <c r="D121" i="8"/>
  <c r="J120" i="8"/>
  <c r="F120" i="8"/>
  <c r="E120" i="8"/>
  <c r="D120" i="8"/>
  <c r="G120" i="8" s="1"/>
  <c r="J119" i="8"/>
  <c r="F119" i="8"/>
  <c r="E119" i="8"/>
  <c r="D119" i="8"/>
  <c r="G119" i="8" s="1"/>
  <c r="J118" i="8"/>
  <c r="F118" i="8"/>
  <c r="E118" i="8"/>
  <c r="D118" i="8"/>
  <c r="G118" i="8" s="1"/>
  <c r="M118" i="8" s="1"/>
  <c r="J117" i="8"/>
  <c r="F117" i="8"/>
  <c r="E117" i="8"/>
  <c r="D117" i="8"/>
  <c r="J116" i="8"/>
  <c r="F116" i="8"/>
  <c r="E116" i="8"/>
  <c r="D116" i="8"/>
  <c r="G116" i="8" s="1"/>
  <c r="J115" i="8"/>
  <c r="F115" i="8"/>
  <c r="E115" i="8"/>
  <c r="D115" i="8"/>
  <c r="G115" i="8" s="1"/>
  <c r="J114" i="8"/>
  <c r="F114" i="8"/>
  <c r="E114" i="8"/>
  <c r="D114" i="8"/>
  <c r="J113" i="8"/>
  <c r="F113" i="8"/>
  <c r="E113" i="8"/>
  <c r="D113" i="8"/>
  <c r="J112" i="8"/>
  <c r="F112" i="8"/>
  <c r="E112" i="8"/>
  <c r="D112" i="8"/>
  <c r="G112" i="8" s="1"/>
  <c r="J111" i="8"/>
  <c r="F111" i="8"/>
  <c r="E111" i="8"/>
  <c r="D111" i="8"/>
  <c r="G111" i="8" s="1"/>
  <c r="J110" i="8"/>
  <c r="F110" i="8"/>
  <c r="E110" i="8"/>
  <c r="D110" i="8"/>
  <c r="G110" i="8" s="1"/>
  <c r="M110" i="8" s="1"/>
  <c r="J109" i="8"/>
  <c r="F109" i="8"/>
  <c r="E109" i="8"/>
  <c r="D109" i="8"/>
  <c r="J108" i="8"/>
  <c r="F108" i="8"/>
  <c r="E108" i="8"/>
  <c r="D108" i="8"/>
  <c r="G108" i="8" s="1"/>
  <c r="J107" i="8"/>
  <c r="F107" i="8"/>
  <c r="E107" i="8"/>
  <c r="D107" i="8"/>
  <c r="J106" i="8"/>
  <c r="F106" i="8"/>
  <c r="E106" i="8"/>
  <c r="D106" i="8"/>
  <c r="G106" i="8" s="1"/>
  <c r="M106" i="8" s="1"/>
  <c r="J105" i="8"/>
  <c r="F105" i="8"/>
  <c r="E105" i="8"/>
  <c r="D105" i="8"/>
  <c r="J104" i="8"/>
  <c r="F104" i="8"/>
  <c r="E104" i="8"/>
  <c r="D104" i="8"/>
  <c r="G104" i="8" s="1"/>
  <c r="J103" i="8"/>
  <c r="F103" i="8"/>
  <c r="E103" i="8"/>
  <c r="D103" i="8"/>
  <c r="G103" i="8" s="1"/>
  <c r="J102" i="8"/>
  <c r="F102" i="8"/>
  <c r="E102" i="8"/>
  <c r="D102" i="8"/>
  <c r="G102" i="8" s="1"/>
  <c r="M102" i="8" s="1"/>
  <c r="J101" i="8"/>
  <c r="F101" i="8"/>
  <c r="E101" i="8"/>
  <c r="D101" i="8"/>
  <c r="J100" i="8"/>
  <c r="F100" i="8"/>
  <c r="E100" i="8"/>
  <c r="D100" i="8"/>
  <c r="G100" i="8" s="1"/>
  <c r="J99" i="8"/>
  <c r="F99" i="8"/>
  <c r="E99" i="8"/>
  <c r="D99" i="8"/>
  <c r="G99" i="8" s="1"/>
  <c r="J98" i="8"/>
  <c r="F98" i="8"/>
  <c r="E98" i="8"/>
  <c r="D98" i="8"/>
  <c r="J97" i="8"/>
  <c r="F97" i="8"/>
  <c r="E97" i="8"/>
  <c r="D97" i="8"/>
  <c r="J96" i="8"/>
  <c r="F96" i="8"/>
  <c r="E96" i="8"/>
  <c r="D96" i="8"/>
  <c r="G96" i="8" s="1"/>
  <c r="J95" i="8"/>
  <c r="G95" i="8"/>
  <c r="F95" i="8"/>
  <c r="E95" i="8"/>
  <c r="D95" i="8"/>
  <c r="J94" i="8"/>
  <c r="F94" i="8"/>
  <c r="E94" i="8"/>
  <c r="D94" i="8"/>
  <c r="G94" i="8" s="1"/>
  <c r="M94" i="8" s="1"/>
  <c r="J93" i="8"/>
  <c r="F93" i="8"/>
  <c r="E93" i="8"/>
  <c r="D93" i="8"/>
  <c r="J92" i="8"/>
  <c r="F92" i="8"/>
  <c r="E92" i="8"/>
  <c r="D92" i="8"/>
  <c r="G92" i="8" s="1"/>
  <c r="J91" i="8"/>
  <c r="F91" i="8"/>
  <c r="E91" i="8"/>
  <c r="D91" i="8"/>
  <c r="J90" i="8"/>
  <c r="F90" i="8"/>
  <c r="E90" i="8"/>
  <c r="D90" i="8"/>
  <c r="G90" i="8" s="1"/>
  <c r="M90" i="8" s="1"/>
  <c r="J89" i="8"/>
  <c r="F89" i="8"/>
  <c r="E89" i="8"/>
  <c r="D89" i="8"/>
  <c r="J88" i="8"/>
  <c r="F88" i="8"/>
  <c r="E88" i="8"/>
  <c r="D88" i="8"/>
  <c r="G88" i="8" s="1"/>
  <c r="J87" i="8"/>
  <c r="F87" i="8"/>
  <c r="E87" i="8"/>
  <c r="D87" i="8"/>
  <c r="G87" i="8" s="1"/>
  <c r="J86" i="8"/>
  <c r="F86" i="8"/>
  <c r="E86" i="8"/>
  <c r="D86" i="8"/>
  <c r="G86" i="8" s="1"/>
  <c r="M86" i="8" s="1"/>
  <c r="J85" i="8"/>
  <c r="F85" i="8"/>
  <c r="E85" i="8"/>
  <c r="D85" i="8"/>
  <c r="J84" i="8"/>
  <c r="F84" i="8"/>
  <c r="E84" i="8"/>
  <c r="D84" i="8"/>
  <c r="G84" i="8" s="1"/>
  <c r="J83" i="8"/>
  <c r="F83" i="8"/>
  <c r="E83" i="8"/>
  <c r="D83" i="8"/>
  <c r="G83" i="8" s="1"/>
  <c r="J82" i="8"/>
  <c r="F82" i="8"/>
  <c r="E82" i="8"/>
  <c r="D82" i="8"/>
  <c r="J81" i="8"/>
  <c r="F81" i="8"/>
  <c r="E81" i="8"/>
  <c r="D81" i="8"/>
  <c r="J80" i="8"/>
  <c r="F80" i="8"/>
  <c r="E80" i="8"/>
  <c r="D80" i="8"/>
  <c r="G80" i="8" s="1"/>
  <c r="J79" i="8"/>
  <c r="F79" i="8"/>
  <c r="E79" i="8"/>
  <c r="D79" i="8"/>
  <c r="G79" i="8" s="1"/>
  <c r="J78" i="8"/>
  <c r="F78" i="8"/>
  <c r="E78" i="8"/>
  <c r="D78" i="8"/>
  <c r="G78" i="8" s="1"/>
  <c r="M78" i="8" s="1"/>
  <c r="J77" i="8"/>
  <c r="F77" i="8"/>
  <c r="E77" i="8"/>
  <c r="D77" i="8"/>
  <c r="J76" i="8"/>
  <c r="F76" i="8"/>
  <c r="E76" i="8"/>
  <c r="D76" i="8"/>
  <c r="G76" i="8" s="1"/>
  <c r="J75" i="8"/>
  <c r="F75" i="8"/>
  <c r="E75" i="8"/>
  <c r="D75" i="8"/>
  <c r="J74" i="8"/>
  <c r="F74" i="8"/>
  <c r="E74" i="8"/>
  <c r="D74" i="8"/>
  <c r="J73" i="8"/>
  <c r="F73" i="8"/>
  <c r="E73" i="8"/>
  <c r="D73" i="8"/>
  <c r="J72" i="8"/>
  <c r="F72" i="8"/>
  <c r="E72" i="8"/>
  <c r="D72" i="8"/>
  <c r="G72" i="8" s="1"/>
  <c r="J71" i="8"/>
  <c r="F71" i="8"/>
  <c r="E71" i="8"/>
  <c r="D71" i="8"/>
  <c r="G71" i="8" s="1"/>
  <c r="J70" i="8"/>
  <c r="F70" i="8"/>
  <c r="E70" i="8"/>
  <c r="D70" i="8"/>
  <c r="G70" i="8" s="1"/>
  <c r="M70" i="8" s="1"/>
  <c r="J69" i="8"/>
  <c r="F69" i="8"/>
  <c r="E69" i="8"/>
  <c r="D69" i="8"/>
  <c r="J68" i="8"/>
  <c r="F68" i="8"/>
  <c r="E68" i="8"/>
  <c r="D68" i="8"/>
  <c r="G68" i="8" s="1"/>
  <c r="J67" i="8"/>
  <c r="F67" i="8"/>
  <c r="E67" i="8"/>
  <c r="D67" i="8"/>
  <c r="J66" i="8"/>
  <c r="F66" i="8"/>
  <c r="E66" i="8"/>
  <c r="D66" i="8"/>
  <c r="J65" i="8"/>
  <c r="F65" i="8"/>
  <c r="E65" i="8"/>
  <c r="D65" i="8"/>
  <c r="J64" i="8"/>
  <c r="F64" i="8"/>
  <c r="E64" i="8"/>
  <c r="D64" i="8"/>
  <c r="G64" i="8" s="1"/>
  <c r="J63" i="8"/>
  <c r="F63" i="8"/>
  <c r="E63" i="8"/>
  <c r="D63" i="8"/>
  <c r="G63" i="8" s="1"/>
  <c r="J62" i="8"/>
  <c r="F62" i="8"/>
  <c r="E62" i="8"/>
  <c r="D62" i="8"/>
  <c r="J61" i="8"/>
  <c r="F61" i="8"/>
  <c r="E61" i="8"/>
  <c r="D61" i="8"/>
  <c r="J60" i="8"/>
  <c r="F60" i="8"/>
  <c r="E60" i="8"/>
  <c r="D60" i="8"/>
  <c r="G60" i="8" s="1"/>
  <c r="J59" i="8"/>
  <c r="F59" i="8"/>
  <c r="E59" i="8"/>
  <c r="D59" i="8"/>
  <c r="G59" i="8" s="1"/>
  <c r="J58" i="8"/>
  <c r="F58" i="8"/>
  <c r="E58" i="8"/>
  <c r="D58" i="8"/>
  <c r="G58" i="8" s="1"/>
  <c r="M58" i="8" s="1"/>
  <c r="J57" i="8"/>
  <c r="F57" i="8"/>
  <c r="E57" i="8"/>
  <c r="D57" i="8"/>
  <c r="J56" i="8"/>
  <c r="F56" i="8"/>
  <c r="E56" i="8"/>
  <c r="D56" i="8"/>
  <c r="G56" i="8" s="1"/>
  <c r="J55" i="8"/>
  <c r="F55" i="8"/>
  <c r="E55" i="8"/>
  <c r="D55" i="8"/>
  <c r="J54" i="8"/>
  <c r="F54" i="8"/>
  <c r="E54" i="8"/>
  <c r="D54" i="8"/>
  <c r="G54" i="8" s="1"/>
  <c r="M54" i="8" s="1"/>
  <c r="J53" i="8"/>
  <c r="F53" i="8"/>
  <c r="E53" i="8"/>
  <c r="D53" i="8"/>
  <c r="J52" i="8"/>
  <c r="F52" i="8"/>
  <c r="E52" i="8"/>
  <c r="D52" i="8"/>
  <c r="G52" i="8" s="1"/>
  <c r="J51" i="8"/>
  <c r="F51" i="8"/>
  <c r="E51" i="8"/>
  <c r="D51" i="8"/>
  <c r="G51" i="8" s="1"/>
  <c r="J50" i="8"/>
  <c r="F50" i="8"/>
  <c r="E50" i="8"/>
  <c r="D50" i="8"/>
  <c r="G50" i="8" s="1"/>
  <c r="M50" i="8" s="1"/>
  <c r="J49" i="8"/>
  <c r="F49" i="8"/>
  <c r="E49" i="8"/>
  <c r="D49" i="8"/>
  <c r="J48" i="8"/>
  <c r="F48" i="8"/>
  <c r="E48" i="8"/>
  <c r="D48" i="8"/>
  <c r="G48" i="8" s="1"/>
  <c r="J47" i="8"/>
  <c r="F47" i="8"/>
  <c r="E47" i="8"/>
  <c r="D47" i="8"/>
  <c r="G47" i="8" s="1"/>
  <c r="J46" i="8"/>
  <c r="F46" i="8"/>
  <c r="E46" i="8"/>
  <c r="D46" i="8"/>
  <c r="J45" i="8"/>
  <c r="F45" i="8"/>
  <c r="E45" i="8"/>
  <c r="D45" i="8"/>
  <c r="J44" i="8"/>
  <c r="F44" i="8"/>
  <c r="E44" i="8"/>
  <c r="D44" i="8"/>
  <c r="G44" i="8" s="1"/>
  <c r="J43" i="8"/>
  <c r="F43" i="8"/>
  <c r="E43" i="8"/>
  <c r="D43" i="8"/>
  <c r="G43" i="8" s="1"/>
  <c r="J42" i="8"/>
  <c r="G42" i="8"/>
  <c r="M42" i="8" s="1"/>
  <c r="F42" i="8"/>
  <c r="E42" i="8"/>
  <c r="D42" i="8"/>
  <c r="J41" i="8"/>
  <c r="F41" i="8"/>
  <c r="E41" i="8"/>
  <c r="D41" i="8"/>
  <c r="J40" i="8"/>
  <c r="F40" i="8"/>
  <c r="E40" i="8"/>
  <c r="D40" i="8"/>
  <c r="G40" i="8" s="1"/>
  <c r="J39" i="8"/>
  <c r="F39" i="8"/>
  <c r="E39" i="8"/>
  <c r="D39" i="8"/>
  <c r="J38" i="8"/>
  <c r="F38" i="8"/>
  <c r="E38" i="8"/>
  <c r="D38" i="8"/>
  <c r="G38" i="8" s="1"/>
  <c r="M38" i="8" s="1"/>
  <c r="J37" i="8"/>
  <c r="F37" i="8"/>
  <c r="E37" i="8"/>
  <c r="D37" i="8"/>
  <c r="J36" i="8"/>
  <c r="F36" i="8"/>
  <c r="E36" i="8"/>
  <c r="D36" i="8"/>
  <c r="G36" i="8" s="1"/>
  <c r="J35" i="8"/>
  <c r="F35" i="8"/>
  <c r="E35" i="8"/>
  <c r="D35" i="8"/>
  <c r="G35" i="8" s="1"/>
  <c r="J34" i="8"/>
  <c r="F34" i="8"/>
  <c r="E34" i="8"/>
  <c r="D34" i="8"/>
  <c r="G34" i="8" s="1"/>
  <c r="M34" i="8" s="1"/>
  <c r="J33" i="8"/>
  <c r="F33" i="8"/>
  <c r="E33" i="8"/>
  <c r="D33" i="8"/>
  <c r="J32" i="8"/>
  <c r="F32" i="8"/>
  <c r="E32" i="8"/>
  <c r="D32" i="8"/>
  <c r="G32" i="8" s="1"/>
  <c r="J31" i="8"/>
  <c r="F31" i="8"/>
  <c r="E31" i="8"/>
  <c r="D31" i="8"/>
  <c r="G31" i="8" s="1"/>
  <c r="J30" i="8"/>
  <c r="F30" i="8"/>
  <c r="E30" i="8"/>
  <c r="D30" i="8"/>
  <c r="J29" i="8"/>
  <c r="F29" i="8"/>
  <c r="E29" i="8"/>
  <c r="D29" i="8"/>
  <c r="J28" i="8"/>
  <c r="F28" i="8"/>
  <c r="E28" i="8"/>
  <c r="D28" i="8"/>
  <c r="G28" i="8" s="1"/>
  <c r="J27" i="8"/>
  <c r="F27" i="8"/>
  <c r="E27" i="8"/>
  <c r="D27" i="8"/>
  <c r="G27" i="8" s="1"/>
  <c r="J26" i="8"/>
  <c r="F26" i="8"/>
  <c r="E26" i="8"/>
  <c r="D26" i="8"/>
  <c r="G26" i="8" s="1"/>
  <c r="M26" i="8" s="1"/>
  <c r="J25" i="8"/>
  <c r="F25" i="8"/>
  <c r="E25" i="8"/>
  <c r="D25" i="8"/>
  <c r="J24" i="8"/>
  <c r="F24" i="8"/>
  <c r="E24" i="8"/>
  <c r="D24" i="8"/>
  <c r="G24" i="8" s="1"/>
  <c r="J23" i="8"/>
  <c r="F23" i="8"/>
  <c r="E23" i="8"/>
  <c r="D23" i="8"/>
  <c r="J22" i="8"/>
  <c r="F22" i="8"/>
  <c r="E22" i="8"/>
  <c r="D22" i="8"/>
  <c r="J21" i="8"/>
  <c r="F21" i="8"/>
  <c r="E21" i="8"/>
  <c r="D21" i="8"/>
  <c r="G21" i="8" s="1"/>
  <c r="J20" i="8"/>
  <c r="F20" i="8"/>
  <c r="E20" i="8"/>
  <c r="D20" i="8"/>
  <c r="G20" i="8" s="1"/>
  <c r="J19" i="8"/>
  <c r="F19" i="8"/>
  <c r="E19" i="8"/>
  <c r="D19" i="8"/>
  <c r="G19" i="8" s="1"/>
  <c r="J18" i="8"/>
  <c r="F18" i="8"/>
  <c r="E18" i="8"/>
  <c r="D18" i="8"/>
  <c r="J17" i="8"/>
  <c r="F17" i="8"/>
  <c r="E17" i="8"/>
  <c r="D17" i="8"/>
  <c r="G17" i="8" s="1"/>
  <c r="J16" i="8"/>
  <c r="F16" i="8"/>
  <c r="E16" i="8"/>
  <c r="D16" i="8"/>
  <c r="G16" i="8" s="1"/>
  <c r="J15" i="8"/>
  <c r="G15" i="8"/>
  <c r="F15" i="8"/>
  <c r="E15" i="8"/>
  <c r="D15" i="8"/>
  <c r="J14" i="8"/>
  <c r="F14" i="8"/>
  <c r="E14" i="8"/>
  <c r="D14" i="8"/>
  <c r="G14" i="8" s="1"/>
  <c r="J13" i="8"/>
  <c r="F13" i="8"/>
  <c r="E13" i="8"/>
  <c r="D13" i="8"/>
  <c r="G13" i="8" s="1"/>
  <c r="J12" i="8"/>
  <c r="F12" i="8"/>
  <c r="E12" i="8"/>
  <c r="D12" i="8"/>
  <c r="G12" i="8" s="1"/>
  <c r="J11" i="8"/>
  <c r="F11" i="8"/>
  <c r="E11" i="8"/>
  <c r="D11" i="8"/>
  <c r="G11" i="8" s="1"/>
  <c r="J10" i="8"/>
  <c r="F10" i="8"/>
  <c r="E10" i="8"/>
  <c r="D10" i="8"/>
  <c r="J9" i="8"/>
  <c r="F9" i="8"/>
  <c r="E9" i="8"/>
  <c r="D9" i="8"/>
  <c r="G9" i="8" s="1"/>
  <c r="J8" i="8"/>
  <c r="F8" i="8"/>
  <c r="E8" i="8"/>
  <c r="D8" i="8"/>
  <c r="G8" i="8" s="1"/>
  <c r="J7" i="8"/>
  <c r="F7" i="8"/>
  <c r="E7" i="8"/>
  <c r="D7" i="8"/>
  <c r="G7" i="8" s="1"/>
  <c r="J6" i="8"/>
  <c r="F6" i="8"/>
  <c r="E6" i="8"/>
  <c r="D6" i="8"/>
  <c r="J5" i="8"/>
  <c r="F5" i="8"/>
  <c r="E5" i="8"/>
  <c r="D5" i="8"/>
  <c r="G5" i="8" s="1"/>
  <c r="J4" i="8"/>
  <c r="F4" i="8"/>
  <c r="E4" i="8"/>
  <c r="D4" i="8"/>
  <c r="G4" i="8" s="1"/>
  <c r="J3" i="8"/>
  <c r="F3" i="8"/>
  <c r="E3" i="8"/>
  <c r="D3" i="8"/>
  <c r="G3" i="8" s="1"/>
  <c r="F2" i="8"/>
  <c r="E2" i="8"/>
  <c r="D2" i="8"/>
  <c r="H1067" i="8" l="1"/>
  <c r="M1067" i="8"/>
  <c r="H987" i="8"/>
  <c r="M987" i="8"/>
  <c r="H1035" i="8"/>
  <c r="M1035" i="8"/>
  <c r="I6" i="8"/>
  <c r="K6" i="8" s="1"/>
  <c r="I10" i="8"/>
  <c r="K10" i="8" s="1"/>
  <c r="I3" i="8"/>
  <c r="K3" i="8" s="1"/>
  <c r="I15" i="8"/>
  <c r="K15" i="8" s="1"/>
  <c r="I61" i="8"/>
  <c r="K61" i="8" s="1"/>
  <c r="I62" i="8"/>
  <c r="K62" i="8" s="1"/>
  <c r="I67" i="8"/>
  <c r="K67" i="8" s="1"/>
  <c r="I73" i="8"/>
  <c r="K73" i="8" s="1"/>
  <c r="I74" i="8"/>
  <c r="K74" i="8" s="1"/>
  <c r="I18" i="8"/>
  <c r="K18" i="8" s="1"/>
  <c r="I7" i="8"/>
  <c r="K7" i="8" s="1"/>
  <c r="I19" i="8"/>
  <c r="K19" i="8" s="1"/>
  <c r="I29" i="8"/>
  <c r="K29" i="8" s="1"/>
  <c r="I30" i="8"/>
  <c r="K30" i="8" s="1"/>
  <c r="I8" i="8"/>
  <c r="K8" i="8" s="1"/>
  <c r="I16" i="8"/>
  <c r="K16" i="8" s="1"/>
  <c r="I20" i="8"/>
  <c r="K20" i="8" s="1"/>
  <c r="I25" i="8"/>
  <c r="K25" i="8" s="1"/>
  <c r="I26" i="8"/>
  <c r="K26" i="8" s="1"/>
  <c r="I35" i="8"/>
  <c r="K35" i="8" s="1"/>
  <c r="I41" i="8"/>
  <c r="K41" i="8" s="1"/>
  <c r="I42" i="8"/>
  <c r="K42" i="8" s="1"/>
  <c r="I51" i="8"/>
  <c r="K51" i="8" s="1"/>
  <c r="I57" i="8"/>
  <c r="K57" i="8" s="1"/>
  <c r="I58" i="8"/>
  <c r="K58" i="8" s="1"/>
  <c r="I75" i="8"/>
  <c r="K75" i="8" s="1"/>
  <c r="G75" i="8"/>
  <c r="I77" i="8"/>
  <c r="K77" i="8" s="1"/>
  <c r="I78" i="8"/>
  <c r="K78" i="8" s="1"/>
  <c r="I91" i="8"/>
  <c r="K91" i="8" s="1"/>
  <c r="G91" i="8"/>
  <c r="I93" i="8"/>
  <c r="K93" i="8" s="1"/>
  <c r="I94" i="8"/>
  <c r="K94" i="8" s="1"/>
  <c r="I107" i="8"/>
  <c r="K107" i="8" s="1"/>
  <c r="G107" i="8"/>
  <c r="I109" i="8"/>
  <c r="K109" i="8" s="1"/>
  <c r="I110" i="8"/>
  <c r="K110" i="8" s="1"/>
  <c r="I123" i="8"/>
  <c r="K123" i="8" s="1"/>
  <c r="G123" i="8"/>
  <c r="I125" i="8"/>
  <c r="K125" i="8" s="1"/>
  <c r="I126" i="8"/>
  <c r="K126" i="8" s="1"/>
  <c r="G126" i="8"/>
  <c r="M126" i="8" s="1"/>
  <c r="I22" i="8"/>
  <c r="K22" i="8" s="1"/>
  <c r="I11" i="8"/>
  <c r="K11" i="8" s="1"/>
  <c r="I23" i="8"/>
  <c r="K23" i="8" s="1"/>
  <c r="I24" i="8"/>
  <c r="K24" i="8" s="1"/>
  <c r="I39" i="8"/>
  <c r="K39" i="8" s="1"/>
  <c r="I45" i="8"/>
  <c r="K45" i="8" s="1"/>
  <c r="I46" i="8"/>
  <c r="K46" i="8" s="1"/>
  <c r="I55" i="8"/>
  <c r="K55" i="8" s="1"/>
  <c r="I647" i="8"/>
  <c r="K647" i="8" s="1"/>
  <c r="I4" i="8"/>
  <c r="K4" i="8" s="1"/>
  <c r="I12" i="8"/>
  <c r="K12" i="8" s="1"/>
  <c r="I5" i="8"/>
  <c r="K5" i="8" s="1"/>
  <c r="G6" i="8"/>
  <c r="I9" i="8"/>
  <c r="K9" i="8" s="1"/>
  <c r="G10" i="8"/>
  <c r="I13" i="8"/>
  <c r="K13" i="8" s="1"/>
  <c r="I17" i="8"/>
  <c r="K17" i="8" s="1"/>
  <c r="G18" i="8"/>
  <c r="I21" i="8"/>
  <c r="K21" i="8" s="1"/>
  <c r="G22" i="8"/>
  <c r="I31" i="8"/>
  <c r="K31" i="8" s="1"/>
  <c r="I37" i="8"/>
  <c r="K37" i="8" s="1"/>
  <c r="I38" i="8"/>
  <c r="K38" i="8" s="1"/>
  <c r="I47" i="8"/>
  <c r="K47" i="8" s="1"/>
  <c r="I53" i="8"/>
  <c r="K53" i="8" s="1"/>
  <c r="I54" i="8"/>
  <c r="K54" i="8" s="1"/>
  <c r="I63" i="8"/>
  <c r="K63" i="8" s="1"/>
  <c r="I135" i="8"/>
  <c r="K135" i="8" s="1"/>
  <c r="G135" i="8"/>
  <c r="I14" i="8"/>
  <c r="K14" i="8" s="1"/>
  <c r="I27" i="8"/>
  <c r="K27" i="8" s="1"/>
  <c r="G30" i="8"/>
  <c r="M30" i="8" s="1"/>
  <c r="I33" i="8"/>
  <c r="K33" i="8" s="1"/>
  <c r="I34" i="8"/>
  <c r="K34" i="8" s="1"/>
  <c r="G39" i="8"/>
  <c r="I43" i="8"/>
  <c r="K43" i="8" s="1"/>
  <c r="G46" i="8"/>
  <c r="M46" i="8" s="1"/>
  <c r="I49" i="8"/>
  <c r="K49" i="8" s="1"/>
  <c r="I50" i="8"/>
  <c r="K50" i="8" s="1"/>
  <c r="G55" i="8"/>
  <c r="N55" i="8" s="1"/>
  <c r="I59" i="8"/>
  <c r="K59" i="8" s="1"/>
  <c r="G62" i="8"/>
  <c r="M62" i="8" s="1"/>
  <c r="I65" i="8"/>
  <c r="K65" i="8" s="1"/>
  <c r="I66" i="8"/>
  <c r="K66" i="8" s="1"/>
  <c r="G66" i="8"/>
  <c r="M66" i="8" s="1"/>
  <c r="G67" i="8"/>
  <c r="I71" i="8"/>
  <c r="K71" i="8" s="1"/>
  <c r="G74" i="8"/>
  <c r="M74" i="8" s="1"/>
  <c r="I81" i="8"/>
  <c r="K81" i="8" s="1"/>
  <c r="I82" i="8"/>
  <c r="K82" i="8" s="1"/>
  <c r="G82" i="8"/>
  <c r="M82" i="8" s="1"/>
  <c r="I87" i="8"/>
  <c r="K87" i="8" s="1"/>
  <c r="I97" i="8"/>
  <c r="K97" i="8" s="1"/>
  <c r="I98" i="8"/>
  <c r="K98" i="8" s="1"/>
  <c r="G98" i="8"/>
  <c r="M98" i="8" s="1"/>
  <c r="I103" i="8"/>
  <c r="K103" i="8" s="1"/>
  <c r="I113" i="8"/>
  <c r="K113" i="8" s="1"/>
  <c r="I114" i="8"/>
  <c r="K114" i="8" s="1"/>
  <c r="G114" i="8"/>
  <c r="M114" i="8" s="1"/>
  <c r="I119" i="8"/>
  <c r="K119" i="8" s="1"/>
  <c r="I141" i="8"/>
  <c r="K141" i="8" s="1"/>
  <c r="I142" i="8"/>
  <c r="K142" i="8" s="1"/>
  <c r="G142" i="8"/>
  <c r="M142" i="8" s="1"/>
  <c r="I151" i="8"/>
  <c r="K151" i="8" s="1"/>
  <c r="I157" i="8"/>
  <c r="K157" i="8" s="1"/>
  <c r="I158" i="8"/>
  <c r="K158" i="8" s="1"/>
  <c r="I167" i="8"/>
  <c r="K167" i="8" s="1"/>
  <c r="I173" i="8"/>
  <c r="K173" i="8" s="1"/>
  <c r="I174" i="8"/>
  <c r="K174" i="8" s="1"/>
  <c r="I183" i="8"/>
  <c r="K183" i="8" s="1"/>
  <c r="I189" i="8"/>
  <c r="K189" i="8" s="1"/>
  <c r="I190" i="8"/>
  <c r="K190" i="8" s="1"/>
  <c r="I199" i="8"/>
  <c r="K199" i="8" s="1"/>
  <c r="I205" i="8"/>
  <c r="K205" i="8" s="1"/>
  <c r="I206" i="8"/>
  <c r="K206" i="8" s="1"/>
  <c r="I215" i="8"/>
  <c r="K215" i="8" s="1"/>
  <c r="I221" i="8"/>
  <c r="K221" i="8" s="1"/>
  <c r="I222" i="8"/>
  <c r="K222" i="8" s="1"/>
  <c r="I231" i="8"/>
  <c r="K231" i="8" s="1"/>
  <c r="I237" i="8"/>
  <c r="K237" i="8" s="1"/>
  <c r="I238" i="8"/>
  <c r="K238" i="8" s="1"/>
  <c r="I247" i="8"/>
  <c r="K247" i="8" s="1"/>
  <c r="I253" i="8"/>
  <c r="K253" i="8" s="1"/>
  <c r="I254" i="8"/>
  <c r="K254" i="8" s="1"/>
  <c r="I263" i="8"/>
  <c r="K263" i="8" s="1"/>
  <c r="I269" i="8"/>
  <c r="K269" i="8" s="1"/>
  <c r="I270" i="8"/>
  <c r="K270" i="8" s="1"/>
  <c r="I275" i="8"/>
  <c r="K275" i="8" s="1"/>
  <c r="G275" i="8"/>
  <c r="I277" i="8"/>
  <c r="K277" i="8" s="1"/>
  <c r="I278" i="8"/>
  <c r="K278" i="8" s="1"/>
  <c r="I283" i="8"/>
  <c r="K283" i="8" s="1"/>
  <c r="I289" i="8"/>
  <c r="K289" i="8" s="1"/>
  <c r="I290" i="8"/>
  <c r="K290" i="8" s="1"/>
  <c r="I297" i="8"/>
  <c r="K297" i="8" s="1"/>
  <c r="I298" i="8"/>
  <c r="K298" i="8" s="1"/>
  <c r="G298" i="8"/>
  <c r="M298" i="8" s="1"/>
  <c r="I303" i="8"/>
  <c r="K303" i="8" s="1"/>
  <c r="I339" i="8"/>
  <c r="K339" i="8" s="1"/>
  <c r="G339" i="8"/>
  <c r="I341" i="8"/>
  <c r="K341" i="8" s="1"/>
  <c r="I342" i="8"/>
  <c r="K342" i="8" s="1"/>
  <c r="I347" i="8"/>
  <c r="K347" i="8" s="1"/>
  <c r="I353" i="8"/>
  <c r="K353" i="8" s="1"/>
  <c r="I354" i="8"/>
  <c r="K354" i="8" s="1"/>
  <c r="I361" i="8"/>
  <c r="K361" i="8" s="1"/>
  <c r="I362" i="8"/>
  <c r="K362" i="8" s="1"/>
  <c r="G362" i="8"/>
  <c r="M362" i="8" s="1"/>
  <c r="I367" i="8"/>
  <c r="K367" i="8" s="1"/>
  <c r="I399" i="8"/>
  <c r="K399" i="8" s="1"/>
  <c r="G399" i="8"/>
  <c r="I401" i="8"/>
  <c r="K401" i="8" s="1"/>
  <c r="I402" i="8"/>
  <c r="K402" i="8" s="1"/>
  <c r="I411" i="8"/>
  <c r="K411" i="8" s="1"/>
  <c r="I427" i="8"/>
  <c r="K427" i="8" s="1"/>
  <c r="G427" i="8"/>
  <c r="I449" i="8"/>
  <c r="K449" i="8" s="1"/>
  <c r="I450" i="8"/>
  <c r="K450" i="8" s="1"/>
  <c r="G450" i="8"/>
  <c r="I486" i="8"/>
  <c r="K486" i="8" s="1"/>
  <c r="I494" i="8"/>
  <c r="K494" i="8" s="1"/>
  <c r="G494" i="8"/>
  <c r="I83" i="8"/>
  <c r="K83" i="8" s="1"/>
  <c r="I89" i="8"/>
  <c r="K89" i="8" s="1"/>
  <c r="I90" i="8"/>
  <c r="K90" i="8" s="1"/>
  <c r="I99" i="8"/>
  <c r="K99" i="8" s="1"/>
  <c r="I105" i="8"/>
  <c r="K105" i="8" s="1"/>
  <c r="I106" i="8"/>
  <c r="K106" i="8" s="1"/>
  <c r="I115" i="8"/>
  <c r="K115" i="8" s="1"/>
  <c r="I121" i="8"/>
  <c r="K121" i="8" s="1"/>
  <c r="I122" i="8"/>
  <c r="K122" i="8" s="1"/>
  <c r="I131" i="8"/>
  <c r="K131" i="8" s="1"/>
  <c r="I137" i="8"/>
  <c r="K137" i="8" s="1"/>
  <c r="I138" i="8"/>
  <c r="K138" i="8" s="1"/>
  <c r="I147" i="8"/>
  <c r="K147" i="8" s="1"/>
  <c r="I153" i="8"/>
  <c r="K153" i="8" s="1"/>
  <c r="I154" i="8"/>
  <c r="K154" i="8" s="1"/>
  <c r="I163" i="8"/>
  <c r="K163" i="8" s="1"/>
  <c r="I169" i="8"/>
  <c r="K169" i="8" s="1"/>
  <c r="I170" i="8"/>
  <c r="K170" i="8" s="1"/>
  <c r="I179" i="8"/>
  <c r="K179" i="8" s="1"/>
  <c r="I185" i="8"/>
  <c r="K185" i="8" s="1"/>
  <c r="I186" i="8"/>
  <c r="K186" i="8" s="1"/>
  <c r="I195" i="8"/>
  <c r="K195" i="8" s="1"/>
  <c r="I201" i="8"/>
  <c r="K201" i="8" s="1"/>
  <c r="I202" i="8"/>
  <c r="K202" i="8" s="1"/>
  <c r="I211" i="8"/>
  <c r="K211" i="8" s="1"/>
  <c r="I217" i="8"/>
  <c r="K217" i="8" s="1"/>
  <c r="I218" i="8"/>
  <c r="K218" i="8" s="1"/>
  <c r="I227" i="8"/>
  <c r="K227" i="8" s="1"/>
  <c r="I233" i="8"/>
  <c r="K233" i="8" s="1"/>
  <c r="I234" i="8"/>
  <c r="K234" i="8" s="1"/>
  <c r="I243" i="8"/>
  <c r="K243" i="8" s="1"/>
  <c r="I249" i="8"/>
  <c r="K249" i="8" s="1"/>
  <c r="I250" i="8"/>
  <c r="K250" i="8" s="1"/>
  <c r="I259" i="8"/>
  <c r="K259" i="8" s="1"/>
  <c r="I265" i="8"/>
  <c r="K265" i="8" s="1"/>
  <c r="I266" i="8"/>
  <c r="K266" i="8" s="1"/>
  <c r="I291" i="8"/>
  <c r="K291" i="8" s="1"/>
  <c r="G291" i="8"/>
  <c r="H291" i="8" s="1"/>
  <c r="L291" i="8" s="1"/>
  <c r="I293" i="8"/>
  <c r="K293" i="8" s="1"/>
  <c r="I294" i="8"/>
  <c r="K294" i="8" s="1"/>
  <c r="I299" i="8"/>
  <c r="K299" i="8" s="1"/>
  <c r="I305" i="8"/>
  <c r="K305" i="8" s="1"/>
  <c r="I306" i="8"/>
  <c r="K306" i="8" s="1"/>
  <c r="I313" i="8"/>
  <c r="K313" i="8" s="1"/>
  <c r="I314" i="8"/>
  <c r="K314" i="8" s="1"/>
  <c r="G314" i="8"/>
  <c r="M314" i="8" s="1"/>
  <c r="I319" i="8"/>
  <c r="K319" i="8" s="1"/>
  <c r="I355" i="8"/>
  <c r="K355" i="8" s="1"/>
  <c r="G355" i="8"/>
  <c r="I357" i="8"/>
  <c r="K357" i="8" s="1"/>
  <c r="I358" i="8"/>
  <c r="K358" i="8" s="1"/>
  <c r="I363" i="8"/>
  <c r="K363" i="8" s="1"/>
  <c r="I369" i="8"/>
  <c r="K369" i="8" s="1"/>
  <c r="I370" i="8"/>
  <c r="K370" i="8" s="1"/>
  <c r="I377" i="8"/>
  <c r="K377" i="8" s="1"/>
  <c r="I378" i="8"/>
  <c r="K378" i="8" s="1"/>
  <c r="G378" i="8"/>
  <c r="M378" i="8" s="1"/>
  <c r="I383" i="8"/>
  <c r="K383" i="8" s="1"/>
  <c r="I405" i="8"/>
  <c r="K405" i="8" s="1"/>
  <c r="I406" i="8"/>
  <c r="K406" i="8" s="1"/>
  <c r="G406" i="8"/>
  <c r="M406" i="8" s="1"/>
  <c r="I433" i="8"/>
  <c r="K433" i="8" s="1"/>
  <c r="I434" i="8"/>
  <c r="K434" i="8" s="1"/>
  <c r="G434" i="8"/>
  <c r="M434" i="8" s="1"/>
  <c r="I457" i="8"/>
  <c r="K457" i="8" s="1"/>
  <c r="G457" i="8"/>
  <c r="I461" i="8"/>
  <c r="K461" i="8" s="1"/>
  <c r="G461" i="8"/>
  <c r="M461" i="8" s="1"/>
  <c r="I513" i="8"/>
  <c r="K513" i="8" s="1"/>
  <c r="I514" i="8"/>
  <c r="K514" i="8" s="1"/>
  <c r="G514" i="8"/>
  <c r="I550" i="8"/>
  <c r="K550" i="8" s="1"/>
  <c r="I577" i="8"/>
  <c r="K577" i="8" s="1"/>
  <c r="I578" i="8"/>
  <c r="K578" i="8" s="1"/>
  <c r="G578" i="8"/>
  <c r="I69" i="8"/>
  <c r="K69" i="8" s="1"/>
  <c r="I70" i="8"/>
  <c r="K70" i="8" s="1"/>
  <c r="I79" i="8"/>
  <c r="K79" i="8" s="1"/>
  <c r="I85" i="8"/>
  <c r="K85" i="8" s="1"/>
  <c r="I86" i="8"/>
  <c r="K86" i="8" s="1"/>
  <c r="I95" i="8"/>
  <c r="K95" i="8" s="1"/>
  <c r="I101" i="8"/>
  <c r="K101" i="8" s="1"/>
  <c r="I102" i="8"/>
  <c r="K102" i="8" s="1"/>
  <c r="I111" i="8"/>
  <c r="K111" i="8" s="1"/>
  <c r="I117" i="8"/>
  <c r="K117" i="8" s="1"/>
  <c r="I118" i="8"/>
  <c r="K118" i="8" s="1"/>
  <c r="I127" i="8"/>
  <c r="K127" i="8" s="1"/>
  <c r="I133" i="8"/>
  <c r="K133" i="8" s="1"/>
  <c r="I134" i="8"/>
  <c r="K134" i="8" s="1"/>
  <c r="I143" i="8"/>
  <c r="K143" i="8" s="1"/>
  <c r="I149" i="8"/>
  <c r="K149" i="8" s="1"/>
  <c r="I150" i="8"/>
  <c r="K150" i="8" s="1"/>
  <c r="I159" i="8"/>
  <c r="K159" i="8" s="1"/>
  <c r="I165" i="8"/>
  <c r="K165" i="8" s="1"/>
  <c r="I166" i="8"/>
  <c r="K166" i="8" s="1"/>
  <c r="I175" i="8"/>
  <c r="K175" i="8" s="1"/>
  <c r="I181" i="8"/>
  <c r="K181" i="8" s="1"/>
  <c r="I182" i="8"/>
  <c r="K182" i="8" s="1"/>
  <c r="I191" i="8"/>
  <c r="K191" i="8" s="1"/>
  <c r="I197" i="8"/>
  <c r="K197" i="8" s="1"/>
  <c r="I198" i="8"/>
  <c r="K198" i="8" s="1"/>
  <c r="I207" i="8"/>
  <c r="K207" i="8" s="1"/>
  <c r="I213" i="8"/>
  <c r="K213" i="8" s="1"/>
  <c r="I214" i="8"/>
  <c r="K214" i="8" s="1"/>
  <c r="I223" i="8"/>
  <c r="K223" i="8" s="1"/>
  <c r="I229" i="8"/>
  <c r="K229" i="8" s="1"/>
  <c r="I230" i="8"/>
  <c r="K230" i="8" s="1"/>
  <c r="I239" i="8"/>
  <c r="K239" i="8" s="1"/>
  <c r="I245" i="8"/>
  <c r="K245" i="8" s="1"/>
  <c r="I246" i="8"/>
  <c r="K246" i="8" s="1"/>
  <c r="I255" i="8"/>
  <c r="K255" i="8" s="1"/>
  <c r="I261" i="8"/>
  <c r="K261" i="8" s="1"/>
  <c r="I262" i="8"/>
  <c r="K262" i="8" s="1"/>
  <c r="I271" i="8"/>
  <c r="K271" i="8" s="1"/>
  <c r="I307" i="8"/>
  <c r="K307" i="8" s="1"/>
  <c r="G307" i="8"/>
  <c r="I309" i="8"/>
  <c r="K309" i="8" s="1"/>
  <c r="I310" i="8"/>
  <c r="K310" i="8" s="1"/>
  <c r="I315" i="8"/>
  <c r="K315" i="8" s="1"/>
  <c r="I321" i="8"/>
  <c r="K321" i="8" s="1"/>
  <c r="I322" i="8"/>
  <c r="K322" i="8" s="1"/>
  <c r="I329" i="8"/>
  <c r="K329" i="8" s="1"/>
  <c r="I330" i="8"/>
  <c r="K330" i="8" s="1"/>
  <c r="G330" i="8"/>
  <c r="M330" i="8" s="1"/>
  <c r="I335" i="8"/>
  <c r="K335" i="8" s="1"/>
  <c r="I371" i="8"/>
  <c r="K371" i="8" s="1"/>
  <c r="G371" i="8"/>
  <c r="I373" i="8"/>
  <c r="K373" i="8" s="1"/>
  <c r="I374" i="8"/>
  <c r="K374" i="8" s="1"/>
  <c r="I379" i="8"/>
  <c r="K379" i="8" s="1"/>
  <c r="I385" i="8"/>
  <c r="K385" i="8" s="1"/>
  <c r="I386" i="8"/>
  <c r="K386" i="8" s="1"/>
  <c r="I395" i="8"/>
  <c r="K395" i="8" s="1"/>
  <c r="I415" i="8"/>
  <c r="K415" i="8" s="1"/>
  <c r="G415" i="8"/>
  <c r="I417" i="8"/>
  <c r="K417" i="8" s="1"/>
  <c r="I418" i="8"/>
  <c r="K418" i="8" s="1"/>
  <c r="G418" i="8"/>
  <c r="M418" i="8" s="1"/>
  <c r="I521" i="8"/>
  <c r="K521" i="8" s="1"/>
  <c r="G521" i="8"/>
  <c r="I525" i="8"/>
  <c r="K525" i="8" s="1"/>
  <c r="G525" i="8"/>
  <c r="M525" i="8" s="1"/>
  <c r="I129" i="8"/>
  <c r="K129" i="8" s="1"/>
  <c r="I130" i="8"/>
  <c r="K130" i="8" s="1"/>
  <c r="I139" i="8"/>
  <c r="K139" i="8" s="1"/>
  <c r="I145" i="8"/>
  <c r="K145" i="8" s="1"/>
  <c r="I146" i="8"/>
  <c r="K146" i="8" s="1"/>
  <c r="G151" i="8"/>
  <c r="I155" i="8"/>
  <c r="K155" i="8" s="1"/>
  <c r="G158" i="8"/>
  <c r="M158" i="8" s="1"/>
  <c r="I161" i="8"/>
  <c r="K161" i="8" s="1"/>
  <c r="I162" i="8"/>
  <c r="K162" i="8" s="1"/>
  <c r="G167" i="8"/>
  <c r="I171" i="8"/>
  <c r="K171" i="8" s="1"/>
  <c r="G174" i="8"/>
  <c r="M174" i="8" s="1"/>
  <c r="I177" i="8"/>
  <c r="K177" i="8" s="1"/>
  <c r="I178" i="8"/>
  <c r="K178" i="8" s="1"/>
  <c r="G183" i="8"/>
  <c r="I187" i="8"/>
  <c r="K187" i="8" s="1"/>
  <c r="G190" i="8"/>
  <c r="M190" i="8" s="1"/>
  <c r="I193" i="8"/>
  <c r="K193" i="8" s="1"/>
  <c r="I194" i="8"/>
  <c r="K194" i="8" s="1"/>
  <c r="G199" i="8"/>
  <c r="I203" i="8"/>
  <c r="K203" i="8" s="1"/>
  <c r="G206" i="8"/>
  <c r="M206" i="8" s="1"/>
  <c r="I209" i="8"/>
  <c r="K209" i="8" s="1"/>
  <c r="I210" i="8"/>
  <c r="K210" i="8" s="1"/>
  <c r="G215" i="8"/>
  <c r="I219" i="8"/>
  <c r="K219" i="8" s="1"/>
  <c r="G222" i="8"/>
  <c r="M222" i="8" s="1"/>
  <c r="I225" i="8"/>
  <c r="K225" i="8" s="1"/>
  <c r="I226" i="8"/>
  <c r="K226" i="8" s="1"/>
  <c r="G231" i="8"/>
  <c r="I235" i="8"/>
  <c r="K235" i="8" s="1"/>
  <c r="G238" i="8"/>
  <c r="M238" i="8" s="1"/>
  <c r="I241" i="8"/>
  <c r="K241" i="8" s="1"/>
  <c r="I242" i="8"/>
  <c r="K242" i="8" s="1"/>
  <c r="G247" i="8"/>
  <c r="I251" i="8"/>
  <c r="K251" i="8" s="1"/>
  <c r="G254" i="8"/>
  <c r="M254" i="8" s="1"/>
  <c r="I257" i="8"/>
  <c r="K257" i="8" s="1"/>
  <c r="I258" i="8"/>
  <c r="K258" i="8" s="1"/>
  <c r="G263" i="8"/>
  <c r="I267" i="8"/>
  <c r="K267" i="8" s="1"/>
  <c r="G270" i="8"/>
  <c r="M270" i="8" s="1"/>
  <c r="I273" i="8"/>
  <c r="K273" i="8" s="1"/>
  <c r="I274" i="8"/>
  <c r="K274" i="8" s="1"/>
  <c r="G278" i="8"/>
  <c r="M278" i="8" s="1"/>
  <c r="I281" i="8"/>
  <c r="K281" i="8" s="1"/>
  <c r="I282" i="8"/>
  <c r="K282" i="8" s="1"/>
  <c r="G282" i="8"/>
  <c r="M282" i="8" s="1"/>
  <c r="G283" i="8"/>
  <c r="I287" i="8"/>
  <c r="K287" i="8" s="1"/>
  <c r="G290" i="8"/>
  <c r="M290" i="8" s="1"/>
  <c r="G303" i="8"/>
  <c r="I323" i="8"/>
  <c r="K323" i="8" s="1"/>
  <c r="G323" i="8"/>
  <c r="N323" i="8" s="1"/>
  <c r="I325" i="8"/>
  <c r="K325" i="8" s="1"/>
  <c r="I326" i="8"/>
  <c r="K326" i="8" s="1"/>
  <c r="I331" i="8"/>
  <c r="K331" i="8" s="1"/>
  <c r="I337" i="8"/>
  <c r="K337" i="8" s="1"/>
  <c r="I338" i="8"/>
  <c r="K338" i="8" s="1"/>
  <c r="G342" i="8"/>
  <c r="M342" i="8" s="1"/>
  <c r="I345" i="8"/>
  <c r="K345" i="8" s="1"/>
  <c r="I346" i="8"/>
  <c r="K346" i="8" s="1"/>
  <c r="G346" i="8"/>
  <c r="M346" i="8" s="1"/>
  <c r="G347" i="8"/>
  <c r="I351" i="8"/>
  <c r="K351" i="8" s="1"/>
  <c r="G354" i="8"/>
  <c r="M354" i="8" s="1"/>
  <c r="G367" i="8"/>
  <c r="I389" i="8"/>
  <c r="K389" i="8" s="1"/>
  <c r="I390" i="8"/>
  <c r="K390" i="8" s="1"/>
  <c r="G390" i="8"/>
  <c r="M390" i="8" s="1"/>
  <c r="G402" i="8"/>
  <c r="M402" i="8" s="1"/>
  <c r="G411" i="8"/>
  <c r="I443" i="8"/>
  <c r="K443" i="8" s="1"/>
  <c r="G443" i="8"/>
  <c r="I558" i="8"/>
  <c r="K558" i="8" s="1"/>
  <c r="G558" i="8"/>
  <c r="I421" i="8"/>
  <c r="K421" i="8" s="1"/>
  <c r="I422" i="8"/>
  <c r="K422" i="8" s="1"/>
  <c r="I431" i="8"/>
  <c r="K431" i="8" s="1"/>
  <c r="I437" i="8"/>
  <c r="K437" i="8" s="1"/>
  <c r="I438" i="8"/>
  <c r="K438" i="8" s="1"/>
  <c r="I447" i="8"/>
  <c r="K447" i="8" s="1"/>
  <c r="I470" i="8"/>
  <c r="K470" i="8" s="1"/>
  <c r="I478" i="8"/>
  <c r="K478" i="8" s="1"/>
  <c r="I497" i="8"/>
  <c r="K497" i="8" s="1"/>
  <c r="I498" i="8"/>
  <c r="K498" i="8" s="1"/>
  <c r="I505" i="8"/>
  <c r="K505" i="8" s="1"/>
  <c r="I509" i="8"/>
  <c r="K509" i="8" s="1"/>
  <c r="I534" i="8"/>
  <c r="K534" i="8" s="1"/>
  <c r="I542" i="8"/>
  <c r="K542" i="8" s="1"/>
  <c r="I561" i="8"/>
  <c r="K561" i="8" s="1"/>
  <c r="I562" i="8"/>
  <c r="K562" i="8" s="1"/>
  <c r="I569" i="8"/>
  <c r="K569" i="8" s="1"/>
  <c r="I573" i="8"/>
  <c r="K573" i="8" s="1"/>
  <c r="I279" i="8"/>
  <c r="K279" i="8" s="1"/>
  <c r="I285" i="8"/>
  <c r="K285" i="8" s="1"/>
  <c r="I286" i="8"/>
  <c r="K286" i="8" s="1"/>
  <c r="I295" i="8"/>
  <c r="K295" i="8" s="1"/>
  <c r="I301" i="8"/>
  <c r="K301" i="8" s="1"/>
  <c r="I302" i="8"/>
  <c r="K302" i="8" s="1"/>
  <c r="I311" i="8"/>
  <c r="K311" i="8" s="1"/>
  <c r="I317" i="8"/>
  <c r="K317" i="8" s="1"/>
  <c r="I318" i="8"/>
  <c r="K318" i="8" s="1"/>
  <c r="I327" i="8"/>
  <c r="K327" i="8" s="1"/>
  <c r="I333" i="8"/>
  <c r="K333" i="8" s="1"/>
  <c r="I334" i="8"/>
  <c r="K334" i="8" s="1"/>
  <c r="I343" i="8"/>
  <c r="K343" i="8" s="1"/>
  <c r="I349" i="8"/>
  <c r="K349" i="8" s="1"/>
  <c r="I350" i="8"/>
  <c r="K350" i="8" s="1"/>
  <c r="I359" i="8"/>
  <c r="K359" i="8" s="1"/>
  <c r="I365" i="8"/>
  <c r="K365" i="8" s="1"/>
  <c r="I366" i="8"/>
  <c r="K366" i="8" s="1"/>
  <c r="I375" i="8"/>
  <c r="K375" i="8" s="1"/>
  <c r="I381" i="8"/>
  <c r="K381" i="8" s="1"/>
  <c r="I382" i="8"/>
  <c r="K382" i="8" s="1"/>
  <c r="I391" i="8"/>
  <c r="K391" i="8" s="1"/>
  <c r="I397" i="8"/>
  <c r="K397" i="8" s="1"/>
  <c r="I398" i="8"/>
  <c r="K398" i="8" s="1"/>
  <c r="I407" i="8"/>
  <c r="K407" i="8" s="1"/>
  <c r="I413" i="8"/>
  <c r="K413" i="8" s="1"/>
  <c r="I414" i="8"/>
  <c r="K414" i="8" s="1"/>
  <c r="I423" i="8"/>
  <c r="K423" i="8" s="1"/>
  <c r="I429" i="8"/>
  <c r="K429" i="8" s="1"/>
  <c r="I430" i="8"/>
  <c r="K430" i="8" s="1"/>
  <c r="I439" i="8"/>
  <c r="K439" i="8" s="1"/>
  <c r="I445" i="8"/>
  <c r="K445" i="8" s="1"/>
  <c r="I446" i="8"/>
  <c r="K446" i="8" s="1"/>
  <c r="I465" i="8"/>
  <c r="K465" i="8" s="1"/>
  <c r="I466" i="8"/>
  <c r="K466" i="8" s="1"/>
  <c r="I473" i="8"/>
  <c r="K473" i="8" s="1"/>
  <c r="I477" i="8"/>
  <c r="K477" i="8" s="1"/>
  <c r="I502" i="8"/>
  <c r="K502" i="8" s="1"/>
  <c r="I510" i="8"/>
  <c r="K510" i="8" s="1"/>
  <c r="I529" i="8"/>
  <c r="K529" i="8" s="1"/>
  <c r="I530" i="8"/>
  <c r="K530" i="8" s="1"/>
  <c r="I537" i="8"/>
  <c r="K537" i="8" s="1"/>
  <c r="I541" i="8"/>
  <c r="K541" i="8" s="1"/>
  <c r="I566" i="8"/>
  <c r="K566" i="8" s="1"/>
  <c r="I574" i="8"/>
  <c r="K574" i="8" s="1"/>
  <c r="I387" i="8"/>
  <c r="K387" i="8" s="1"/>
  <c r="I393" i="8"/>
  <c r="K393" i="8" s="1"/>
  <c r="I394" i="8"/>
  <c r="K394" i="8" s="1"/>
  <c r="I403" i="8"/>
  <c r="K403" i="8" s="1"/>
  <c r="I409" i="8"/>
  <c r="K409" i="8" s="1"/>
  <c r="I410" i="8"/>
  <c r="K410" i="8" s="1"/>
  <c r="I419" i="8"/>
  <c r="K419" i="8" s="1"/>
  <c r="G422" i="8"/>
  <c r="M422" i="8" s="1"/>
  <c r="I425" i="8"/>
  <c r="K425" i="8" s="1"/>
  <c r="I426" i="8"/>
  <c r="K426" i="8" s="1"/>
  <c r="G431" i="8"/>
  <c r="I435" i="8"/>
  <c r="K435" i="8" s="1"/>
  <c r="G438" i="8"/>
  <c r="M438" i="8" s="1"/>
  <c r="I441" i="8"/>
  <c r="K441" i="8" s="1"/>
  <c r="I442" i="8"/>
  <c r="K442" i="8" s="1"/>
  <c r="G447" i="8"/>
  <c r="I454" i="8"/>
  <c r="K454" i="8" s="1"/>
  <c r="I462" i="8"/>
  <c r="K462" i="8" s="1"/>
  <c r="G478" i="8"/>
  <c r="I481" i="8"/>
  <c r="K481" i="8" s="1"/>
  <c r="I482" i="8"/>
  <c r="K482" i="8" s="1"/>
  <c r="I489" i="8"/>
  <c r="K489" i="8" s="1"/>
  <c r="I493" i="8"/>
  <c r="K493" i="8" s="1"/>
  <c r="G498" i="8"/>
  <c r="N498" i="8" s="1"/>
  <c r="G505" i="8"/>
  <c r="G509" i="8"/>
  <c r="M509" i="8" s="1"/>
  <c r="I518" i="8"/>
  <c r="K518" i="8" s="1"/>
  <c r="I526" i="8"/>
  <c r="K526" i="8" s="1"/>
  <c r="G542" i="8"/>
  <c r="I545" i="8"/>
  <c r="K545" i="8" s="1"/>
  <c r="I546" i="8"/>
  <c r="K546" i="8" s="1"/>
  <c r="I553" i="8"/>
  <c r="K553" i="8" s="1"/>
  <c r="I557" i="8"/>
  <c r="K557" i="8" s="1"/>
  <c r="G562" i="8"/>
  <c r="G569" i="8"/>
  <c r="G573" i="8"/>
  <c r="M573" i="8" s="1"/>
  <c r="I582" i="8"/>
  <c r="K582" i="8" s="1"/>
  <c r="H955" i="8"/>
  <c r="M955" i="8"/>
  <c r="H971" i="8"/>
  <c r="M971" i="8"/>
  <c r="H1019" i="8"/>
  <c r="M1019" i="8"/>
  <c r="M1003" i="8"/>
  <c r="M1051" i="8"/>
  <c r="M1141" i="8"/>
  <c r="N1141" i="8"/>
  <c r="H32" i="8"/>
  <c r="N32" i="8"/>
  <c r="M32" i="8"/>
  <c r="H48" i="8"/>
  <c r="N48" i="8"/>
  <c r="M48" i="8"/>
  <c r="H64" i="8"/>
  <c r="N64" i="8"/>
  <c r="M64" i="8"/>
  <c r="H80" i="8"/>
  <c r="N80" i="8"/>
  <c r="M80" i="8"/>
  <c r="H96" i="8"/>
  <c r="N96" i="8"/>
  <c r="M96" i="8"/>
  <c r="H112" i="8"/>
  <c r="N112" i="8"/>
  <c r="M112" i="8"/>
  <c r="H128" i="8"/>
  <c r="N128" i="8"/>
  <c r="M128" i="8"/>
  <c r="H144" i="8"/>
  <c r="N144" i="8"/>
  <c r="M144" i="8"/>
  <c r="H160" i="8"/>
  <c r="N160" i="8"/>
  <c r="M160" i="8"/>
  <c r="H176" i="8"/>
  <c r="N176" i="8"/>
  <c r="M176" i="8"/>
  <c r="H192" i="8"/>
  <c r="N192" i="8"/>
  <c r="M192" i="8"/>
  <c r="H208" i="8"/>
  <c r="N208" i="8"/>
  <c r="M208" i="8"/>
  <c r="H224" i="8"/>
  <c r="N224" i="8"/>
  <c r="M224" i="8"/>
  <c r="H240" i="8"/>
  <c r="N240" i="8"/>
  <c r="M240" i="8"/>
  <c r="H256" i="8"/>
  <c r="N256" i="8"/>
  <c r="M256" i="8"/>
  <c r="H272" i="8"/>
  <c r="N272" i="8"/>
  <c r="M272" i="8"/>
  <c r="H288" i="8"/>
  <c r="N288" i="8"/>
  <c r="M288" i="8"/>
  <c r="H304" i="8"/>
  <c r="N304" i="8"/>
  <c r="M304" i="8"/>
  <c r="H320" i="8"/>
  <c r="N320" i="8"/>
  <c r="M320" i="8"/>
  <c r="H336" i="8"/>
  <c r="N336" i="8"/>
  <c r="M336" i="8"/>
  <c r="H352" i="8"/>
  <c r="N352" i="8"/>
  <c r="M352" i="8"/>
  <c r="H368" i="8"/>
  <c r="N368" i="8"/>
  <c r="M368" i="8"/>
  <c r="H384" i="8"/>
  <c r="N384" i="8"/>
  <c r="M384" i="8"/>
  <c r="H400" i="8"/>
  <c r="N400" i="8"/>
  <c r="M400" i="8"/>
  <c r="H416" i="8"/>
  <c r="N416" i="8"/>
  <c r="M416" i="8"/>
  <c r="H432" i="8"/>
  <c r="N432" i="8"/>
  <c r="M432" i="8"/>
  <c r="H448" i="8"/>
  <c r="N448" i="8"/>
  <c r="M448" i="8"/>
  <c r="H485" i="8"/>
  <c r="N485" i="8"/>
  <c r="M485" i="8"/>
  <c r="H506" i="8"/>
  <c r="N506" i="8"/>
  <c r="M506" i="8"/>
  <c r="H549" i="8"/>
  <c r="N549" i="8"/>
  <c r="M549" i="8"/>
  <c r="H570" i="8"/>
  <c r="N570" i="8"/>
  <c r="M570" i="8"/>
  <c r="H28" i="8"/>
  <c r="N28" i="8"/>
  <c r="M28" i="8"/>
  <c r="H44" i="8"/>
  <c r="N44" i="8"/>
  <c r="M44" i="8"/>
  <c r="H60" i="8"/>
  <c r="N60" i="8"/>
  <c r="M60" i="8"/>
  <c r="H76" i="8"/>
  <c r="N76" i="8"/>
  <c r="M76" i="8"/>
  <c r="H92" i="8"/>
  <c r="N92" i="8"/>
  <c r="M92" i="8"/>
  <c r="H108" i="8"/>
  <c r="N108" i="8"/>
  <c r="M108" i="8"/>
  <c r="H124" i="8"/>
  <c r="N124" i="8"/>
  <c r="M124" i="8"/>
  <c r="H140" i="8"/>
  <c r="N140" i="8"/>
  <c r="M140" i="8"/>
  <c r="H156" i="8"/>
  <c r="N156" i="8"/>
  <c r="M156" i="8"/>
  <c r="H172" i="8"/>
  <c r="N172" i="8"/>
  <c r="M172" i="8"/>
  <c r="H188" i="8"/>
  <c r="N188" i="8"/>
  <c r="M188" i="8"/>
  <c r="H204" i="8"/>
  <c r="N204" i="8"/>
  <c r="M204" i="8"/>
  <c r="H220" i="8"/>
  <c r="N220" i="8"/>
  <c r="M220" i="8"/>
  <c r="H236" i="8"/>
  <c r="N236" i="8"/>
  <c r="M236" i="8"/>
  <c r="H252" i="8"/>
  <c r="N252" i="8"/>
  <c r="M252" i="8"/>
  <c r="H268" i="8"/>
  <c r="N268" i="8"/>
  <c r="M268" i="8"/>
  <c r="H284" i="8"/>
  <c r="N284" i="8"/>
  <c r="M284" i="8"/>
  <c r="H300" i="8"/>
  <c r="N300" i="8"/>
  <c r="M300" i="8"/>
  <c r="H316" i="8"/>
  <c r="N316" i="8"/>
  <c r="M316" i="8"/>
  <c r="H332" i="8"/>
  <c r="N332" i="8"/>
  <c r="M332" i="8"/>
  <c r="H348" i="8"/>
  <c r="N348" i="8"/>
  <c r="M348" i="8"/>
  <c r="H364" i="8"/>
  <c r="N364" i="8"/>
  <c r="M364" i="8"/>
  <c r="H380" i="8"/>
  <c r="N380" i="8"/>
  <c r="M380" i="8"/>
  <c r="H396" i="8"/>
  <c r="N396" i="8"/>
  <c r="M396" i="8"/>
  <c r="H412" i="8"/>
  <c r="N412" i="8"/>
  <c r="M412" i="8"/>
  <c r="H428" i="8"/>
  <c r="N428" i="8"/>
  <c r="M428" i="8"/>
  <c r="H444" i="8"/>
  <c r="N444" i="8"/>
  <c r="M444" i="8"/>
  <c r="H458" i="8"/>
  <c r="N458" i="8"/>
  <c r="M458" i="8"/>
  <c r="H501" i="8"/>
  <c r="N501" i="8"/>
  <c r="M501" i="8"/>
  <c r="H522" i="8"/>
  <c r="N522" i="8"/>
  <c r="M522" i="8"/>
  <c r="H565" i="8"/>
  <c r="N565" i="8"/>
  <c r="M565" i="8"/>
  <c r="H40" i="8"/>
  <c r="N40" i="8"/>
  <c r="M40" i="8"/>
  <c r="H56" i="8"/>
  <c r="N56" i="8"/>
  <c r="M56" i="8"/>
  <c r="H72" i="8"/>
  <c r="N72" i="8"/>
  <c r="M72" i="8"/>
  <c r="H88" i="8"/>
  <c r="N88" i="8"/>
  <c r="M88" i="8"/>
  <c r="H104" i="8"/>
  <c r="N104" i="8"/>
  <c r="M104" i="8"/>
  <c r="H120" i="8"/>
  <c r="N120" i="8"/>
  <c r="M120" i="8"/>
  <c r="H136" i="8"/>
  <c r="N136" i="8"/>
  <c r="M136" i="8"/>
  <c r="H152" i="8"/>
  <c r="N152" i="8"/>
  <c r="M152" i="8"/>
  <c r="H168" i="8"/>
  <c r="N168" i="8"/>
  <c r="M168" i="8"/>
  <c r="H184" i="8"/>
  <c r="N184" i="8"/>
  <c r="M184" i="8"/>
  <c r="H200" i="8"/>
  <c r="N200" i="8"/>
  <c r="M200" i="8"/>
  <c r="H216" i="8"/>
  <c r="N216" i="8"/>
  <c r="M216" i="8"/>
  <c r="H232" i="8"/>
  <c r="N232" i="8"/>
  <c r="M232" i="8"/>
  <c r="H248" i="8"/>
  <c r="N248" i="8"/>
  <c r="M248" i="8"/>
  <c r="H264" i="8"/>
  <c r="N264" i="8"/>
  <c r="M264" i="8"/>
  <c r="H280" i="8"/>
  <c r="N280" i="8"/>
  <c r="M280" i="8"/>
  <c r="H296" i="8"/>
  <c r="N296" i="8"/>
  <c r="M296" i="8"/>
  <c r="H312" i="8"/>
  <c r="N312" i="8"/>
  <c r="M312" i="8"/>
  <c r="H328" i="8"/>
  <c r="N328" i="8"/>
  <c r="M328" i="8"/>
  <c r="H344" i="8"/>
  <c r="N344" i="8"/>
  <c r="M344" i="8"/>
  <c r="H360" i="8"/>
  <c r="N360" i="8"/>
  <c r="M360" i="8"/>
  <c r="H376" i="8"/>
  <c r="N376" i="8"/>
  <c r="M376" i="8"/>
  <c r="H392" i="8"/>
  <c r="N392" i="8"/>
  <c r="M392" i="8"/>
  <c r="H408" i="8"/>
  <c r="N408" i="8"/>
  <c r="M408" i="8"/>
  <c r="H424" i="8"/>
  <c r="N424" i="8"/>
  <c r="M424" i="8"/>
  <c r="H440" i="8"/>
  <c r="N440" i="8"/>
  <c r="M440" i="8"/>
  <c r="H453" i="8"/>
  <c r="N453" i="8"/>
  <c r="M453" i="8"/>
  <c r="H474" i="8"/>
  <c r="N474" i="8"/>
  <c r="M474" i="8"/>
  <c r="H517" i="8"/>
  <c r="N517" i="8"/>
  <c r="M517" i="8"/>
  <c r="H538" i="8"/>
  <c r="N538" i="8"/>
  <c r="M538" i="8"/>
  <c r="H581" i="8"/>
  <c r="N581" i="8"/>
  <c r="M581" i="8"/>
  <c r="H36" i="8"/>
  <c r="N36" i="8"/>
  <c r="M36" i="8"/>
  <c r="H52" i="8"/>
  <c r="N52" i="8"/>
  <c r="M52" i="8"/>
  <c r="H68" i="8"/>
  <c r="N68" i="8"/>
  <c r="M68" i="8"/>
  <c r="H84" i="8"/>
  <c r="N84" i="8"/>
  <c r="M84" i="8"/>
  <c r="H100" i="8"/>
  <c r="N100" i="8"/>
  <c r="M100" i="8"/>
  <c r="H116" i="8"/>
  <c r="N116" i="8"/>
  <c r="M116" i="8"/>
  <c r="H132" i="8"/>
  <c r="N132" i="8"/>
  <c r="M132" i="8"/>
  <c r="H148" i="8"/>
  <c r="N148" i="8"/>
  <c r="M148" i="8"/>
  <c r="H164" i="8"/>
  <c r="N164" i="8"/>
  <c r="M164" i="8"/>
  <c r="H180" i="8"/>
  <c r="N180" i="8"/>
  <c r="M180" i="8"/>
  <c r="H196" i="8"/>
  <c r="N196" i="8"/>
  <c r="M196" i="8"/>
  <c r="H212" i="8"/>
  <c r="N212" i="8"/>
  <c r="M212" i="8"/>
  <c r="H228" i="8"/>
  <c r="N228" i="8"/>
  <c r="M228" i="8"/>
  <c r="H244" i="8"/>
  <c r="N244" i="8"/>
  <c r="M244" i="8"/>
  <c r="H260" i="8"/>
  <c r="N260" i="8"/>
  <c r="M260" i="8"/>
  <c r="H276" i="8"/>
  <c r="N276" i="8"/>
  <c r="M276" i="8"/>
  <c r="H292" i="8"/>
  <c r="N292" i="8"/>
  <c r="M292" i="8"/>
  <c r="H308" i="8"/>
  <c r="N308" i="8"/>
  <c r="M308" i="8"/>
  <c r="H324" i="8"/>
  <c r="N324" i="8"/>
  <c r="M324" i="8"/>
  <c r="H340" i="8"/>
  <c r="N340" i="8"/>
  <c r="M340" i="8"/>
  <c r="H356" i="8"/>
  <c r="N356" i="8"/>
  <c r="M356" i="8"/>
  <c r="H372" i="8"/>
  <c r="N372" i="8"/>
  <c r="M372" i="8"/>
  <c r="H388" i="8"/>
  <c r="N388" i="8"/>
  <c r="M388" i="8"/>
  <c r="H404" i="8"/>
  <c r="N404" i="8"/>
  <c r="M404" i="8"/>
  <c r="H420" i="8"/>
  <c r="N420" i="8"/>
  <c r="M420" i="8"/>
  <c r="H436" i="8"/>
  <c r="N436" i="8"/>
  <c r="M436" i="8"/>
  <c r="H469" i="8"/>
  <c r="N469" i="8"/>
  <c r="M469" i="8"/>
  <c r="H490" i="8"/>
  <c r="N490" i="8"/>
  <c r="M490" i="8"/>
  <c r="H533" i="8"/>
  <c r="N533" i="8"/>
  <c r="M533" i="8"/>
  <c r="H554" i="8"/>
  <c r="N554" i="8"/>
  <c r="M554" i="8"/>
  <c r="H4" i="8"/>
  <c r="L4" i="8" s="1"/>
  <c r="N4" i="8"/>
  <c r="M4" i="8"/>
  <c r="H6" i="8"/>
  <c r="L6" i="8" s="1"/>
  <c r="N6" i="8"/>
  <c r="M6" i="8"/>
  <c r="H20" i="8"/>
  <c r="L20" i="8" s="1"/>
  <c r="N20" i="8"/>
  <c r="M20" i="8"/>
  <c r="H22" i="8"/>
  <c r="L22" i="8" s="1"/>
  <c r="N22" i="8"/>
  <c r="M22" i="8"/>
  <c r="H31" i="8"/>
  <c r="L31" i="8" s="1"/>
  <c r="N31" i="8"/>
  <c r="I32" i="8"/>
  <c r="K32" i="8" s="1"/>
  <c r="H55" i="8"/>
  <c r="L55" i="8" s="1"/>
  <c r="I56" i="8"/>
  <c r="K56" i="8" s="1"/>
  <c r="H67" i="8"/>
  <c r="L67" i="8" s="1"/>
  <c r="N67" i="8"/>
  <c r="H71" i="8"/>
  <c r="L71" i="8" s="1"/>
  <c r="N71" i="8"/>
  <c r="I72" i="8"/>
  <c r="K72" i="8" s="1"/>
  <c r="I104" i="8"/>
  <c r="K104" i="8" s="1"/>
  <c r="H119" i="8"/>
  <c r="N119" i="8"/>
  <c r="I120" i="8"/>
  <c r="K120" i="8" s="1"/>
  <c r="H135" i="8"/>
  <c r="L135" i="8" s="1"/>
  <c r="N135" i="8"/>
  <c r="I136" i="8"/>
  <c r="K136" i="8" s="1"/>
  <c r="H151" i="8"/>
  <c r="L151" i="8" s="1"/>
  <c r="N151" i="8"/>
  <c r="I152" i="8"/>
  <c r="K152" i="8" s="1"/>
  <c r="H12" i="8"/>
  <c r="L12" i="8" s="1"/>
  <c r="N12" i="8"/>
  <c r="M12" i="8"/>
  <c r="H14" i="8"/>
  <c r="L14" i="8" s="1"/>
  <c r="N14" i="8"/>
  <c r="M14" i="8"/>
  <c r="H35" i="8"/>
  <c r="L35" i="8" s="1"/>
  <c r="N35" i="8"/>
  <c r="I36" i="8"/>
  <c r="K36" i="8" s="1"/>
  <c r="H47" i="8"/>
  <c r="L47" i="8" s="1"/>
  <c r="N47" i="8"/>
  <c r="I48" i="8"/>
  <c r="K48" i="8" s="1"/>
  <c r="H51" i="8"/>
  <c r="L51" i="8" s="1"/>
  <c r="N51" i="8"/>
  <c r="I52" i="8"/>
  <c r="K52" i="8" s="1"/>
  <c r="H83" i="8"/>
  <c r="L83" i="8" s="1"/>
  <c r="N83" i="8"/>
  <c r="I84" i="8"/>
  <c r="K84" i="8" s="1"/>
  <c r="H87" i="8"/>
  <c r="L87" i="8" s="1"/>
  <c r="N87" i="8"/>
  <c r="I88" i="8"/>
  <c r="K88" i="8" s="1"/>
  <c r="H99" i="8"/>
  <c r="L99" i="8" s="1"/>
  <c r="N99" i="8"/>
  <c r="I100" i="8"/>
  <c r="K100" i="8" s="1"/>
  <c r="H103" i="8"/>
  <c r="L103" i="8" s="1"/>
  <c r="N103" i="8"/>
  <c r="H115" i="8"/>
  <c r="L115" i="8" s="1"/>
  <c r="N115" i="8"/>
  <c r="I116" i="8"/>
  <c r="K116" i="8" s="1"/>
  <c r="L116" i="8" s="1"/>
  <c r="H131" i="8"/>
  <c r="L131" i="8" s="1"/>
  <c r="N131" i="8"/>
  <c r="I132" i="8"/>
  <c r="K132" i="8" s="1"/>
  <c r="L132" i="8" s="1"/>
  <c r="I148" i="8"/>
  <c r="K148" i="8" s="1"/>
  <c r="H163" i="8"/>
  <c r="L163" i="8" s="1"/>
  <c r="N163" i="8"/>
  <c r="I164" i="8"/>
  <c r="K164" i="8" s="1"/>
  <c r="H203" i="8"/>
  <c r="L203" i="8" s="1"/>
  <c r="N203" i="8"/>
  <c r="I204" i="8"/>
  <c r="K204" i="8" s="1"/>
  <c r="H215" i="8"/>
  <c r="N215" i="8"/>
  <c r="I216" i="8"/>
  <c r="K216" i="8" s="1"/>
  <c r="L216" i="8" s="1"/>
  <c r="H227" i="8"/>
  <c r="L227" i="8" s="1"/>
  <c r="N227" i="8"/>
  <c r="I228" i="8"/>
  <c r="K228" i="8" s="1"/>
  <c r="H243" i="8"/>
  <c r="L243" i="8" s="1"/>
  <c r="N243" i="8"/>
  <c r="I244" i="8"/>
  <c r="K244" i="8" s="1"/>
  <c r="I292" i="8"/>
  <c r="K292" i="8" s="1"/>
  <c r="H295" i="8"/>
  <c r="N295" i="8"/>
  <c r="I296" i="8"/>
  <c r="K296" i="8" s="1"/>
  <c r="L296" i="8" s="1"/>
  <c r="H319" i="8"/>
  <c r="L319" i="8" s="1"/>
  <c r="N319" i="8"/>
  <c r="I320" i="8"/>
  <c r="K320" i="8" s="1"/>
  <c r="H323" i="8"/>
  <c r="L323" i="8" s="1"/>
  <c r="H335" i="8"/>
  <c r="L335" i="8" s="1"/>
  <c r="N335" i="8"/>
  <c r="I336" i="8"/>
  <c r="K336" i="8" s="1"/>
  <c r="L336" i="8" s="1"/>
  <c r="H355" i="8"/>
  <c r="L355" i="8" s="1"/>
  <c r="N355" i="8"/>
  <c r="I356" i="8"/>
  <c r="K356" i="8" s="1"/>
  <c r="H379" i="8"/>
  <c r="N379" i="8"/>
  <c r="I380" i="8"/>
  <c r="K380" i="8" s="1"/>
  <c r="I384" i="8"/>
  <c r="K384" i="8" s="1"/>
  <c r="H407" i="8"/>
  <c r="N407" i="8"/>
  <c r="I408" i="8"/>
  <c r="K408" i="8" s="1"/>
  <c r="H435" i="8"/>
  <c r="N435" i="8"/>
  <c r="I436" i="8"/>
  <c r="K436" i="8" s="1"/>
  <c r="H462" i="8"/>
  <c r="L462" i="8" s="1"/>
  <c r="N462" i="8"/>
  <c r="M462" i="8"/>
  <c r="H464" i="8"/>
  <c r="N464" i="8"/>
  <c r="H467" i="8"/>
  <c r="N467" i="8"/>
  <c r="I487" i="8"/>
  <c r="K487" i="8" s="1"/>
  <c r="H489" i="8"/>
  <c r="L489" i="8" s="1"/>
  <c r="N489" i="8"/>
  <c r="I490" i="8"/>
  <c r="K490" i="8" s="1"/>
  <c r="I492" i="8"/>
  <c r="K492" i="8" s="1"/>
  <c r="I503" i="8"/>
  <c r="K503" i="8" s="1"/>
  <c r="H505" i="8"/>
  <c r="N505" i="8"/>
  <c r="I506" i="8"/>
  <c r="K506" i="8" s="1"/>
  <c r="I508" i="8"/>
  <c r="K508" i="8" s="1"/>
  <c r="I519" i="8"/>
  <c r="K519" i="8" s="1"/>
  <c r="H521" i="8"/>
  <c r="L521" i="8" s="1"/>
  <c r="N521" i="8"/>
  <c r="I522" i="8"/>
  <c r="K522" i="8" s="1"/>
  <c r="I524" i="8"/>
  <c r="K524" i="8" s="1"/>
  <c r="H531" i="8"/>
  <c r="N531" i="8"/>
  <c r="I728" i="8"/>
  <c r="K728" i="8" s="1"/>
  <c r="I740" i="8"/>
  <c r="K740" i="8" s="1"/>
  <c r="I752" i="8"/>
  <c r="K752" i="8" s="1"/>
  <c r="I764" i="8"/>
  <c r="K764" i="8" s="1"/>
  <c r="I776" i="8"/>
  <c r="K776" i="8" s="1"/>
  <c r="I796" i="8"/>
  <c r="K796" i="8" s="1"/>
  <c r="I808" i="8"/>
  <c r="K808" i="8" s="1"/>
  <c r="I820" i="8"/>
  <c r="K820" i="8" s="1"/>
  <c r="I832" i="8"/>
  <c r="K832" i="8" s="1"/>
  <c r="I844" i="8"/>
  <c r="K844" i="8" s="1"/>
  <c r="I856" i="8"/>
  <c r="K856" i="8" s="1"/>
  <c r="I868" i="8"/>
  <c r="K868" i="8" s="1"/>
  <c r="I888" i="8"/>
  <c r="K888" i="8" s="1"/>
  <c r="I900" i="8"/>
  <c r="K900" i="8" s="1"/>
  <c r="I908" i="8"/>
  <c r="K908" i="8" s="1"/>
  <c r="I940" i="8"/>
  <c r="K940" i="8" s="1"/>
  <c r="H953" i="8"/>
  <c r="N953" i="8"/>
  <c r="M953" i="8"/>
  <c r="H1017" i="8"/>
  <c r="N1017" i="8"/>
  <c r="M1017" i="8"/>
  <c r="H34" i="8"/>
  <c r="L34" i="8" s="1"/>
  <c r="N34" i="8"/>
  <c r="H38" i="8"/>
  <c r="L38" i="8" s="1"/>
  <c r="N38" i="8"/>
  <c r="H42" i="8"/>
  <c r="L42" i="8" s="1"/>
  <c r="N42" i="8"/>
  <c r="H46" i="8"/>
  <c r="L46" i="8" s="1"/>
  <c r="N46" i="8"/>
  <c r="H50" i="8"/>
  <c r="L50" i="8" s="1"/>
  <c r="N50" i="8"/>
  <c r="H54" i="8"/>
  <c r="L54" i="8" s="1"/>
  <c r="N54" i="8"/>
  <c r="H58" i="8"/>
  <c r="L58" i="8" s="1"/>
  <c r="N58" i="8"/>
  <c r="H62" i="8"/>
  <c r="L62" i="8" s="1"/>
  <c r="N62" i="8"/>
  <c r="H66" i="8"/>
  <c r="L66" i="8" s="1"/>
  <c r="N66" i="8"/>
  <c r="H70" i="8"/>
  <c r="L70" i="8" s="1"/>
  <c r="N70" i="8"/>
  <c r="H74" i="8"/>
  <c r="L74" i="8" s="1"/>
  <c r="N74" i="8"/>
  <c r="H78" i="8"/>
  <c r="L78" i="8" s="1"/>
  <c r="N78" i="8"/>
  <c r="H82" i="8"/>
  <c r="L82" i="8" s="1"/>
  <c r="N82" i="8"/>
  <c r="H86" i="8"/>
  <c r="L86" i="8" s="1"/>
  <c r="N86" i="8"/>
  <c r="H90" i="8"/>
  <c r="L90" i="8" s="1"/>
  <c r="N90" i="8"/>
  <c r="H94" i="8"/>
  <c r="L94" i="8" s="1"/>
  <c r="N94" i="8"/>
  <c r="H98" i="8"/>
  <c r="L98" i="8" s="1"/>
  <c r="N98" i="8"/>
  <c r="H102" i="8"/>
  <c r="L102" i="8" s="1"/>
  <c r="N102" i="8"/>
  <c r="H106" i="8"/>
  <c r="N106" i="8"/>
  <c r="H110" i="8"/>
  <c r="L110" i="8" s="1"/>
  <c r="N110" i="8"/>
  <c r="H114" i="8"/>
  <c r="L114" i="8" s="1"/>
  <c r="N114" i="8"/>
  <c r="H118" i="8"/>
  <c r="N118" i="8"/>
  <c r="H122" i="8"/>
  <c r="L122" i="8" s="1"/>
  <c r="N122" i="8"/>
  <c r="H126" i="8"/>
  <c r="L126" i="8" s="1"/>
  <c r="N126" i="8"/>
  <c r="H130" i="8"/>
  <c r="L130" i="8" s="1"/>
  <c r="N130" i="8"/>
  <c r="H134" i="8"/>
  <c r="L134" i="8" s="1"/>
  <c r="N134" i="8"/>
  <c r="H138" i="8"/>
  <c r="L138" i="8" s="1"/>
  <c r="N138" i="8"/>
  <c r="H142" i="8"/>
  <c r="L142" i="8" s="1"/>
  <c r="N142" i="8"/>
  <c r="H146" i="8"/>
  <c r="L146" i="8" s="1"/>
  <c r="N146" i="8"/>
  <c r="H150" i="8"/>
  <c r="L150" i="8" s="1"/>
  <c r="N150" i="8"/>
  <c r="H154" i="8"/>
  <c r="L154" i="8" s="1"/>
  <c r="N154" i="8"/>
  <c r="H162" i="8"/>
  <c r="L162" i="8" s="1"/>
  <c r="N162" i="8"/>
  <c r="H166" i="8"/>
  <c r="L166" i="8" s="1"/>
  <c r="N166" i="8"/>
  <c r="H170" i="8"/>
  <c r="L170" i="8" s="1"/>
  <c r="N170" i="8"/>
  <c r="H174" i="8"/>
  <c r="L174" i="8" s="1"/>
  <c r="N174" i="8"/>
  <c r="H178" i="8"/>
  <c r="L178" i="8" s="1"/>
  <c r="N178" i="8"/>
  <c r="H182" i="8"/>
  <c r="N182" i="8"/>
  <c r="H186" i="8"/>
  <c r="L186" i="8" s="1"/>
  <c r="N186" i="8"/>
  <c r="H190" i="8"/>
  <c r="L190" i="8" s="1"/>
  <c r="N190" i="8"/>
  <c r="H194" i="8"/>
  <c r="N194" i="8"/>
  <c r="H198" i="8"/>
  <c r="L198" i="8" s="1"/>
  <c r="N198" i="8"/>
  <c r="H202" i="8"/>
  <c r="L202" i="8" s="1"/>
  <c r="N202" i="8"/>
  <c r="H206" i="8"/>
  <c r="L206" i="8" s="1"/>
  <c r="N206" i="8"/>
  <c r="H210" i="8"/>
  <c r="L210" i="8" s="1"/>
  <c r="N210" i="8"/>
  <c r="H214" i="8"/>
  <c r="L214" i="8" s="1"/>
  <c r="N214" i="8"/>
  <c r="H218" i="8"/>
  <c r="L218" i="8" s="1"/>
  <c r="N218" i="8"/>
  <c r="H226" i="8"/>
  <c r="L226" i="8" s="1"/>
  <c r="N226" i="8"/>
  <c r="H230" i="8"/>
  <c r="L230" i="8" s="1"/>
  <c r="N230" i="8"/>
  <c r="H234" i="8"/>
  <c r="L234" i="8" s="1"/>
  <c r="N234" i="8"/>
  <c r="H238" i="8"/>
  <c r="L238" i="8" s="1"/>
  <c r="N238" i="8"/>
  <c r="H242" i="8"/>
  <c r="L242" i="8" s="1"/>
  <c r="N242" i="8"/>
  <c r="H246" i="8"/>
  <c r="N246" i="8"/>
  <c r="H250" i="8"/>
  <c r="L250" i="8" s="1"/>
  <c r="N250" i="8"/>
  <c r="H254" i="8"/>
  <c r="N254" i="8"/>
  <c r="H258" i="8"/>
  <c r="N258" i="8"/>
  <c r="H262" i="8"/>
  <c r="L262" i="8" s="1"/>
  <c r="N262" i="8"/>
  <c r="H266" i="8"/>
  <c r="L266" i="8" s="1"/>
  <c r="N266" i="8"/>
  <c r="H270" i="8"/>
  <c r="L270" i="8" s="1"/>
  <c r="N270" i="8"/>
  <c r="H274" i="8"/>
  <c r="L274" i="8" s="1"/>
  <c r="N274" i="8"/>
  <c r="H278" i="8"/>
  <c r="L278" i="8" s="1"/>
  <c r="N278" i="8"/>
  <c r="H282" i="8"/>
  <c r="N282" i="8"/>
  <c r="H286" i="8"/>
  <c r="L286" i="8" s="1"/>
  <c r="N286" i="8"/>
  <c r="H294" i="8"/>
  <c r="L294" i="8" s="1"/>
  <c r="N294" i="8"/>
  <c r="H298" i="8"/>
  <c r="N298" i="8"/>
  <c r="H302" i="8"/>
  <c r="L302" i="8" s="1"/>
  <c r="N302" i="8"/>
  <c r="H306" i="8"/>
  <c r="L306" i="8" s="1"/>
  <c r="N306" i="8"/>
  <c r="H310" i="8"/>
  <c r="N310" i="8"/>
  <c r="N314" i="8"/>
  <c r="H318" i="8"/>
  <c r="N318" i="8"/>
  <c r="H322" i="8"/>
  <c r="L322" i="8" s="1"/>
  <c r="N322" i="8"/>
  <c r="H326" i="8"/>
  <c r="L326" i="8" s="1"/>
  <c r="N326" i="8"/>
  <c r="H330" i="8"/>
  <c r="L330" i="8" s="1"/>
  <c r="N330" i="8"/>
  <c r="H334" i="8"/>
  <c r="L334" i="8" s="1"/>
  <c r="N334" i="8"/>
  <c r="H338" i="8"/>
  <c r="N338" i="8"/>
  <c r="H342" i="8"/>
  <c r="L342" i="8" s="1"/>
  <c r="N342" i="8"/>
  <c r="H350" i="8"/>
  <c r="L350" i="8" s="1"/>
  <c r="N350" i="8"/>
  <c r="H354" i="8"/>
  <c r="L354" i="8" s="1"/>
  <c r="N354" i="8"/>
  <c r="H358" i="8"/>
  <c r="L358" i="8" s="1"/>
  <c r="N358" i="8"/>
  <c r="H362" i="8"/>
  <c r="L362" i="8" s="1"/>
  <c r="N362" i="8"/>
  <c r="H366" i="8"/>
  <c r="L366" i="8" s="1"/>
  <c r="N366" i="8"/>
  <c r="H370" i="8"/>
  <c r="L370" i="8" s="1"/>
  <c r="N370" i="8"/>
  <c r="H374" i="8"/>
  <c r="L374" i="8" s="1"/>
  <c r="N374" i="8"/>
  <c r="H378" i="8"/>
  <c r="L378" i="8" s="1"/>
  <c r="N378" i="8"/>
  <c r="H382" i="8"/>
  <c r="N382" i="8"/>
  <c r="H386" i="8"/>
  <c r="L386" i="8" s="1"/>
  <c r="N386" i="8"/>
  <c r="H390" i="8"/>
  <c r="L390" i="8" s="1"/>
  <c r="N390" i="8"/>
  <c r="H394" i="8"/>
  <c r="N394" i="8"/>
  <c r="H398" i="8"/>
  <c r="L398" i="8" s="1"/>
  <c r="N398" i="8"/>
  <c r="H406" i="8"/>
  <c r="L406" i="8" s="1"/>
  <c r="N406" i="8"/>
  <c r="H410" i="8"/>
  <c r="N410" i="8"/>
  <c r="H414" i="8"/>
  <c r="L414" i="8" s="1"/>
  <c r="N414" i="8"/>
  <c r="H426" i="8"/>
  <c r="L426" i="8" s="1"/>
  <c r="N426" i="8"/>
  <c r="H430" i="8"/>
  <c r="L430" i="8" s="1"/>
  <c r="N430" i="8"/>
  <c r="H434" i="8"/>
  <c r="L434" i="8" s="1"/>
  <c r="N434" i="8"/>
  <c r="H438" i="8"/>
  <c r="L438" i="8" s="1"/>
  <c r="N438" i="8"/>
  <c r="H442" i="8"/>
  <c r="N442" i="8"/>
  <c r="H446" i="8"/>
  <c r="N446" i="8"/>
  <c r="H450" i="8"/>
  <c r="L450" i="8" s="1"/>
  <c r="N450" i="8"/>
  <c r="M450" i="8"/>
  <c r="H452" i="8"/>
  <c r="N452" i="8"/>
  <c r="H455" i="8"/>
  <c r="N455" i="8"/>
  <c r="I459" i="8"/>
  <c r="K459" i="8" s="1"/>
  <c r="H461" i="8"/>
  <c r="L461" i="8" s="1"/>
  <c r="N461" i="8"/>
  <c r="I464" i="8"/>
  <c r="K464" i="8" s="1"/>
  <c r="H466" i="8"/>
  <c r="L466" i="8" s="1"/>
  <c r="N466" i="8"/>
  <c r="M466" i="8"/>
  <c r="M467" i="8"/>
  <c r="H468" i="8"/>
  <c r="N468" i="8"/>
  <c r="H471" i="8"/>
  <c r="N471" i="8"/>
  <c r="I475" i="8"/>
  <c r="K475" i="8" s="1"/>
  <c r="H477" i="8"/>
  <c r="N477" i="8"/>
  <c r="I480" i="8"/>
  <c r="K480" i="8" s="1"/>
  <c r="H482" i="8"/>
  <c r="L482" i="8" s="1"/>
  <c r="N482" i="8"/>
  <c r="M482" i="8"/>
  <c r="H484" i="8"/>
  <c r="N484" i="8"/>
  <c r="H487" i="8"/>
  <c r="N487" i="8"/>
  <c r="I491" i="8"/>
  <c r="K491" i="8" s="1"/>
  <c r="H493" i="8"/>
  <c r="L493" i="8" s="1"/>
  <c r="N493" i="8"/>
  <c r="I496" i="8"/>
  <c r="K496" i="8" s="1"/>
  <c r="H500" i="8"/>
  <c r="N500" i="8"/>
  <c r="H503" i="8"/>
  <c r="N503" i="8"/>
  <c r="I507" i="8"/>
  <c r="K507" i="8" s="1"/>
  <c r="H509" i="8"/>
  <c r="L509" i="8" s="1"/>
  <c r="N509" i="8"/>
  <c r="I512" i="8"/>
  <c r="K512" i="8" s="1"/>
  <c r="H514" i="8"/>
  <c r="N514" i="8"/>
  <c r="M514" i="8"/>
  <c r="H516" i="8"/>
  <c r="N516" i="8"/>
  <c r="H519" i="8"/>
  <c r="N519" i="8"/>
  <c r="I523" i="8"/>
  <c r="K523" i="8" s="1"/>
  <c r="I528" i="8"/>
  <c r="K528" i="8" s="1"/>
  <c r="H530" i="8"/>
  <c r="N530" i="8"/>
  <c r="M530" i="8"/>
  <c r="M531" i="8"/>
  <c r="H532" i="8"/>
  <c r="N532" i="8"/>
  <c r="H535" i="8"/>
  <c r="N535" i="8"/>
  <c r="I539" i="8"/>
  <c r="K539" i="8" s="1"/>
  <c r="H541" i="8"/>
  <c r="L541" i="8" s="1"/>
  <c r="N541" i="8"/>
  <c r="I544" i="8"/>
  <c r="K544" i="8" s="1"/>
  <c r="H546" i="8"/>
  <c r="L546" i="8" s="1"/>
  <c r="N546" i="8"/>
  <c r="M546" i="8"/>
  <c r="H548" i="8"/>
  <c r="N548" i="8"/>
  <c r="H551" i="8"/>
  <c r="N551" i="8"/>
  <c r="I555" i="8"/>
  <c r="K555" i="8" s="1"/>
  <c r="H557" i="8"/>
  <c r="L557" i="8" s="1"/>
  <c r="N557" i="8"/>
  <c r="I560" i="8"/>
  <c r="K560" i="8" s="1"/>
  <c r="H562" i="8"/>
  <c r="L562" i="8" s="1"/>
  <c r="N562" i="8"/>
  <c r="M562" i="8"/>
  <c r="H564" i="8"/>
  <c r="N564" i="8"/>
  <c r="H567" i="8"/>
  <c r="N567" i="8"/>
  <c r="I571" i="8"/>
  <c r="K571" i="8" s="1"/>
  <c r="I576" i="8"/>
  <c r="K576" i="8" s="1"/>
  <c r="H578" i="8"/>
  <c r="L578" i="8" s="1"/>
  <c r="N578" i="8"/>
  <c r="M578" i="8"/>
  <c r="H580" i="8"/>
  <c r="N580" i="8"/>
  <c r="H583" i="8"/>
  <c r="N583" i="8"/>
  <c r="H586" i="8"/>
  <c r="N586" i="8"/>
  <c r="M586" i="8"/>
  <c r="I588" i="8"/>
  <c r="K588" i="8" s="1"/>
  <c r="I589" i="8"/>
  <c r="K589" i="8" s="1"/>
  <c r="H591" i="8"/>
  <c r="N591" i="8"/>
  <c r="H594" i="8"/>
  <c r="N594" i="8"/>
  <c r="M594" i="8"/>
  <c r="I596" i="8"/>
  <c r="K596" i="8" s="1"/>
  <c r="I597" i="8"/>
  <c r="K597" i="8" s="1"/>
  <c r="H599" i="8"/>
  <c r="N599" i="8"/>
  <c r="H602" i="8"/>
  <c r="N602" i="8"/>
  <c r="M602" i="8"/>
  <c r="I604" i="8"/>
  <c r="K604" i="8" s="1"/>
  <c r="I605" i="8"/>
  <c r="K605" i="8" s="1"/>
  <c r="H607" i="8"/>
  <c r="N607" i="8"/>
  <c r="H610" i="8"/>
  <c r="N610" i="8"/>
  <c r="M610" i="8"/>
  <c r="I612" i="8"/>
  <c r="K612" i="8" s="1"/>
  <c r="I613" i="8"/>
  <c r="K613" i="8" s="1"/>
  <c r="H615" i="8"/>
  <c r="N615" i="8"/>
  <c r="H618" i="8"/>
  <c r="N618" i="8"/>
  <c r="M618" i="8"/>
  <c r="I620" i="8"/>
  <c r="K620" i="8" s="1"/>
  <c r="I621" i="8"/>
  <c r="K621" i="8" s="1"/>
  <c r="H623" i="8"/>
  <c r="N623" i="8"/>
  <c r="H626" i="8"/>
  <c r="N626" i="8"/>
  <c r="M626" i="8"/>
  <c r="I628" i="8"/>
  <c r="K628" i="8" s="1"/>
  <c r="I629" i="8"/>
  <c r="K629" i="8" s="1"/>
  <c r="H631" i="8"/>
  <c r="N631" i="8"/>
  <c r="H634" i="8"/>
  <c r="N634" i="8"/>
  <c r="M634" i="8"/>
  <c r="I636" i="8"/>
  <c r="K636" i="8" s="1"/>
  <c r="I637" i="8"/>
  <c r="K637" i="8" s="1"/>
  <c r="H639" i="8"/>
  <c r="N639" i="8"/>
  <c r="H642" i="8"/>
  <c r="N642" i="8"/>
  <c r="M642" i="8"/>
  <c r="I644" i="8"/>
  <c r="K644" i="8" s="1"/>
  <c r="I645" i="8"/>
  <c r="K645" i="8" s="1"/>
  <c r="H647" i="8"/>
  <c r="L647" i="8" s="1"/>
  <c r="N647" i="8"/>
  <c r="H650" i="8"/>
  <c r="N650" i="8"/>
  <c r="M650" i="8"/>
  <c r="I652" i="8"/>
  <c r="K652" i="8" s="1"/>
  <c r="I653" i="8"/>
  <c r="K653" i="8" s="1"/>
  <c r="H655" i="8"/>
  <c r="N655" i="8"/>
  <c r="H658" i="8"/>
  <c r="N658" i="8"/>
  <c r="M658" i="8"/>
  <c r="I660" i="8"/>
  <c r="K660" i="8" s="1"/>
  <c r="I661" i="8"/>
  <c r="K661" i="8" s="1"/>
  <c r="H663" i="8"/>
  <c r="N663" i="8"/>
  <c r="H666" i="8"/>
  <c r="N666" i="8"/>
  <c r="M666" i="8"/>
  <c r="I668" i="8"/>
  <c r="K668" i="8" s="1"/>
  <c r="I669" i="8"/>
  <c r="K669" i="8" s="1"/>
  <c r="H671" i="8"/>
  <c r="N671" i="8"/>
  <c r="H674" i="8"/>
  <c r="N674" i="8"/>
  <c r="M674" i="8"/>
  <c r="I676" i="8"/>
  <c r="K676" i="8" s="1"/>
  <c r="I677" i="8"/>
  <c r="K677" i="8" s="1"/>
  <c r="H679" i="8"/>
  <c r="N679" i="8"/>
  <c r="H682" i="8"/>
  <c r="N682" i="8"/>
  <c r="M682" i="8"/>
  <c r="I685" i="8"/>
  <c r="K685" i="8" s="1"/>
  <c r="H686" i="8"/>
  <c r="N686" i="8"/>
  <c r="M686" i="8"/>
  <c r="I689" i="8"/>
  <c r="K689" i="8" s="1"/>
  <c r="H690" i="8"/>
  <c r="N690" i="8"/>
  <c r="M690" i="8"/>
  <c r="I693" i="8"/>
  <c r="K693" i="8" s="1"/>
  <c r="H694" i="8"/>
  <c r="N694" i="8"/>
  <c r="M694" i="8"/>
  <c r="I697" i="8"/>
  <c r="K697" i="8" s="1"/>
  <c r="H698" i="8"/>
  <c r="N698" i="8"/>
  <c r="M698" i="8"/>
  <c r="I701" i="8"/>
  <c r="K701" i="8" s="1"/>
  <c r="H702" i="8"/>
  <c r="N702" i="8"/>
  <c r="M702" i="8"/>
  <c r="I705" i="8"/>
  <c r="K705" i="8" s="1"/>
  <c r="H706" i="8"/>
  <c r="N706" i="8"/>
  <c r="M706" i="8"/>
  <c r="I709" i="8"/>
  <c r="K709" i="8" s="1"/>
  <c r="H710" i="8"/>
  <c r="N710" i="8"/>
  <c r="M710" i="8"/>
  <c r="I713" i="8"/>
  <c r="K713" i="8" s="1"/>
  <c r="H714" i="8"/>
  <c r="N714" i="8"/>
  <c r="M714" i="8"/>
  <c r="I717" i="8"/>
  <c r="K717" i="8" s="1"/>
  <c r="H718" i="8"/>
  <c r="N718" i="8"/>
  <c r="M718" i="8"/>
  <c r="I721" i="8"/>
  <c r="K721" i="8" s="1"/>
  <c r="H722" i="8"/>
  <c r="N722" i="8"/>
  <c r="M722" i="8"/>
  <c r="I725" i="8"/>
  <c r="K725" i="8" s="1"/>
  <c r="H726" i="8"/>
  <c r="N726" i="8"/>
  <c r="M726" i="8"/>
  <c r="I729" i="8"/>
  <c r="K729" i="8" s="1"/>
  <c r="H730" i="8"/>
  <c r="N730" i="8"/>
  <c r="M730" i="8"/>
  <c r="I733" i="8"/>
  <c r="K733" i="8" s="1"/>
  <c r="H734" i="8"/>
  <c r="N734" i="8"/>
  <c r="M734" i="8"/>
  <c r="I737" i="8"/>
  <c r="K737" i="8" s="1"/>
  <c r="H738" i="8"/>
  <c r="N738" i="8"/>
  <c r="M738" i="8"/>
  <c r="I741" i="8"/>
  <c r="K741" i="8" s="1"/>
  <c r="H742" i="8"/>
  <c r="N742" i="8"/>
  <c r="M742" i="8"/>
  <c r="I745" i="8"/>
  <c r="K745" i="8" s="1"/>
  <c r="H746" i="8"/>
  <c r="N746" i="8"/>
  <c r="M746" i="8"/>
  <c r="I749" i="8"/>
  <c r="K749" i="8" s="1"/>
  <c r="H750" i="8"/>
  <c r="N750" i="8"/>
  <c r="M750" i="8"/>
  <c r="I753" i="8"/>
  <c r="K753" i="8" s="1"/>
  <c r="H754" i="8"/>
  <c r="N754" i="8"/>
  <c r="M754" i="8"/>
  <c r="I757" i="8"/>
  <c r="K757" i="8" s="1"/>
  <c r="H758" i="8"/>
  <c r="N758" i="8"/>
  <c r="M758" i="8"/>
  <c r="I761" i="8"/>
  <c r="K761" i="8" s="1"/>
  <c r="H762" i="8"/>
  <c r="N762" i="8"/>
  <c r="M762" i="8"/>
  <c r="I765" i="8"/>
  <c r="K765" i="8" s="1"/>
  <c r="H766" i="8"/>
  <c r="N766" i="8"/>
  <c r="M766" i="8"/>
  <c r="I769" i="8"/>
  <c r="K769" i="8" s="1"/>
  <c r="H770" i="8"/>
  <c r="N770" i="8"/>
  <c r="M770" i="8"/>
  <c r="I773" i="8"/>
  <c r="K773" i="8" s="1"/>
  <c r="H774" i="8"/>
  <c r="N774" i="8"/>
  <c r="M774" i="8"/>
  <c r="I777" i="8"/>
  <c r="K777" i="8" s="1"/>
  <c r="H778" i="8"/>
  <c r="N778" i="8"/>
  <c r="M778" i="8"/>
  <c r="I781" i="8"/>
  <c r="K781" i="8" s="1"/>
  <c r="H782" i="8"/>
  <c r="N782" i="8"/>
  <c r="M782" i="8"/>
  <c r="I785" i="8"/>
  <c r="K785" i="8" s="1"/>
  <c r="H786" i="8"/>
  <c r="N786" i="8"/>
  <c r="M786" i="8"/>
  <c r="I789" i="8"/>
  <c r="K789" i="8" s="1"/>
  <c r="H790" i="8"/>
  <c r="N790" i="8"/>
  <c r="M790" i="8"/>
  <c r="I793" i="8"/>
  <c r="K793" i="8" s="1"/>
  <c r="H794" i="8"/>
  <c r="N794" i="8"/>
  <c r="M794" i="8"/>
  <c r="I797" i="8"/>
  <c r="K797" i="8" s="1"/>
  <c r="H798" i="8"/>
  <c r="N798" i="8"/>
  <c r="M798" i="8"/>
  <c r="I801" i="8"/>
  <c r="K801" i="8" s="1"/>
  <c r="H802" i="8"/>
  <c r="N802" i="8"/>
  <c r="M802" i="8"/>
  <c r="I805" i="8"/>
  <c r="K805" i="8" s="1"/>
  <c r="H806" i="8"/>
  <c r="N806" i="8"/>
  <c r="M806" i="8"/>
  <c r="I809" i="8"/>
  <c r="K809" i="8" s="1"/>
  <c r="H810" i="8"/>
  <c r="N810" i="8"/>
  <c r="M810" i="8"/>
  <c r="I813" i="8"/>
  <c r="K813" i="8" s="1"/>
  <c r="H814" i="8"/>
  <c r="N814" i="8"/>
  <c r="M814" i="8"/>
  <c r="I817" i="8"/>
  <c r="K817" i="8" s="1"/>
  <c r="H818" i="8"/>
  <c r="N818" i="8"/>
  <c r="M818" i="8"/>
  <c r="I821" i="8"/>
  <c r="K821" i="8" s="1"/>
  <c r="H822" i="8"/>
  <c r="N822" i="8"/>
  <c r="M822" i="8"/>
  <c r="I825" i="8"/>
  <c r="K825" i="8" s="1"/>
  <c r="H826" i="8"/>
  <c r="N826" i="8"/>
  <c r="M826" i="8"/>
  <c r="I829" i="8"/>
  <c r="K829" i="8" s="1"/>
  <c r="H830" i="8"/>
  <c r="N830" i="8"/>
  <c r="M830" i="8"/>
  <c r="I833" i="8"/>
  <c r="K833" i="8" s="1"/>
  <c r="H834" i="8"/>
  <c r="N834" i="8"/>
  <c r="M834" i="8"/>
  <c r="I837" i="8"/>
  <c r="K837" i="8" s="1"/>
  <c r="H838" i="8"/>
  <c r="N838" i="8"/>
  <c r="M838" i="8"/>
  <c r="I841" i="8"/>
  <c r="K841" i="8" s="1"/>
  <c r="H842" i="8"/>
  <c r="N842" i="8"/>
  <c r="M842" i="8"/>
  <c r="I845" i="8"/>
  <c r="K845" i="8" s="1"/>
  <c r="H846" i="8"/>
  <c r="N846" i="8"/>
  <c r="M846" i="8"/>
  <c r="I849" i="8"/>
  <c r="K849" i="8" s="1"/>
  <c r="H850" i="8"/>
  <c r="N850" i="8"/>
  <c r="M850" i="8"/>
  <c r="I853" i="8"/>
  <c r="K853" i="8" s="1"/>
  <c r="H854" i="8"/>
  <c r="N854" i="8"/>
  <c r="M854" i="8"/>
  <c r="I857" i="8"/>
  <c r="K857" i="8" s="1"/>
  <c r="H858" i="8"/>
  <c r="N858" i="8"/>
  <c r="M858" i="8"/>
  <c r="I861" i="8"/>
  <c r="K861" i="8" s="1"/>
  <c r="H862" i="8"/>
  <c r="N862" i="8"/>
  <c r="M862" i="8"/>
  <c r="I865" i="8"/>
  <c r="K865" i="8" s="1"/>
  <c r="H866" i="8"/>
  <c r="N866" i="8"/>
  <c r="M866" i="8"/>
  <c r="I869" i="8"/>
  <c r="K869" i="8" s="1"/>
  <c r="H870" i="8"/>
  <c r="N870" i="8"/>
  <c r="M870" i="8"/>
  <c r="I873" i="8"/>
  <c r="K873" i="8" s="1"/>
  <c r="H874" i="8"/>
  <c r="N874" i="8"/>
  <c r="M874" i="8"/>
  <c r="I877" i="8"/>
  <c r="K877" i="8" s="1"/>
  <c r="H878" i="8"/>
  <c r="N878" i="8"/>
  <c r="M878" i="8"/>
  <c r="I881" i="8"/>
  <c r="K881" i="8" s="1"/>
  <c r="H882" i="8"/>
  <c r="N882" i="8"/>
  <c r="M882" i="8"/>
  <c r="I885" i="8"/>
  <c r="K885" i="8" s="1"/>
  <c r="H886" i="8"/>
  <c r="N886" i="8"/>
  <c r="M886" i="8"/>
  <c r="I889" i="8"/>
  <c r="K889" i="8" s="1"/>
  <c r="H890" i="8"/>
  <c r="N890" i="8"/>
  <c r="M890" i="8"/>
  <c r="I893" i="8"/>
  <c r="K893" i="8" s="1"/>
  <c r="H894" i="8"/>
  <c r="N894" i="8"/>
  <c r="M894" i="8"/>
  <c r="I897" i="8"/>
  <c r="K897" i="8" s="1"/>
  <c r="H898" i="8"/>
  <c r="N898" i="8"/>
  <c r="M898" i="8"/>
  <c r="I901" i="8"/>
  <c r="K901" i="8" s="1"/>
  <c r="H902" i="8"/>
  <c r="N902" i="8"/>
  <c r="M902" i="8"/>
  <c r="I905" i="8"/>
  <c r="K905" i="8" s="1"/>
  <c r="H906" i="8"/>
  <c r="N906" i="8"/>
  <c r="M906" i="8"/>
  <c r="I909" i="8"/>
  <c r="K909" i="8" s="1"/>
  <c r="I910" i="8"/>
  <c r="K910" i="8" s="1"/>
  <c r="I917" i="8"/>
  <c r="K917" i="8" s="1"/>
  <c r="I918" i="8"/>
  <c r="K918" i="8" s="1"/>
  <c r="I925" i="8"/>
  <c r="K925" i="8" s="1"/>
  <c r="I926" i="8"/>
  <c r="K926" i="8" s="1"/>
  <c r="I933" i="8"/>
  <c r="K933" i="8" s="1"/>
  <c r="I934" i="8"/>
  <c r="K934" i="8" s="1"/>
  <c r="I941" i="8"/>
  <c r="K941" i="8" s="1"/>
  <c r="I942" i="8"/>
  <c r="K942" i="8" s="1"/>
  <c r="I989" i="8"/>
  <c r="K989" i="8" s="1"/>
  <c r="I993" i="8"/>
  <c r="K993" i="8" s="1"/>
  <c r="I997" i="8"/>
  <c r="K997" i="8" s="1"/>
  <c r="H1001" i="8"/>
  <c r="N1001" i="8"/>
  <c r="M1001" i="8"/>
  <c r="H8" i="8"/>
  <c r="L8" i="8" s="1"/>
  <c r="N8" i="8"/>
  <c r="M8" i="8"/>
  <c r="H16" i="8"/>
  <c r="L16" i="8" s="1"/>
  <c r="N16" i="8"/>
  <c r="M16" i="8"/>
  <c r="H24" i="8"/>
  <c r="L24" i="8" s="1"/>
  <c r="N24" i="8"/>
  <c r="M24" i="8"/>
  <c r="H39" i="8"/>
  <c r="L39" i="8" s="1"/>
  <c r="N39" i="8"/>
  <c r="I40" i="8"/>
  <c r="K40" i="8" s="1"/>
  <c r="L40" i="8" s="1"/>
  <c r="H63" i="8"/>
  <c r="L63" i="8" s="1"/>
  <c r="N63" i="8"/>
  <c r="I64" i="8"/>
  <c r="K64" i="8" s="1"/>
  <c r="L64" i="8" s="1"/>
  <c r="I68" i="8"/>
  <c r="K68" i="8" s="1"/>
  <c r="L68" i="8" s="1"/>
  <c r="H79" i="8"/>
  <c r="L79" i="8" s="1"/>
  <c r="N79" i="8"/>
  <c r="I80" i="8"/>
  <c r="K80" i="8" s="1"/>
  <c r="L80" i="8" s="1"/>
  <c r="H95" i="8"/>
  <c r="L95" i="8" s="1"/>
  <c r="N95" i="8"/>
  <c r="I96" i="8"/>
  <c r="K96" i="8" s="1"/>
  <c r="H111" i="8"/>
  <c r="L111" i="8" s="1"/>
  <c r="N111" i="8"/>
  <c r="I112" i="8"/>
  <c r="K112" i="8" s="1"/>
  <c r="L112" i="8" s="1"/>
  <c r="H127" i="8"/>
  <c r="L127" i="8" s="1"/>
  <c r="N127" i="8"/>
  <c r="I128" i="8"/>
  <c r="K128" i="8" s="1"/>
  <c r="L128" i="8" s="1"/>
  <c r="H143" i="8"/>
  <c r="L143" i="8" s="1"/>
  <c r="N143" i="8"/>
  <c r="I144" i="8"/>
  <c r="K144" i="8" s="1"/>
  <c r="L144" i="8" s="1"/>
  <c r="H147" i="8"/>
  <c r="L147" i="8" s="1"/>
  <c r="N147" i="8"/>
  <c r="H159" i="8"/>
  <c r="L159" i="8" s="1"/>
  <c r="N159" i="8"/>
  <c r="I160" i="8"/>
  <c r="K160" i="8" s="1"/>
  <c r="L160" i="8" s="1"/>
  <c r="H171" i="8"/>
  <c r="L171" i="8" s="1"/>
  <c r="N171" i="8"/>
  <c r="I172" i="8"/>
  <c r="K172" i="8" s="1"/>
  <c r="H179" i="8"/>
  <c r="L179" i="8" s="1"/>
  <c r="N179" i="8"/>
  <c r="I180" i="8"/>
  <c r="K180" i="8" s="1"/>
  <c r="L180" i="8" s="1"/>
  <c r="H187" i="8"/>
  <c r="L187" i="8" s="1"/>
  <c r="N187" i="8"/>
  <c r="I188" i="8"/>
  <c r="K188" i="8" s="1"/>
  <c r="L188" i="8" s="1"/>
  <c r="H195" i="8"/>
  <c r="L195" i="8" s="1"/>
  <c r="N195" i="8"/>
  <c r="I196" i="8"/>
  <c r="K196" i="8" s="1"/>
  <c r="L196" i="8" s="1"/>
  <c r="H207" i="8"/>
  <c r="L207" i="8" s="1"/>
  <c r="N207" i="8"/>
  <c r="I208" i="8"/>
  <c r="K208" i="8" s="1"/>
  <c r="L208" i="8" s="1"/>
  <c r="H219" i="8"/>
  <c r="L219" i="8" s="1"/>
  <c r="N219" i="8"/>
  <c r="I220" i="8"/>
  <c r="K220" i="8" s="1"/>
  <c r="L220" i="8" s="1"/>
  <c r="H231" i="8"/>
  <c r="L231" i="8" s="1"/>
  <c r="N231" i="8"/>
  <c r="I232" i="8"/>
  <c r="K232" i="8" s="1"/>
  <c r="L232" i="8" s="1"/>
  <c r="H239" i="8"/>
  <c r="L239" i="8" s="1"/>
  <c r="N239" i="8"/>
  <c r="I240" i="8"/>
  <c r="K240" i="8" s="1"/>
  <c r="L240" i="8" s="1"/>
  <c r="H251" i="8"/>
  <c r="L251" i="8" s="1"/>
  <c r="N251" i="8"/>
  <c r="I252" i="8"/>
  <c r="K252" i="8" s="1"/>
  <c r="L252" i="8" s="1"/>
  <c r="H259" i="8"/>
  <c r="L259" i="8" s="1"/>
  <c r="N259" i="8"/>
  <c r="I260" i="8"/>
  <c r="K260" i="8" s="1"/>
  <c r="L260" i="8" s="1"/>
  <c r="H267" i="8"/>
  <c r="L267" i="8" s="1"/>
  <c r="N267" i="8"/>
  <c r="I268" i="8"/>
  <c r="K268" i="8" s="1"/>
  <c r="L268" i="8" s="1"/>
  <c r="H271" i="8"/>
  <c r="L271" i="8" s="1"/>
  <c r="N271" i="8"/>
  <c r="I272" i="8"/>
  <c r="K272" i="8" s="1"/>
  <c r="L272" i="8" s="1"/>
  <c r="H279" i="8"/>
  <c r="L279" i="8" s="1"/>
  <c r="N279" i="8"/>
  <c r="I280" i="8"/>
  <c r="K280" i="8" s="1"/>
  <c r="L280" i="8" s="1"/>
  <c r="H287" i="8"/>
  <c r="L287" i="8" s="1"/>
  <c r="N287" i="8"/>
  <c r="I288" i="8"/>
  <c r="K288" i="8" s="1"/>
  <c r="H299" i="8"/>
  <c r="L299" i="8" s="1"/>
  <c r="N299" i="8"/>
  <c r="I300" i="8"/>
  <c r="K300" i="8" s="1"/>
  <c r="L300" i="8" s="1"/>
  <c r="H307" i="8"/>
  <c r="L307" i="8" s="1"/>
  <c r="N307" i="8"/>
  <c r="I308" i="8"/>
  <c r="K308" i="8" s="1"/>
  <c r="L308" i="8" s="1"/>
  <c r="H315" i="8"/>
  <c r="L315" i="8" s="1"/>
  <c r="N315" i="8"/>
  <c r="I316" i="8"/>
  <c r="K316" i="8" s="1"/>
  <c r="L316" i="8" s="1"/>
  <c r="H327" i="8"/>
  <c r="L327" i="8" s="1"/>
  <c r="N327" i="8"/>
  <c r="I328" i="8"/>
  <c r="K328" i="8" s="1"/>
  <c r="H339" i="8"/>
  <c r="L339" i="8" s="1"/>
  <c r="N339" i="8"/>
  <c r="I340" i="8"/>
  <c r="K340" i="8" s="1"/>
  <c r="L340" i="8" s="1"/>
  <c r="H347" i="8"/>
  <c r="L347" i="8" s="1"/>
  <c r="N347" i="8"/>
  <c r="I348" i="8"/>
  <c r="K348" i="8" s="1"/>
  <c r="L348" i="8" s="1"/>
  <c r="H359" i="8"/>
  <c r="L359" i="8" s="1"/>
  <c r="N359" i="8"/>
  <c r="I360" i="8"/>
  <c r="K360" i="8" s="1"/>
  <c r="L360" i="8" s="1"/>
  <c r="H367" i="8"/>
  <c r="L367" i="8" s="1"/>
  <c r="N367" i="8"/>
  <c r="I368" i="8"/>
  <c r="K368" i="8" s="1"/>
  <c r="L368" i="8" s="1"/>
  <c r="H375" i="8"/>
  <c r="L375" i="8" s="1"/>
  <c r="N375" i="8"/>
  <c r="I376" i="8"/>
  <c r="K376" i="8" s="1"/>
  <c r="L376" i="8" s="1"/>
  <c r="H387" i="8"/>
  <c r="L387" i="8" s="1"/>
  <c r="N387" i="8"/>
  <c r="I388" i="8"/>
  <c r="K388" i="8" s="1"/>
  <c r="L388" i="8" s="1"/>
  <c r="H395" i="8"/>
  <c r="L395" i="8" s="1"/>
  <c r="N395" i="8"/>
  <c r="I396" i="8"/>
  <c r="K396" i="8" s="1"/>
  <c r="L396" i="8" s="1"/>
  <c r="H403" i="8"/>
  <c r="L403" i="8" s="1"/>
  <c r="N403" i="8"/>
  <c r="I404" i="8"/>
  <c r="K404" i="8" s="1"/>
  <c r="H415" i="8"/>
  <c r="L415" i="8" s="1"/>
  <c r="N415" i="8"/>
  <c r="I416" i="8"/>
  <c r="K416" i="8" s="1"/>
  <c r="L416" i="8" s="1"/>
  <c r="H423" i="8"/>
  <c r="L423" i="8" s="1"/>
  <c r="N423" i="8"/>
  <c r="I424" i="8"/>
  <c r="K424" i="8" s="1"/>
  <c r="L424" i="8" s="1"/>
  <c r="H431" i="8"/>
  <c r="L431" i="8" s="1"/>
  <c r="N431" i="8"/>
  <c r="I432" i="8"/>
  <c r="K432" i="8" s="1"/>
  <c r="L432" i="8" s="1"/>
  <c r="H443" i="8"/>
  <c r="L443" i="8" s="1"/>
  <c r="N443" i="8"/>
  <c r="I444" i="8"/>
  <c r="K444" i="8" s="1"/>
  <c r="L444" i="8" s="1"/>
  <c r="I453" i="8"/>
  <c r="K453" i="8" s="1"/>
  <c r="I469" i="8"/>
  <c r="K469" i="8" s="1"/>
  <c r="L469" i="8" s="1"/>
  <c r="H478" i="8"/>
  <c r="L478" i="8" s="1"/>
  <c r="N478" i="8"/>
  <c r="M478" i="8"/>
  <c r="H480" i="8"/>
  <c r="N480" i="8"/>
  <c r="H483" i="8"/>
  <c r="N483" i="8"/>
  <c r="H494" i="8"/>
  <c r="L494" i="8" s="1"/>
  <c r="N494" i="8"/>
  <c r="M494" i="8"/>
  <c r="H496" i="8"/>
  <c r="N496" i="8"/>
  <c r="H499" i="8"/>
  <c r="N499" i="8"/>
  <c r="H510" i="8"/>
  <c r="L510" i="8" s="1"/>
  <c r="N510" i="8"/>
  <c r="M510" i="8"/>
  <c r="H512" i="8"/>
  <c r="N512" i="8"/>
  <c r="H515" i="8"/>
  <c r="N515" i="8"/>
  <c r="H526" i="8"/>
  <c r="N526" i="8"/>
  <c r="M526" i="8"/>
  <c r="H528" i="8"/>
  <c r="N528" i="8"/>
  <c r="I535" i="8"/>
  <c r="K535" i="8" s="1"/>
  <c r="L535" i="8" s="1"/>
  <c r="H537" i="8"/>
  <c r="L537" i="8" s="1"/>
  <c r="N537" i="8"/>
  <c r="I538" i="8"/>
  <c r="K538" i="8" s="1"/>
  <c r="L538" i="8" s="1"/>
  <c r="I540" i="8"/>
  <c r="K540" i="8" s="1"/>
  <c r="I551" i="8"/>
  <c r="K551" i="8" s="1"/>
  <c r="L551" i="8" s="1"/>
  <c r="H553" i="8"/>
  <c r="L553" i="8" s="1"/>
  <c r="N553" i="8"/>
  <c r="I554" i="8"/>
  <c r="K554" i="8" s="1"/>
  <c r="L554" i="8" s="1"/>
  <c r="I556" i="8"/>
  <c r="K556" i="8" s="1"/>
  <c r="I565" i="8"/>
  <c r="K565" i="8" s="1"/>
  <c r="L565" i="8" s="1"/>
  <c r="H574" i="8"/>
  <c r="N574" i="8"/>
  <c r="M574" i="8"/>
  <c r="H576" i="8"/>
  <c r="N576" i="8"/>
  <c r="H579" i="8"/>
  <c r="N579" i="8"/>
  <c r="I583" i="8"/>
  <c r="K583" i="8" s="1"/>
  <c r="H585" i="8"/>
  <c r="N585" i="8"/>
  <c r="H588" i="8"/>
  <c r="N588" i="8"/>
  <c r="M588" i="8"/>
  <c r="I590" i="8"/>
  <c r="K590" i="8" s="1"/>
  <c r="H593" i="8"/>
  <c r="N593" i="8"/>
  <c r="H596" i="8"/>
  <c r="N596" i="8"/>
  <c r="M596" i="8"/>
  <c r="H609" i="8"/>
  <c r="N609" i="8"/>
  <c r="H612" i="8"/>
  <c r="N612" i="8"/>
  <c r="M612" i="8"/>
  <c r="I623" i="8"/>
  <c r="K623" i="8" s="1"/>
  <c r="H625" i="8"/>
  <c r="N625" i="8"/>
  <c r="H628" i="8"/>
  <c r="N628" i="8"/>
  <c r="M628" i="8"/>
  <c r="I630" i="8"/>
  <c r="K630" i="8" s="1"/>
  <c r="I631" i="8"/>
  <c r="K631" i="8" s="1"/>
  <c r="L631" i="8" s="1"/>
  <c r="H636" i="8"/>
  <c r="N636" i="8"/>
  <c r="M636" i="8"/>
  <c r="I639" i="8"/>
  <c r="K639" i="8" s="1"/>
  <c r="L639" i="8" s="1"/>
  <c r="H641" i="8"/>
  <c r="N641" i="8"/>
  <c r="H644" i="8"/>
  <c r="N644" i="8"/>
  <c r="M644" i="8"/>
  <c r="I646" i="8"/>
  <c r="K646" i="8" s="1"/>
  <c r="I654" i="8"/>
  <c r="K654" i="8" s="1"/>
  <c r="H665" i="8"/>
  <c r="N665" i="8"/>
  <c r="I670" i="8"/>
  <c r="K670" i="8" s="1"/>
  <c r="H681" i="8"/>
  <c r="N681" i="8"/>
  <c r="I712" i="8"/>
  <c r="K712" i="8" s="1"/>
  <c r="I716" i="8"/>
  <c r="K716" i="8" s="1"/>
  <c r="I744" i="8"/>
  <c r="K744" i="8" s="1"/>
  <c r="I748" i="8"/>
  <c r="K748" i="8" s="1"/>
  <c r="I824" i="8"/>
  <c r="K824" i="8" s="1"/>
  <c r="I828" i="8"/>
  <c r="K828" i="8" s="1"/>
  <c r="I860" i="8"/>
  <c r="K860" i="8" s="1"/>
  <c r="I864" i="8"/>
  <c r="K864" i="8" s="1"/>
  <c r="I892" i="8"/>
  <c r="K892" i="8" s="1"/>
  <c r="I896" i="8"/>
  <c r="K896" i="8" s="1"/>
  <c r="I916" i="8"/>
  <c r="K916" i="8" s="1"/>
  <c r="H923" i="8"/>
  <c r="N923" i="8"/>
  <c r="M923" i="8"/>
  <c r="I932" i="8"/>
  <c r="K932" i="8" s="1"/>
  <c r="I948" i="8"/>
  <c r="K948" i="8" s="1"/>
  <c r="I1005" i="8"/>
  <c r="K1005" i="8" s="1"/>
  <c r="I1013" i="8"/>
  <c r="K1013" i="8" s="1"/>
  <c r="I1021" i="8"/>
  <c r="K1021" i="8" s="1"/>
  <c r="H30" i="8"/>
  <c r="L30" i="8" s="1"/>
  <c r="N30" i="8"/>
  <c r="H3" i="8"/>
  <c r="L3" i="8" s="1"/>
  <c r="N3" i="8"/>
  <c r="M3" i="8"/>
  <c r="H7" i="8"/>
  <c r="L7" i="8" s="1"/>
  <c r="M7" i="8"/>
  <c r="N7" i="8"/>
  <c r="H11" i="8"/>
  <c r="L11" i="8" s="1"/>
  <c r="M11" i="8"/>
  <c r="N11" i="8"/>
  <c r="H15" i="8"/>
  <c r="L15" i="8" s="1"/>
  <c r="M15" i="8"/>
  <c r="N15" i="8"/>
  <c r="H19" i="8"/>
  <c r="L19" i="8" s="1"/>
  <c r="M19" i="8"/>
  <c r="N19" i="8"/>
  <c r="G23" i="8"/>
  <c r="G25" i="8"/>
  <c r="G29" i="8"/>
  <c r="G33" i="8"/>
  <c r="G37" i="8"/>
  <c r="G41" i="8"/>
  <c r="G45" i="8"/>
  <c r="G49" i="8"/>
  <c r="G53" i="8"/>
  <c r="G57" i="8"/>
  <c r="G61" i="8"/>
  <c r="G65" i="8"/>
  <c r="G69" i="8"/>
  <c r="G73" i="8"/>
  <c r="G77" i="8"/>
  <c r="G81" i="8"/>
  <c r="G85" i="8"/>
  <c r="G89" i="8"/>
  <c r="G93" i="8"/>
  <c r="G97" i="8"/>
  <c r="G101" i="8"/>
  <c r="G105" i="8"/>
  <c r="G109" i="8"/>
  <c r="G113" i="8"/>
  <c r="G117" i="8"/>
  <c r="G121" i="8"/>
  <c r="G125" i="8"/>
  <c r="G129" i="8"/>
  <c r="G133" i="8"/>
  <c r="G137" i="8"/>
  <c r="G141" i="8"/>
  <c r="G145" i="8"/>
  <c r="G149" i="8"/>
  <c r="G153" i="8"/>
  <c r="G157" i="8"/>
  <c r="G161" i="8"/>
  <c r="G165" i="8"/>
  <c r="G169" i="8"/>
  <c r="G173" i="8"/>
  <c r="G177" i="8"/>
  <c r="G181" i="8"/>
  <c r="G185" i="8"/>
  <c r="G189" i="8"/>
  <c r="G193" i="8"/>
  <c r="G197" i="8"/>
  <c r="G201" i="8"/>
  <c r="G205" i="8"/>
  <c r="G209" i="8"/>
  <c r="G213" i="8"/>
  <c r="G217" i="8"/>
  <c r="G221" i="8"/>
  <c r="G225" i="8"/>
  <c r="G229" i="8"/>
  <c r="G233" i="8"/>
  <c r="G237" i="8"/>
  <c r="G241" i="8"/>
  <c r="G245" i="8"/>
  <c r="G249" i="8"/>
  <c r="G253" i="8"/>
  <c r="G257" i="8"/>
  <c r="G261" i="8"/>
  <c r="G265" i="8"/>
  <c r="G269" i="8"/>
  <c r="G273" i="8"/>
  <c r="G277" i="8"/>
  <c r="G281" i="8"/>
  <c r="G285" i="8"/>
  <c r="G289" i="8"/>
  <c r="G293" i="8"/>
  <c r="G297" i="8"/>
  <c r="G301" i="8"/>
  <c r="G305" i="8"/>
  <c r="G309" i="8"/>
  <c r="G313" i="8"/>
  <c r="G317" i="8"/>
  <c r="G321" i="8"/>
  <c r="G325" i="8"/>
  <c r="G329" i="8"/>
  <c r="G333" i="8"/>
  <c r="G337" i="8"/>
  <c r="G341" i="8"/>
  <c r="G345" i="8"/>
  <c r="G349" i="8"/>
  <c r="G353" i="8"/>
  <c r="G357" i="8"/>
  <c r="G361" i="8"/>
  <c r="G365" i="8"/>
  <c r="G369" i="8"/>
  <c r="G373" i="8"/>
  <c r="G377" i="8"/>
  <c r="G381" i="8"/>
  <c r="G385" i="8"/>
  <c r="G389" i="8"/>
  <c r="G393" i="8"/>
  <c r="G397" i="8"/>
  <c r="G401" i="8"/>
  <c r="G405" i="8"/>
  <c r="G409" i="8"/>
  <c r="G413" i="8"/>
  <c r="G417" i="8"/>
  <c r="G421" i="8"/>
  <c r="G425" i="8"/>
  <c r="G429" i="8"/>
  <c r="G433" i="8"/>
  <c r="G437" i="8"/>
  <c r="G441" i="8"/>
  <c r="G445" i="8"/>
  <c r="G449" i="8"/>
  <c r="I452" i="8"/>
  <c r="K452" i="8" s="1"/>
  <c r="G454" i="8"/>
  <c r="M455" i="8"/>
  <c r="H456" i="8"/>
  <c r="N456" i="8"/>
  <c r="H459" i="8"/>
  <c r="N459" i="8"/>
  <c r="I463" i="8"/>
  <c r="K463" i="8" s="1"/>
  <c r="M464" i="8"/>
  <c r="G465" i="8"/>
  <c r="I468" i="8"/>
  <c r="K468" i="8" s="1"/>
  <c r="L468" i="8" s="1"/>
  <c r="G470" i="8"/>
  <c r="M471" i="8"/>
  <c r="H472" i="8"/>
  <c r="N472" i="8"/>
  <c r="H475" i="8"/>
  <c r="N475" i="8"/>
  <c r="I479" i="8"/>
  <c r="K479" i="8" s="1"/>
  <c r="M480" i="8"/>
  <c r="G481" i="8"/>
  <c r="I484" i="8"/>
  <c r="K484" i="8" s="1"/>
  <c r="L484" i="8" s="1"/>
  <c r="G486" i="8"/>
  <c r="M487" i="8"/>
  <c r="H488" i="8"/>
  <c r="N488" i="8"/>
  <c r="H491" i="8"/>
  <c r="N491" i="8"/>
  <c r="I495" i="8"/>
  <c r="K495" i="8" s="1"/>
  <c r="M496" i="8"/>
  <c r="G497" i="8"/>
  <c r="I500" i="8"/>
  <c r="K500" i="8" s="1"/>
  <c r="L500" i="8" s="1"/>
  <c r="G502" i="8"/>
  <c r="M503" i="8"/>
  <c r="H504" i="8"/>
  <c r="N504" i="8"/>
  <c r="H507" i="8"/>
  <c r="N507" i="8"/>
  <c r="I511" i="8"/>
  <c r="K511" i="8" s="1"/>
  <c r="M512" i="8"/>
  <c r="G513" i="8"/>
  <c r="I516" i="8"/>
  <c r="K516" i="8" s="1"/>
  <c r="G518" i="8"/>
  <c r="M519" i="8"/>
  <c r="H520" i="8"/>
  <c r="N520" i="8"/>
  <c r="H523" i="8"/>
  <c r="N523" i="8"/>
  <c r="I527" i="8"/>
  <c r="K527" i="8" s="1"/>
  <c r="M528" i="8"/>
  <c r="G529" i="8"/>
  <c r="I532" i="8"/>
  <c r="K532" i="8" s="1"/>
  <c r="L532" i="8" s="1"/>
  <c r="G534" i="8"/>
  <c r="M535" i="8"/>
  <c r="H536" i="8"/>
  <c r="N536" i="8"/>
  <c r="H539" i="8"/>
  <c r="N539" i="8"/>
  <c r="I543" i="8"/>
  <c r="K543" i="8" s="1"/>
  <c r="G545" i="8"/>
  <c r="I548" i="8"/>
  <c r="K548" i="8" s="1"/>
  <c r="L548" i="8" s="1"/>
  <c r="G550" i="8"/>
  <c r="M551" i="8"/>
  <c r="H552" i="8"/>
  <c r="N552" i="8"/>
  <c r="H555" i="8"/>
  <c r="N555" i="8"/>
  <c r="I559" i="8"/>
  <c r="K559" i="8" s="1"/>
  <c r="G561" i="8"/>
  <c r="I564" i="8"/>
  <c r="K564" i="8" s="1"/>
  <c r="L564" i="8" s="1"/>
  <c r="G566" i="8"/>
  <c r="M567" i="8"/>
  <c r="H568" i="8"/>
  <c r="N568" i="8"/>
  <c r="H571" i="8"/>
  <c r="N571" i="8"/>
  <c r="I575" i="8"/>
  <c r="K575" i="8" s="1"/>
  <c r="M576" i="8"/>
  <c r="G577" i="8"/>
  <c r="I580" i="8"/>
  <c r="K580" i="8" s="1"/>
  <c r="L580" i="8" s="1"/>
  <c r="G582" i="8"/>
  <c r="M583" i="8"/>
  <c r="H584" i="8"/>
  <c r="N584" i="8"/>
  <c r="M584" i="8"/>
  <c r="I586" i="8"/>
  <c r="K586" i="8" s="1"/>
  <c r="L586" i="8" s="1"/>
  <c r="I587" i="8"/>
  <c r="K587" i="8" s="1"/>
  <c r="H589" i="8"/>
  <c r="N589" i="8"/>
  <c r="M591" i="8"/>
  <c r="H592" i="8"/>
  <c r="N592" i="8"/>
  <c r="M592" i="8"/>
  <c r="I594" i="8"/>
  <c r="K594" i="8" s="1"/>
  <c r="I595" i="8"/>
  <c r="K595" i="8" s="1"/>
  <c r="H597" i="8"/>
  <c r="N597" i="8"/>
  <c r="M599" i="8"/>
  <c r="H600" i="8"/>
  <c r="N600" i="8"/>
  <c r="M600" i="8"/>
  <c r="I602" i="8"/>
  <c r="K602" i="8" s="1"/>
  <c r="I603" i="8"/>
  <c r="K603" i="8" s="1"/>
  <c r="H605" i="8"/>
  <c r="N605" i="8"/>
  <c r="M607" i="8"/>
  <c r="H608" i="8"/>
  <c r="N608" i="8"/>
  <c r="M608" i="8"/>
  <c r="I610" i="8"/>
  <c r="K610" i="8" s="1"/>
  <c r="L610" i="8" s="1"/>
  <c r="I611" i="8"/>
  <c r="K611" i="8" s="1"/>
  <c r="H613" i="8"/>
  <c r="N613" i="8"/>
  <c r="M615" i="8"/>
  <c r="H616" i="8"/>
  <c r="N616" i="8"/>
  <c r="M616" i="8"/>
  <c r="I618" i="8"/>
  <c r="K618" i="8" s="1"/>
  <c r="L618" i="8" s="1"/>
  <c r="I619" i="8"/>
  <c r="K619" i="8" s="1"/>
  <c r="H621" i="8"/>
  <c r="N621" i="8"/>
  <c r="M623" i="8"/>
  <c r="H624" i="8"/>
  <c r="N624" i="8"/>
  <c r="M624" i="8"/>
  <c r="I626" i="8"/>
  <c r="K626" i="8" s="1"/>
  <c r="L626" i="8" s="1"/>
  <c r="I627" i="8"/>
  <c r="K627" i="8" s="1"/>
  <c r="H629" i="8"/>
  <c r="N629" i="8"/>
  <c r="M631" i="8"/>
  <c r="H632" i="8"/>
  <c r="N632" i="8"/>
  <c r="M632" i="8"/>
  <c r="I634" i="8"/>
  <c r="K634" i="8" s="1"/>
  <c r="I635" i="8"/>
  <c r="K635" i="8" s="1"/>
  <c r="H637" i="8"/>
  <c r="N637" i="8"/>
  <c r="M639" i="8"/>
  <c r="H640" i="8"/>
  <c r="N640" i="8"/>
  <c r="M640" i="8"/>
  <c r="I642" i="8"/>
  <c r="K642" i="8" s="1"/>
  <c r="L642" i="8" s="1"/>
  <c r="I643" i="8"/>
  <c r="K643" i="8" s="1"/>
  <c r="H645" i="8"/>
  <c r="N645" i="8"/>
  <c r="M647" i="8"/>
  <c r="H648" i="8"/>
  <c r="N648" i="8"/>
  <c r="M648" i="8"/>
  <c r="I650" i="8"/>
  <c r="K650" i="8" s="1"/>
  <c r="L650" i="8" s="1"/>
  <c r="I651" i="8"/>
  <c r="K651" i="8" s="1"/>
  <c r="H653" i="8"/>
  <c r="N653" i="8"/>
  <c r="M655" i="8"/>
  <c r="H656" i="8"/>
  <c r="N656" i="8"/>
  <c r="M656" i="8"/>
  <c r="I658" i="8"/>
  <c r="K658" i="8" s="1"/>
  <c r="L658" i="8" s="1"/>
  <c r="I659" i="8"/>
  <c r="K659" i="8" s="1"/>
  <c r="H661" i="8"/>
  <c r="N661" i="8"/>
  <c r="M663" i="8"/>
  <c r="H664" i="8"/>
  <c r="N664" i="8"/>
  <c r="M664" i="8"/>
  <c r="I666" i="8"/>
  <c r="K666" i="8" s="1"/>
  <c r="I667" i="8"/>
  <c r="K667" i="8" s="1"/>
  <c r="H669" i="8"/>
  <c r="N669" i="8"/>
  <c r="M671" i="8"/>
  <c r="H672" i="8"/>
  <c r="N672" i="8"/>
  <c r="M672" i="8"/>
  <c r="I674" i="8"/>
  <c r="K674" i="8" s="1"/>
  <c r="L674" i="8" s="1"/>
  <c r="I675" i="8"/>
  <c r="K675" i="8" s="1"/>
  <c r="H677" i="8"/>
  <c r="N677" i="8"/>
  <c r="M679" i="8"/>
  <c r="H680" i="8"/>
  <c r="N680" i="8"/>
  <c r="M680" i="8"/>
  <c r="I682" i="8"/>
  <c r="K682" i="8" s="1"/>
  <c r="L682" i="8" s="1"/>
  <c r="I683" i="8"/>
  <c r="K683" i="8" s="1"/>
  <c r="I686" i="8"/>
  <c r="K686" i="8" s="1"/>
  <c r="L686" i="8" s="1"/>
  <c r="I687" i="8"/>
  <c r="K687" i="8" s="1"/>
  <c r="I690" i="8"/>
  <c r="K690" i="8" s="1"/>
  <c r="L690" i="8" s="1"/>
  <c r="I691" i="8"/>
  <c r="K691" i="8" s="1"/>
  <c r="I694" i="8"/>
  <c r="K694" i="8" s="1"/>
  <c r="L694" i="8" s="1"/>
  <c r="I695" i="8"/>
  <c r="K695" i="8" s="1"/>
  <c r="I698" i="8"/>
  <c r="K698" i="8" s="1"/>
  <c r="L698" i="8" s="1"/>
  <c r="I699" i="8"/>
  <c r="K699" i="8" s="1"/>
  <c r="I702" i="8"/>
  <c r="K702" i="8" s="1"/>
  <c r="L702" i="8" s="1"/>
  <c r="I703" i="8"/>
  <c r="K703" i="8" s="1"/>
  <c r="I706" i="8"/>
  <c r="K706" i="8" s="1"/>
  <c r="L706" i="8" s="1"/>
  <c r="I707" i="8"/>
  <c r="K707" i="8" s="1"/>
  <c r="I710" i="8"/>
  <c r="K710" i="8" s="1"/>
  <c r="L710" i="8" s="1"/>
  <c r="I711" i="8"/>
  <c r="K711" i="8" s="1"/>
  <c r="I714" i="8"/>
  <c r="K714" i="8" s="1"/>
  <c r="L714" i="8" s="1"/>
  <c r="I715" i="8"/>
  <c r="K715" i="8" s="1"/>
  <c r="I718" i="8"/>
  <c r="K718" i="8" s="1"/>
  <c r="L718" i="8" s="1"/>
  <c r="I719" i="8"/>
  <c r="K719" i="8" s="1"/>
  <c r="I722" i="8"/>
  <c r="K722" i="8" s="1"/>
  <c r="L722" i="8" s="1"/>
  <c r="I723" i="8"/>
  <c r="K723" i="8" s="1"/>
  <c r="I726" i="8"/>
  <c r="K726" i="8" s="1"/>
  <c r="L726" i="8" s="1"/>
  <c r="I727" i="8"/>
  <c r="K727" i="8" s="1"/>
  <c r="I730" i="8"/>
  <c r="K730" i="8" s="1"/>
  <c r="L730" i="8" s="1"/>
  <c r="I731" i="8"/>
  <c r="K731" i="8" s="1"/>
  <c r="I734" i="8"/>
  <c r="K734" i="8" s="1"/>
  <c r="L734" i="8" s="1"/>
  <c r="I735" i="8"/>
  <c r="K735" i="8" s="1"/>
  <c r="I738" i="8"/>
  <c r="K738" i="8" s="1"/>
  <c r="L738" i="8" s="1"/>
  <c r="I739" i="8"/>
  <c r="K739" i="8" s="1"/>
  <c r="I742" i="8"/>
  <c r="K742" i="8" s="1"/>
  <c r="L742" i="8" s="1"/>
  <c r="I743" i="8"/>
  <c r="K743" i="8" s="1"/>
  <c r="I746" i="8"/>
  <c r="K746" i="8" s="1"/>
  <c r="L746" i="8" s="1"/>
  <c r="I747" i="8"/>
  <c r="K747" i="8" s="1"/>
  <c r="I750" i="8"/>
  <c r="K750" i="8" s="1"/>
  <c r="L750" i="8" s="1"/>
  <c r="I751" i="8"/>
  <c r="K751" i="8" s="1"/>
  <c r="I754" i="8"/>
  <c r="K754" i="8" s="1"/>
  <c r="L754" i="8" s="1"/>
  <c r="I755" i="8"/>
  <c r="K755" i="8" s="1"/>
  <c r="I758" i="8"/>
  <c r="K758" i="8" s="1"/>
  <c r="L758" i="8" s="1"/>
  <c r="I759" i="8"/>
  <c r="K759" i="8" s="1"/>
  <c r="I762" i="8"/>
  <c r="K762" i="8" s="1"/>
  <c r="L762" i="8" s="1"/>
  <c r="I763" i="8"/>
  <c r="K763" i="8" s="1"/>
  <c r="I766" i="8"/>
  <c r="K766" i="8" s="1"/>
  <c r="L766" i="8" s="1"/>
  <c r="I767" i="8"/>
  <c r="K767" i="8" s="1"/>
  <c r="I770" i="8"/>
  <c r="K770" i="8" s="1"/>
  <c r="L770" i="8" s="1"/>
  <c r="I771" i="8"/>
  <c r="K771" i="8" s="1"/>
  <c r="I774" i="8"/>
  <c r="K774" i="8" s="1"/>
  <c r="L774" i="8" s="1"/>
  <c r="I775" i="8"/>
  <c r="K775" i="8" s="1"/>
  <c r="I778" i="8"/>
  <c r="K778" i="8" s="1"/>
  <c r="L778" i="8" s="1"/>
  <c r="I779" i="8"/>
  <c r="K779" i="8" s="1"/>
  <c r="I782" i="8"/>
  <c r="K782" i="8" s="1"/>
  <c r="L782" i="8" s="1"/>
  <c r="I783" i="8"/>
  <c r="K783" i="8" s="1"/>
  <c r="I786" i="8"/>
  <c r="K786" i="8" s="1"/>
  <c r="L786" i="8" s="1"/>
  <c r="I787" i="8"/>
  <c r="K787" i="8" s="1"/>
  <c r="I790" i="8"/>
  <c r="K790" i="8" s="1"/>
  <c r="L790" i="8" s="1"/>
  <c r="I791" i="8"/>
  <c r="K791" i="8" s="1"/>
  <c r="I794" i="8"/>
  <c r="K794" i="8" s="1"/>
  <c r="L794" i="8" s="1"/>
  <c r="I795" i="8"/>
  <c r="K795" i="8" s="1"/>
  <c r="I798" i="8"/>
  <c r="K798" i="8" s="1"/>
  <c r="L798" i="8" s="1"/>
  <c r="I799" i="8"/>
  <c r="K799" i="8" s="1"/>
  <c r="I802" i="8"/>
  <c r="K802" i="8" s="1"/>
  <c r="L802" i="8" s="1"/>
  <c r="I803" i="8"/>
  <c r="K803" i="8" s="1"/>
  <c r="I806" i="8"/>
  <c r="K806" i="8" s="1"/>
  <c r="L806" i="8" s="1"/>
  <c r="I807" i="8"/>
  <c r="K807" i="8" s="1"/>
  <c r="I810" i="8"/>
  <c r="K810" i="8" s="1"/>
  <c r="L810" i="8" s="1"/>
  <c r="I811" i="8"/>
  <c r="K811" i="8" s="1"/>
  <c r="I814" i="8"/>
  <c r="K814" i="8" s="1"/>
  <c r="L814" i="8" s="1"/>
  <c r="I815" i="8"/>
  <c r="K815" i="8" s="1"/>
  <c r="I818" i="8"/>
  <c r="K818" i="8" s="1"/>
  <c r="L818" i="8" s="1"/>
  <c r="I819" i="8"/>
  <c r="K819" i="8" s="1"/>
  <c r="I822" i="8"/>
  <c r="K822" i="8" s="1"/>
  <c r="L822" i="8" s="1"/>
  <c r="I823" i="8"/>
  <c r="K823" i="8" s="1"/>
  <c r="I826" i="8"/>
  <c r="K826" i="8" s="1"/>
  <c r="L826" i="8" s="1"/>
  <c r="I827" i="8"/>
  <c r="K827" i="8" s="1"/>
  <c r="I830" i="8"/>
  <c r="K830" i="8" s="1"/>
  <c r="L830" i="8" s="1"/>
  <c r="I831" i="8"/>
  <c r="K831" i="8" s="1"/>
  <c r="I834" i="8"/>
  <c r="K834" i="8" s="1"/>
  <c r="L834" i="8" s="1"/>
  <c r="I835" i="8"/>
  <c r="K835" i="8" s="1"/>
  <c r="I838" i="8"/>
  <c r="K838" i="8" s="1"/>
  <c r="L838" i="8" s="1"/>
  <c r="I839" i="8"/>
  <c r="K839" i="8" s="1"/>
  <c r="I842" i="8"/>
  <c r="K842" i="8" s="1"/>
  <c r="L842" i="8" s="1"/>
  <c r="I843" i="8"/>
  <c r="K843" i="8" s="1"/>
  <c r="I846" i="8"/>
  <c r="K846" i="8" s="1"/>
  <c r="L846" i="8" s="1"/>
  <c r="I847" i="8"/>
  <c r="K847" i="8" s="1"/>
  <c r="I850" i="8"/>
  <c r="K850" i="8" s="1"/>
  <c r="L850" i="8" s="1"/>
  <c r="I851" i="8"/>
  <c r="K851" i="8" s="1"/>
  <c r="I854" i="8"/>
  <c r="K854" i="8" s="1"/>
  <c r="L854" i="8" s="1"/>
  <c r="I855" i="8"/>
  <c r="K855" i="8" s="1"/>
  <c r="I858" i="8"/>
  <c r="K858" i="8" s="1"/>
  <c r="L858" i="8" s="1"/>
  <c r="I859" i="8"/>
  <c r="K859" i="8" s="1"/>
  <c r="I862" i="8"/>
  <c r="K862" i="8" s="1"/>
  <c r="L862" i="8" s="1"/>
  <c r="I863" i="8"/>
  <c r="K863" i="8" s="1"/>
  <c r="I866" i="8"/>
  <c r="K866" i="8" s="1"/>
  <c r="L866" i="8" s="1"/>
  <c r="I867" i="8"/>
  <c r="K867" i="8" s="1"/>
  <c r="I870" i="8"/>
  <c r="K870" i="8" s="1"/>
  <c r="L870" i="8" s="1"/>
  <c r="I871" i="8"/>
  <c r="K871" i="8" s="1"/>
  <c r="I874" i="8"/>
  <c r="K874" i="8" s="1"/>
  <c r="L874" i="8" s="1"/>
  <c r="I875" i="8"/>
  <c r="K875" i="8" s="1"/>
  <c r="I878" i="8"/>
  <c r="K878" i="8" s="1"/>
  <c r="L878" i="8" s="1"/>
  <c r="I879" i="8"/>
  <c r="K879" i="8" s="1"/>
  <c r="I882" i="8"/>
  <c r="K882" i="8" s="1"/>
  <c r="L882" i="8" s="1"/>
  <c r="I883" i="8"/>
  <c r="K883" i="8" s="1"/>
  <c r="I886" i="8"/>
  <c r="K886" i="8" s="1"/>
  <c r="L886" i="8" s="1"/>
  <c r="I887" i="8"/>
  <c r="K887" i="8" s="1"/>
  <c r="I890" i="8"/>
  <c r="K890" i="8" s="1"/>
  <c r="L890" i="8" s="1"/>
  <c r="I891" i="8"/>
  <c r="K891" i="8" s="1"/>
  <c r="I894" i="8"/>
  <c r="K894" i="8" s="1"/>
  <c r="L894" i="8" s="1"/>
  <c r="I895" i="8"/>
  <c r="K895" i="8" s="1"/>
  <c r="I898" i="8"/>
  <c r="K898" i="8" s="1"/>
  <c r="L898" i="8" s="1"/>
  <c r="I899" i="8"/>
  <c r="K899" i="8" s="1"/>
  <c r="I902" i="8"/>
  <c r="K902" i="8" s="1"/>
  <c r="L902" i="8" s="1"/>
  <c r="I903" i="8"/>
  <c r="K903" i="8" s="1"/>
  <c r="I906" i="8"/>
  <c r="K906" i="8" s="1"/>
  <c r="L906" i="8" s="1"/>
  <c r="I907" i="8"/>
  <c r="K907" i="8" s="1"/>
  <c r="H911" i="8"/>
  <c r="N911" i="8"/>
  <c r="M911" i="8"/>
  <c r="I912" i="8"/>
  <c r="K912" i="8" s="1"/>
  <c r="H919" i="8"/>
  <c r="N919" i="8"/>
  <c r="M919" i="8"/>
  <c r="I920" i="8"/>
  <c r="K920" i="8" s="1"/>
  <c r="H927" i="8"/>
  <c r="N927" i="8"/>
  <c r="M927" i="8"/>
  <c r="I928" i="8"/>
  <c r="K928" i="8" s="1"/>
  <c r="H935" i="8"/>
  <c r="N935" i="8"/>
  <c r="M935" i="8"/>
  <c r="I936" i="8"/>
  <c r="K936" i="8" s="1"/>
  <c r="H943" i="8"/>
  <c r="N943" i="8"/>
  <c r="M943" i="8"/>
  <c r="I944" i="8"/>
  <c r="K944" i="8" s="1"/>
  <c r="I973" i="8"/>
  <c r="K973" i="8" s="1"/>
  <c r="I977" i="8"/>
  <c r="K977" i="8" s="1"/>
  <c r="I981" i="8"/>
  <c r="K981" i="8" s="1"/>
  <c r="H985" i="8"/>
  <c r="N985" i="8"/>
  <c r="M985" i="8"/>
  <c r="I1037" i="8"/>
  <c r="K1037" i="8" s="1"/>
  <c r="I1041" i="8"/>
  <c r="K1041" i="8" s="1"/>
  <c r="I1045" i="8"/>
  <c r="K1045" i="8" s="1"/>
  <c r="H1049" i="8"/>
  <c r="N1049" i="8"/>
  <c r="M1049" i="8"/>
  <c r="I2" i="8"/>
  <c r="K2" i="8" s="1"/>
  <c r="G2" i="8"/>
  <c r="I1046" i="8"/>
  <c r="K1046" i="8" s="1"/>
  <c r="I1030" i="8"/>
  <c r="K1030" i="8" s="1"/>
  <c r="I1014" i="8"/>
  <c r="K1014" i="8" s="1"/>
  <c r="I998" i="8"/>
  <c r="K998" i="8" s="1"/>
  <c r="I982" i="8"/>
  <c r="K982" i="8" s="1"/>
  <c r="I966" i="8"/>
  <c r="K966" i="8" s="1"/>
  <c r="I950" i="8"/>
  <c r="K950" i="8" s="1"/>
  <c r="I1038" i="8"/>
  <c r="K1038" i="8" s="1"/>
  <c r="I1022" i="8"/>
  <c r="K1022" i="8" s="1"/>
  <c r="I1006" i="8"/>
  <c r="K1006" i="8" s="1"/>
  <c r="I990" i="8"/>
  <c r="K990" i="8" s="1"/>
  <c r="I974" i="8"/>
  <c r="K974" i="8" s="1"/>
  <c r="I958" i="8"/>
  <c r="K958" i="8" s="1"/>
  <c r="H10" i="8"/>
  <c r="L10" i="8" s="1"/>
  <c r="N10" i="8"/>
  <c r="M10" i="8"/>
  <c r="H18" i="8"/>
  <c r="L18" i="8" s="1"/>
  <c r="N18" i="8"/>
  <c r="M18" i="8"/>
  <c r="H27" i="8"/>
  <c r="L27" i="8" s="1"/>
  <c r="N27" i="8"/>
  <c r="I28" i="8"/>
  <c r="K28" i="8" s="1"/>
  <c r="L28" i="8" s="1"/>
  <c r="H43" i="8"/>
  <c r="L43" i="8" s="1"/>
  <c r="N43" i="8"/>
  <c r="I44" i="8"/>
  <c r="K44" i="8" s="1"/>
  <c r="L44" i="8" s="1"/>
  <c r="H59" i="8"/>
  <c r="L59" i="8" s="1"/>
  <c r="N59" i="8"/>
  <c r="I60" i="8"/>
  <c r="K60" i="8" s="1"/>
  <c r="L60" i="8" s="1"/>
  <c r="H75" i="8"/>
  <c r="L75" i="8" s="1"/>
  <c r="N75" i="8"/>
  <c r="I76" i="8"/>
  <c r="K76" i="8" s="1"/>
  <c r="L76" i="8" s="1"/>
  <c r="H91" i="8"/>
  <c r="L91" i="8" s="1"/>
  <c r="N91" i="8"/>
  <c r="I92" i="8"/>
  <c r="K92" i="8" s="1"/>
  <c r="L92" i="8" s="1"/>
  <c r="H107" i="8"/>
  <c r="L107" i="8" s="1"/>
  <c r="N107" i="8"/>
  <c r="I108" i="8"/>
  <c r="K108" i="8" s="1"/>
  <c r="L108" i="8" s="1"/>
  <c r="H123" i="8"/>
  <c r="L123" i="8" s="1"/>
  <c r="N123" i="8"/>
  <c r="I124" i="8"/>
  <c r="K124" i="8" s="1"/>
  <c r="L124" i="8" s="1"/>
  <c r="H139" i="8"/>
  <c r="L139" i="8" s="1"/>
  <c r="N139" i="8"/>
  <c r="I140" i="8"/>
  <c r="K140" i="8" s="1"/>
  <c r="L140" i="8" s="1"/>
  <c r="H155" i="8"/>
  <c r="L155" i="8" s="1"/>
  <c r="N155" i="8"/>
  <c r="I156" i="8"/>
  <c r="K156" i="8" s="1"/>
  <c r="L156" i="8" s="1"/>
  <c r="H167" i="8"/>
  <c r="L167" i="8" s="1"/>
  <c r="N167" i="8"/>
  <c r="I168" i="8"/>
  <c r="K168" i="8" s="1"/>
  <c r="L168" i="8" s="1"/>
  <c r="H175" i="8"/>
  <c r="L175" i="8" s="1"/>
  <c r="N175" i="8"/>
  <c r="I176" i="8"/>
  <c r="K176" i="8" s="1"/>
  <c r="L176" i="8" s="1"/>
  <c r="H183" i="8"/>
  <c r="L183" i="8" s="1"/>
  <c r="N183" i="8"/>
  <c r="I184" i="8"/>
  <c r="K184" i="8" s="1"/>
  <c r="L184" i="8" s="1"/>
  <c r="H191" i="8"/>
  <c r="L191" i="8" s="1"/>
  <c r="N191" i="8"/>
  <c r="I192" i="8"/>
  <c r="K192" i="8" s="1"/>
  <c r="L192" i="8" s="1"/>
  <c r="H199" i="8"/>
  <c r="L199" i="8" s="1"/>
  <c r="N199" i="8"/>
  <c r="I200" i="8"/>
  <c r="K200" i="8" s="1"/>
  <c r="L200" i="8" s="1"/>
  <c r="H211" i="8"/>
  <c r="L211" i="8" s="1"/>
  <c r="N211" i="8"/>
  <c r="I212" i="8"/>
  <c r="K212" i="8" s="1"/>
  <c r="L212" i="8" s="1"/>
  <c r="H223" i="8"/>
  <c r="L223" i="8" s="1"/>
  <c r="N223" i="8"/>
  <c r="I224" i="8"/>
  <c r="K224" i="8" s="1"/>
  <c r="L224" i="8" s="1"/>
  <c r="H235" i="8"/>
  <c r="L235" i="8" s="1"/>
  <c r="N235" i="8"/>
  <c r="I236" i="8"/>
  <c r="K236" i="8" s="1"/>
  <c r="L236" i="8" s="1"/>
  <c r="H247" i="8"/>
  <c r="L247" i="8" s="1"/>
  <c r="N247" i="8"/>
  <c r="I248" i="8"/>
  <c r="K248" i="8" s="1"/>
  <c r="L248" i="8" s="1"/>
  <c r="H255" i="8"/>
  <c r="L255" i="8" s="1"/>
  <c r="N255" i="8"/>
  <c r="I256" i="8"/>
  <c r="K256" i="8" s="1"/>
  <c r="L256" i="8" s="1"/>
  <c r="H263" i="8"/>
  <c r="L263" i="8" s="1"/>
  <c r="N263" i="8"/>
  <c r="I264" i="8"/>
  <c r="K264" i="8" s="1"/>
  <c r="L264" i="8" s="1"/>
  <c r="H275" i="8"/>
  <c r="L275" i="8" s="1"/>
  <c r="N275" i="8"/>
  <c r="I276" i="8"/>
  <c r="K276" i="8" s="1"/>
  <c r="L276" i="8" s="1"/>
  <c r="H283" i="8"/>
  <c r="L283" i="8" s="1"/>
  <c r="N283" i="8"/>
  <c r="I284" i="8"/>
  <c r="K284" i="8" s="1"/>
  <c r="L284" i="8" s="1"/>
  <c r="H303" i="8"/>
  <c r="L303" i="8" s="1"/>
  <c r="N303" i="8"/>
  <c r="I304" i="8"/>
  <c r="K304" i="8" s="1"/>
  <c r="L304" i="8" s="1"/>
  <c r="H311" i="8"/>
  <c r="L311" i="8" s="1"/>
  <c r="N311" i="8"/>
  <c r="I312" i="8"/>
  <c r="K312" i="8" s="1"/>
  <c r="L312" i="8" s="1"/>
  <c r="I324" i="8"/>
  <c r="K324" i="8" s="1"/>
  <c r="L324" i="8" s="1"/>
  <c r="H331" i="8"/>
  <c r="L331" i="8" s="1"/>
  <c r="N331" i="8"/>
  <c r="I332" i="8"/>
  <c r="K332" i="8" s="1"/>
  <c r="L332" i="8" s="1"/>
  <c r="H343" i="8"/>
  <c r="L343" i="8" s="1"/>
  <c r="N343" i="8"/>
  <c r="I344" i="8"/>
  <c r="K344" i="8" s="1"/>
  <c r="L344" i="8" s="1"/>
  <c r="H351" i="8"/>
  <c r="L351" i="8" s="1"/>
  <c r="N351" i="8"/>
  <c r="I352" i="8"/>
  <c r="K352" i="8" s="1"/>
  <c r="L352" i="8" s="1"/>
  <c r="H363" i="8"/>
  <c r="L363" i="8" s="1"/>
  <c r="N363" i="8"/>
  <c r="I364" i="8"/>
  <c r="K364" i="8" s="1"/>
  <c r="L364" i="8" s="1"/>
  <c r="H371" i="8"/>
  <c r="L371" i="8" s="1"/>
  <c r="N371" i="8"/>
  <c r="I372" i="8"/>
  <c r="K372" i="8" s="1"/>
  <c r="L372" i="8" s="1"/>
  <c r="H383" i="8"/>
  <c r="L383" i="8" s="1"/>
  <c r="N383" i="8"/>
  <c r="H391" i="8"/>
  <c r="L391" i="8" s="1"/>
  <c r="N391" i="8"/>
  <c r="I392" i="8"/>
  <c r="K392" i="8" s="1"/>
  <c r="L392" i="8" s="1"/>
  <c r="H399" i="8"/>
  <c r="L399" i="8" s="1"/>
  <c r="N399" i="8"/>
  <c r="I400" i="8"/>
  <c r="K400" i="8" s="1"/>
  <c r="L400" i="8" s="1"/>
  <c r="H411" i="8"/>
  <c r="L411" i="8" s="1"/>
  <c r="N411" i="8"/>
  <c r="I412" i="8"/>
  <c r="K412" i="8" s="1"/>
  <c r="L412" i="8" s="1"/>
  <c r="H419" i="8"/>
  <c r="L419" i="8" s="1"/>
  <c r="N419" i="8"/>
  <c r="I420" i="8"/>
  <c r="K420" i="8" s="1"/>
  <c r="L420" i="8" s="1"/>
  <c r="H427" i="8"/>
  <c r="L427" i="8" s="1"/>
  <c r="N427" i="8"/>
  <c r="I428" i="8"/>
  <c r="K428" i="8" s="1"/>
  <c r="L428" i="8" s="1"/>
  <c r="H439" i="8"/>
  <c r="L439" i="8" s="1"/>
  <c r="N439" i="8"/>
  <c r="I440" i="8"/>
  <c r="K440" i="8" s="1"/>
  <c r="L440" i="8" s="1"/>
  <c r="H447" i="8"/>
  <c r="L447" i="8" s="1"/>
  <c r="N447" i="8"/>
  <c r="I448" i="8"/>
  <c r="K448" i="8" s="1"/>
  <c r="L448" i="8" s="1"/>
  <c r="H451" i="8"/>
  <c r="N451" i="8"/>
  <c r="I455" i="8"/>
  <c r="K455" i="8" s="1"/>
  <c r="L455" i="8" s="1"/>
  <c r="H457" i="8"/>
  <c r="L457" i="8" s="1"/>
  <c r="N457" i="8"/>
  <c r="I458" i="8"/>
  <c r="K458" i="8" s="1"/>
  <c r="L458" i="8" s="1"/>
  <c r="I460" i="8"/>
  <c r="K460" i="8" s="1"/>
  <c r="I471" i="8"/>
  <c r="K471" i="8" s="1"/>
  <c r="L471" i="8" s="1"/>
  <c r="H473" i="8"/>
  <c r="L473" i="8" s="1"/>
  <c r="N473" i="8"/>
  <c r="I474" i="8"/>
  <c r="K474" i="8" s="1"/>
  <c r="L474" i="8" s="1"/>
  <c r="I476" i="8"/>
  <c r="K476" i="8" s="1"/>
  <c r="I485" i="8"/>
  <c r="K485" i="8" s="1"/>
  <c r="L485" i="8" s="1"/>
  <c r="I501" i="8"/>
  <c r="K501" i="8" s="1"/>
  <c r="L501" i="8" s="1"/>
  <c r="I517" i="8"/>
  <c r="K517" i="8" s="1"/>
  <c r="L517" i="8" s="1"/>
  <c r="I533" i="8"/>
  <c r="K533" i="8" s="1"/>
  <c r="L533" i="8" s="1"/>
  <c r="H542" i="8"/>
  <c r="L542" i="8" s="1"/>
  <c r="N542" i="8"/>
  <c r="M542" i="8"/>
  <c r="H544" i="8"/>
  <c r="N544" i="8"/>
  <c r="H547" i="8"/>
  <c r="N547" i="8"/>
  <c r="I549" i="8"/>
  <c r="K549" i="8" s="1"/>
  <c r="L549" i="8" s="1"/>
  <c r="H558" i="8"/>
  <c r="L558" i="8" s="1"/>
  <c r="N558" i="8"/>
  <c r="M558" i="8"/>
  <c r="H560" i="8"/>
  <c r="N560" i="8"/>
  <c r="H563" i="8"/>
  <c r="N563" i="8"/>
  <c r="I567" i="8"/>
  <c r="K567" i="8" s="1"/>
  <c r="L567" i="8" s="1"/>
  <c r="H569" i="8"/>
  <c r="L569" i="8" s="1"/>
  <c r="N569" i="8"/>
  <c r="I570" i="8"/>
  <c r="K570" i="8" s="1"/>
  <c r="L570" i="8" s="1"/>
  <c r="I572" i="8"/>
  <c r="K572" i="8" s="1"/>
  <c r="I581" i="8"/>
  <c r="K581" i="8" s="1"/>
  <c r="L581" i="8" s="1"/>
  <c r="I591" i="8"/>
  <c r="K591" i="8" s="1"/>
  <c r="L591" i="8" s="1"/>
  <c r="I598" i="8"/>
  <c r="K598" i="8" s="1"/>
  <c r="I599" i="8"/>
  <c r="K599" i="8" s="1"/>
  <c r="L599" i="8" s="1"/>
  <c r="H601" i="8"/>
  <c r="N601" i="8"/>
  <c r="H604" i="8"/>
  <c r="N604" i="8"/>
  <c r="M604" i="8"/>
  <c r="I606" i="8"/>
  <c r="K606" i="8" s="1"/>
  <c r="I607" i="8"/>
  <c r="K607" i="8" s="1"/>
  <c r="L607" i="8" s="1"/>
  <c r="I614" i="8"/>
  <c r="K614" i="8" s="1"/>
  <c r="I615" i="8"/>
  <c r="K615" i="8" s="1"/>
  <c r="L615" i="8" s="1"/>
  <c r="H617" i="8"/>
  <c r="N617" i="8"/>
  <c r="H620" i="8"/>
  <c r="N620" i="8"/>
  <c r="M620" i="8"/>
  <c r="I622" i="8"/>
  <c r="K622" i="8" s="1"/>
  <c r="H633" i="8"/>
  <c r="N633" i="8"/>
  <c r="I638" i="8"/>
  <c r="K638" i="8" s="1"/>
  <c r="H649" i="8"/>
  <c r="N649" i="8"/>
  <c r="H652" i="8"/>
  <c r="N652" i="8"/>
  <c r="M652" i="8"/>
  <c r="I655" i="8"/>
  <c r="K655" i="8" s="1"/>
  <c r="L655" i="8" s="1"/>
  <c r="H657" i="8"/>
  <c r="N657" i="8"/>
  <c r="H660" i="8"/>
  <c r="N660" i="8"/>
  <c r="M660" i="8"/>
  <c r="I662" i="8"/>
  <c r="K662" i="8" s="1"/>
  <c r="I663" i="8"/>
  <c r="K663" i="8" s="1"/>
  <c r="L663" i="8" s="1"/>
  <c r="H668" i="8"/>
  <c r="N668" i="8"/>
  <c r="M668" i="8"/>
  <c r="I671" i="8"/>
  <c r="K671" i="8" s="1"/>
  <c r="L671" i="8" s="1"/>
  <c r="H673" i="8"/>
  <c r="N673" i="8"/>
  <c r="H676" i="8"/>
  <c r="N676" i="8"/>
  <c r="M676" i="8"/>
  <c r="I678" i="8"/>
  <c r="K678" i="8" s="1"/>
  <c r="I679" i="8"/>
  <c r="K679" i="8" s="1"/>
  <c r="L679" i="8" s="1"/>
  <c r="I684" i="8"/>
  <c r="K684" i="8" s="1"/>
  <c r="I688" i="8"/>
  <c r="K688" i="8" s="1"/>
  <c r="I692" i="8"/>
  <c r="K692" i="8" s="1"/>
  <c r="I696" i="8"/>
  <c r="K696" i="8" s="1"/>
  <c r="I700" i="8"/>
  <c r="K700" i="8" s="1"/>
  <c r="I704" i="8"/>
  <c r="K704" i="8" s="1"/>
  <c r="I708" i="8"/>
  <c r="K708" i="8" s="1"/>
  <c r="I720" i="8"/>
  <c r="K720" i="8" s="1"/>
  <c r="I724" i="8"/>
  <c r="K724" i="8" s="1"/>
  <c r="I732" i="8"/>
  <c r="K732" i="8" s="1"/>
  <c r="I736" i="8"/>
  <c r="K736" i="8" s="1"/>
  <c r="I756" i="8"/>
  <c r="K756" i="8" s="1"/>
  <c r="I760" i="8"/>
  <c r="K760" i="8" s="1"/>
  <c r="I768" i="8"/>
  <c r="K768" i="8" s="1"/>
  <c r="I772" i="8"/>
  <c r="K772" i="8" s="1"/>
  <c r="I780" i="8"/>
  <c r="K780" i="8" s="1"/>
  <c r="I784" i="8"/>
  <c r="K784" i="8" s="1"/>
  <c r="I788" i="8"/>
  <c r="K788" i="8" s="1"/>
  <c r="I792" i="8"/>
  <c r="K792" i="8" s="1"/>
  <c r="I800" i="8"/>
  <c r="K800" i="8" s="1"/>
  <c r="I804" i="8"/>
  <c r="K804" i="8" s="1"/>
  <c r="I812" i="8"/>
  <c r="K812" i="8" s="1"/>
  <c r="I816" i="8"/>
  <c r="K816" i="8" s="1"/>
  <c r="I836" i="8"/>
  <c r="K836" i="8" s="1"/>
  <c r="I840" i="8"/>
  <c r="K840" i="8" s="1"/>
  <c r="I848" i="8"/>
  <c r="K848" i="8" s="1"/>
  <c r="I852" i="8"/>
  <c r="K852" i="8" s="1"/>
  <c r="I872" i="8"/>
  <c r="K872" i="8" s="1"/>
  <c r="I876" i="8"/>
  <c r="K876" i="8" s="1"/>
  <c r="I880" i="8"/>
  <c r="K880" i="8" s="1"/>
  <c r="I884" i="8"/>
  <c r="K884" i="8" s="1"/>
  <c r="I904" i="8"/>
  <c r="K904" i="8" s="1"/>
  <c r="H915" i="8"/>
  <c r="N915" i="8"/>
  <c r="M915" i="8"/>
  <c r="I924" i="8"/>
  <c r="K924" i="8" s="1"/>
  <c r="H931" i="8"/>
  <c r="N931" i="8"/>
  <c r="M931" i="8"/>
  <c r="H939" i="8"/>
  <c r="N939" i="8"/>
  <c r="M939" i="8"/>
  <c r="I949" i="8"/>
  <c r="K949" i="8" s="1"/>
  <c r="I1009" i="8"/>
  <c r="K1009" i="8" s="1"/>
  <c r="I1025" i="8"/>
  <c r="K1025" i="8" s="1"/>
  <c r="H26" i="8"/>
  <c r="L26" i="8" s="1"/>
  <c r="N26" i="8"/>
  <c r="H5" i="8"/>
  <c r="L5" i="8" s="1"/>
  <c r="N5" i="8"/>
  <c r="M5" i="8"/>
  <c r="H9" i="8"/>
  <c r="L9" i="8" s="1"/>
  <c r="N9" i="8"/>
  <c r="M9" i="8"/>
  <c r="H13" i="8"/>
  <c r="L13" i="8" s="1"/>
  <c r="N13" i="8"/>
  <c r="M13" i="8"/>
  <c r="H17" i="8"/>
  <c r="L17" i="8" s="1"/>
  <c r="N17" i="8"/>
  <c r="M17" i="8"/>
  <c r="H21" i="8"/>
  <c r="L21" i="8" s="1"/>
  <c r="N21" i="8"/>
  <c r="M21" i="8"/>
  <c r="M27" i="8"/>
  <c r="M31" i="8"/>
  <c r="M35" i="8"/>
  <c r="M39" i="8"/>
  <c r="M43" i="8"/>
  <c r="M47" i="8"/>
  <c r="M51" i="8"/>
  <c r="M55" i="8"/>
  <c r="M59" i="8"/>
  <c r="M63" i="8"/>
  <c r="M67" i="8"/>
  <c r="M71" i="8"/>
  <c r="M75" i="8"/>
  <c r="M79" i="8"/>
  <c r="M83" i="8"/>
  <c r="M87" i="8"/>
  <c r="M91" i="8"/>
  <c r="M95" i="8"/>
  <c r="M99" i="8"/>
  <c r="M103" i="8"/>
  <c r="M107" i="8"/>
  <c r="M111" i="8"/>
  <c r="M115" i="8"/>
  <c r="M119" i="8"/>
  <c r="M123" i="8"/>
  <c r="M127" i="8"/>
  <c r="M131" i="8"/>
  <c r="M135" i="8"/>
  <c r="M139" i="8"/>
  <c r="M143" i="8"/>
  <c r="M147" i="8"/>
  <c r="M151" i="8"/>
  <c r="M155" i="8"/>
  <c r="M159" i="8"/>
  <c r="M163" i="8"/>
  <c r="M167" i="8"/>
  <c r="M171" i="8"/>
  <c r="M175" i="8"/>
  <c r="M179" i="8"/>
  <c r="M183" i="8"/>
  <c r="M187" i="8"/>
  <c r="M191" i="8"/>
  <c r="M195" i="8"/>
  <c r="M199" i="8"/>
  <c r="M203" i="8"/>
  <c r="M207" i="8"/>
  <c r="M211" i="8"/>
  <c r="M215" i="8"/>
  <c r="M219" i="8"/>
  <c r="M223" i="8"/>
  <c r="M227" i="8"/>
  <c r="M231" i="8"/>
  <c r="M235" i="8"/>
  <c r="M239" i="8"/>
  <c r="M243" i="8"/>
  <c r="M247" i="8"/>
  <c r="M251" i="8"/>
  <c r="M255" i="8"/>
  <c r="M259" i="8"/>
  <c r="M263" i="8"/>
  <c r="M267" i="8"/>
  <c r="M271" i="8"/>
  <c r="M275" i="8"/>
  <c r="M279" i="8"/>
  <c r="M283" i="8"/>
  <c r="M287" i="8"/>
  <c r="M291" i="8"/>
  <c r="M295" i="8"/>
  <c r="M299" i="8"/>
  <c r="M303" i="8"/>
  <c r="M307" i="8"/>
  <c r="M311" i="8"/>
  <c r="M315" i="8"/>
  <c r="M319" i="8"/>
  <c r="M323" i="8"/>
  <c r="M327" i="8"/>
  <c r="M331" i="8"/>
  <c r="M335" i="8"/>
  <c r="M339" i="8"/>
  <c r="M343" i="8"/>
  <c r="M347" i="8"/>
  <c r="M351" i="8"/>
  <c r="M355" i="8"/>
  <c r="M359" i="8"/>
  <c r="M363" i="8"/>
  <c r="M367" i="8"/>
  <c r="M371" i="8"/>
  <c r="M375" i="8"/>
  <c r="M379" i="8"/>
  <c r="M383" i="8"/>
  <c r="M387" i="8"/>
  <c r="M391" i="8"/>
  <c r="M395" i="8"/>
  <c r="M399" i="8"/>
  <c r="M403" i="8"/>
  <c r="M407" i="8"/>
  <c r="M411" i="8"/>
  <c r="M415" i="8"/>
  <c r="M419" i="8"/>
  <c r="M423" i="8"/>
  <c r="M427" i="8"/>
  <c r="M431" i="8"/>
  <c r="M435" i="8"/>
  <c r="M439" i="8"/>
  <c r="M443" i="8"/>
  <c r="M447" i="8"/>
  <c r="I451" i="8"/>
  <c r="K451" i="8" s="1"/>
  <c r="M452" i="8"/>
  <c r="I456" i="8"/>
  <c r="K456" i="8" s="1"/>
  <c r="M457" i="8"/>
  <c r="H460" i="8"/>
  <c r="N460" i="8"/>
  <c r="H463" i="8"/>
  <c r="N463" i="8"/>
  <c r="I467" i="8"/>
  <c r="K467" i="8" s="1"/>
  <c r="L467" i="8" s="1"/>
  <c r="M468" i="8"/>
  <c r="I472" i="8"/>
  <c r="K472" i="8" s="1"/>
  <c r="L472" i="8" s="1"/>
  <c r="M473" i="8"/>
  <c r="H476" i="8"/>
  <c r="N476" i="8"/>
  <c r="H479" i="8"/>
  <c r="N479" i="8"/>
  <c r="I483" i="8"/>
  <c r="K483" i="8" s="1"/>
  <c r="L483" i="8" s="1"/>
  <c r="M484" i="8"/>
  <c r="I488" i="8"/>
  <c r="K488" i="8" s="1"/>
  <c r="M489" i="8"/>
  <c r="H492" i="8"/>
  <c r="N492" i="8"/>
  <c r="H495" i="8"/>
  <c r="N495" i="8"/>
  <c r="I499" i="8"/>
  <c r="K499" i="8" s="1"/>
  <c r="L499" i="8" s="1"/>
  <c r="M500" i="8"/>
  <c r="I504" i="8"/>
  <c r="K504" i="8" s="1"/>
  <c r="L504" i="8" s="1"/>
  <c r="M505" i="8"/>
  <c r="H508" i="8"/>
  <c r="N508" i="8"/>
  <c r="H511" i="8"/>
  <c r="N511" i="8"/>
  <c r="I515" i="8"/>
  <c r="K515" i="8" s="1"/>
  <c r="L515" i="8" s="1"/>
  <c r="M516" i="8"/>
  <c r="I520" i="8"/>
  <c r="K520" i="8" s="1"/>
  <c r="M521" i="8"/>
  <c r="H524" i="8"/>
  <c r="N524" i="8"/>
  <c r="H527" i="8"/>
  <c r="N527" i="8"/>
  <c r="I531" i="8"/>
  <c r="K531" i="8" s="1"/>
  <c r="L531" i="8" s="1"/>
  <c r="M532" i="8"/>
  <c r="I536" i="8"/>
  <c r="K536" i="8" s="1"/>
  <c r="L536" i="8" s="1"/>
  <c r="M537" i="8"/>
  <c r="H540" i="8"/>
  <c r="N540" i="8"/>
  <c r="H543" i="8"/>
  <c r="N543" i="8"/>
  <c r="I547" i="8"/>
  <c r="K547" i="8" s="1"/>
  <c r="M548" i="8"/>
  <c r="I552" i="8"/>
  <c r="K552" i="8" s="1"/>
  <c r="L552" i="8" s="1"/>
  <c r="M553" i="8"/>
  <c r="H556" i="8"/>
  <c r="N556" i="8"/>
  <c r="H559" i="8"/>
  <c r="N559" i="8"/>
  <c r="I563" i="8"/>
  <c r="K563" i="8" s="1"/>
  <c r="M564" i="8"/>
  <c r="I568" i="8"/>
  <c r="K568" i="8" s="1"/>
  <c r="M569" i="8"/>
  <c r="H572" i="8"/>
  <c r="N572" i="8"/>
  <c r="H575" i="8"/>
  <c r="N575" i="8"/>
  <c r="I579" i="8"/>
  <c r="K579" i="8" s="1"/>
  <c r="L579" i="8" s="1"/>
  <c r="M580" i="8"/>
  <c r="I584" i="8"/>
  <c r="K584" i="8" s="1"/>
  <c r="L584" i="8" s="1"/>
  <c r="I585" i="8"/>
  <c r="K585" i="8" s="1"/>
  <c r="L585" i="8" s="1"/>
  <c r="H587" i="8"/>
  <c r="N587" i="8"/>
  <c r="H590" i="8"/>
  <c r="N590" i="8"/>
  <c r="M590" i="8"/>
  <c r="I592" i="8"/>
  <c r="K592" i="8" s="1"/>
  <c r="L592" i="8" s="1"/>
  <c r="I593" i="8"/>
  <c r="K593" i="8" s="1"/>
  <c r="L593" i="8" s="1"/>
  <c r="H595" i="8"/>
  <c r="N595" i="8"/>
  <c r="H598" i="8"/>
  <c r="N598" i="8"/>
  <c r="M598" i="8"/>
  <c r="I600" i="8"/>
  <c r="K600" i="8" s="1"/>
  <c r="L600" i="8" s="1"/>
  <c r="I601" i="8"/>
  <c r="K601" i="8" s="1"/>
  <c r="H603" i="8"/>
  <c r="N603" i="8"/>
  <c r="H606" i="8"/>
  <c r="N606" i="8"/>
  <c r="M606" i="8"/>
  <c r="I608" i="8"/>
  <c r="K608" i="8" s="1"/>
  <c r="L608" i="8" s="1"/>
  <c r="I609" i="8"/>
  <c r="K609" i="8" s="1"/>
  <c r="L609" i="8" s="1"/>
  <c r="H611" i="8"/>
  <c r="N611" i="8"/>
  <c r="H614" i="8"/>
  <c r="N614" i="8"/>
  <c r="M614" i="8"/>
  <c r="I616" i="8"/>
  <c r="K616" i="8" s="1"/>
  <c r="L616" i="8" s="1"/>
  <c r="I617" i="8"/>
  <c r="K617" i="8" s="1"/>
  <c r="L617" i="8" s="1"/>
  <c r="H619" i="8"/>
  <c r="N619" i="8"/>
  <c r="H622" i="8"/>
  <c r="N622" i="8"/>
  <c r="M622" i="8"/>
  <c r="I624" i="8"/>
  <c r="K624" i="8" s="1"/>
  <c r="L624" i="8" s="1"/>
  <c r="I625" i="8"/>
  <c r="K625" i="8" s="1"/>
  <c r="L625" i="8" s="1"/>
  <c r="H627" i="8"/>
  <c r="N627" i="8"/>
  <c r="H630" i="8"/>
  <c r="N630" i="8"/>
  <c r="M630" i="8"/>
  <c r="I632" i="8"/>
  <c r="K632" i="8" s="1"/>
  <c r="L632" i="8" s="1"/>
  <c r="I633" i="8"/>
  <c r="K633" i="8" s="1"/>
  <c r="L633" i="8" s="1"/>
  <c r="H635" i="8"/>
  <c r="N635" i="8"/>
  <c r="H638" i="8"/>
  <c r="N638" i="8"/>
  <c r="M638" i="8"/>
  <c r="I640" i="8"/>
  <c r="K640" i="8" s="1"/>
  <c r="L640" i="8" s="1"/>
  <c r="I641" i="8"/>
  <c r="K641" i="8" s="1"/>
  <c r="L641" i="8" s="1"/>
  <c r="H643" i="8"/>
  <c r="N643" i="8"/>
  <c r="H646" i="8"/>
  <c r="N646" i="8"/>
  <c r="M646" i="8"/>
  <c r="I648" i="8"/>
  <c r="K648" i="8" s="1"/>
  <c r="L648" i="8" s="1"/>
  <c r="I649" i="8"/>
  <c r="K649" i="8" s="1"/>
  <c r="L649" i="8" s="1"/>
  <c r="H651" i="8"/>
  <c r="N651" i="8"/>
  <c r="H654" i="8"/>
  <c r="N654" i="8"/>
  <c r="M654" i="8"/>
  <c r="I656" i="8"/>
  <c r="K656" i="8" s="1"/>
  <c r="L656" i="8" s="1"/>
  <c r="I657" i="8"/>
  <c r="K657" i="8" s="1"/>
  <c r="L657" i="8" s="1"/>
  <c r="H659" i="8"/>
  <c r="N659" i="8"/>
  <c r="H662" i="8"/>
  <c r="N662" i="8"/>
  <c r="M662" i="8"/>
  <c r="I664" i="8"/>
  <c r="K664" i="8" s="1"/>
  <c r="L664" i="8" s="1"/>
  <c r="I665" i="8"/>
  <c r="K665" i="8" s="1"/>
  <c r="L665" i="8" s="1"/>
  <c r="H667" i="8"/>
  <c r="N667" i="8"/>
  <c r="H670" i="8"/>
  <c r="N670" i="8"/>
  <c r="M670" i="8"/>
  <c r="I672" i="8"/>
  <c r="K672" i="8" s="1"/>
  <c r="L672" i="8" s="1"/>
  <c r="I673" i="8"/>
  <c r="K673" i="8" s="1"/>
  <c r="H675" i="8"/>
  <c r="N675" i="8"/>
  <c r="H678" i="8"/>
  <c r="N678" i="8"/>
  <c r="M678" i="8"/>
  <c r="I680" i="8"/>
  <c r="K680" i="8" s="1"/>
  <c r="L680" i="8" s="1"/>
  <c r="I681" i="8"/>
  <c r="K681" i="8" s="1"/>
  <c r="L681" i="8" s="1"/>
  <c r="H683" i="8"/>
  <c r="N683" i="8"/>
  <c r="M683" i="8"/>
  <c r="H687" i="8"/>
  <c r="N687" i="8"/>
  <c r="M687" i="8"/>
  <c r="H691" i="8"/>
  <c r="N691" i="8"/>
  <c r="M691" i="8"/>
  <c r="H695" i="8"/>
  <c r="N695" i="8"/>
  <c r="M695" i="8"/>
  <c r="H699" i="8"/>
  <c r="N699" i="8"/>
  <c r="M699" i="8"/>
  <c r="H703" i="8"/>
  <c r="N703" i="8"/>
  <c r="M703" i="8"/>
  <c r="H707" i="8"/>
  <c r="N707" i="8"/>
  <c r="M707" i="8"/>
  <c r="H711" i="8"/>
  <c r="N711" i="8"/>
  <c r="M711" i="8"/>
  <c r="H715" i="8"/>
  <c r="N715" i="8"/>
  <c r="M715" i="8"/>
  <c r="H719" i="8"/>
  <c r="N719" i="8"/>
  <c r="M719" i="8"/>
  <c r="H723" i="8"/>
  <c r="N723" i="8"/>
  <c r="M723" i="8"/>
  <c r="H727" i="8"/>
  <c r="N727" i="8"/>
  <c r="M727" i="8"/>
  <c r="H731" i="8"/>
  <c r="N731" i="8"/>
  <c r="M731" i="8"/>
  <c r="H735" i="8"/>
  <c r="N735" i="8"/>
  <c r="M735" i="8"/>
  <c r="H739" i="8"/>
  <c r="N739" i="8"/>
  <c r="M739" i="8"/>
  <c r="H743" i="8"/>
  <c r="N743" i="8"/>
  <c r="M743" i="8"/>
  <c r="H747" i="8"/>
  <c r="N747" i="8"/>
  <c r="M747" i="8"/>
  <c r="H751" i="8"/>
  <c r="N751" i="8"/>
  <c r="M751" i="8"/>
  <c r="H755" i="8"/>
  <c r="N755" i="8"/>
  <c r="M755" i="8"/>
  <c r="H759" i="8"/>
  <c r="N759" i="8"/>
  <c r="M759" i="8"/>
  <c r="H763" i="8"/>
  <c r="N763" i="8"/>
  <c r="M763" i="8"/>
  <c r="H767" i="8"/>
  <c r="N767" i="8"/>
  <c r="M767" i="8"/>
  <c r="H771" i="8"/>
  <c r="N771" i="8"/>
  <c r="M771" i="8"/>
  <c r="H775" i="8"/>
  <c r="N775" i="8"/>
  <c r="M775" i="8"/>
  <c r="H779" i="8"/>
  <c r="N779" i="8"/>
  <c r="M779" i="8"/>
  <c r="H783" i="8"/>
  <c r="N783" i="8"/>
  <c r="M783" i="8"/>
  <c r="H787" i="8"/>
  <c r="N787" i="8"/>
  <c r="M787" i="8"/>
  <c r="H791" i="8"/>
  <c r="N791" i="8"/>
  <c r="M791" i="8"/>
  <c r="H795" i="8"/>
  <c r="N795" i="8"/>
  <c r="M795" i="8"/>
  <c r="H799" i="8"/>
  <c r="N799" i="8"/>
  <c r="M799" i="8"/>
  <c r="H803" i="8"/>
  <c r="N803" i="8"/>
  <c r="M803" i="8"/>
  <c r="H807" i="8"/>
  <c r="N807" i="8"/>
  <c r="M807" i="8"/>
  <c r="H811" i="8"/>
  <c r="N811" i="8"/>
  <c r="M811" i="8"/>
  <c r="H815" i="8"/>
  <c r="N815" i="8"/>
  <c r="M815" i="8"/>
  <c r="H819" i="8"/>
  <c r="N819" i="8"/>
  <c r="M819" i="8"/>
  <c r="H823" i="8"/>
  <c r="N823" i="8"/>
  <c r="M823" i="8"/>
  <c r="H827" i="8"/>
  <c r="N827" i="8"/>
  <c r="M827" i="8"/>
  <c r="H831" i="8"/>
  <c r="N831" i="8"/>
  <c r="M831" i="8"/>
  <c r="H835" i="8"/>
  <c r="N835" i="8"/>
  <c r="M835" i="8"/>
  <c r="H839" i="8"/>
  <c r="N839" i="8"/>
  <c r="M839" i="8"/>
  <c r="H843" i="8"/>
  <c r="N843" i="8"/>
  <c r="M843" i="8"/>
  <c r="H847" i="8"/>
  <c r="N847" i="8"/>
  <c r="M847" i="8"/>
  <c r="H851" i="8"/>
  <c r="N851" i="8"/>
  <c r="M851" i="8"/>
  <c r="H855" i="8"/>
  <c r="N855" i="8"/>
  <c r="M855" i="8"/>
  <c r="H859" i="8"/>
  <c r="N859" i="8"/>
  <c r="M859" i="8"/>
  <c r="H863" i="8"/>
  <c r="N863" i="8"/>
  <c r="M863" i="8"/>
  <c r="H867" i="8"/>
  <c r="N867" i="8"/>
  <c r="M867" i="8"/>
  <c r="H871" i="8"/>
  <c r="N871" i="8"/>
  <c r="M871" i="8"/>
  <c r="H875" i="8"/>
  <c r="N875" i="8"/>
  <c r="M875" i="8"/>
  <c r="H879" i="8"/>
  <c r="N879" i="8"/>
  <c r="M879" i="8"/>
  <c r="H883" i="8"/>
  <c r="N883" i="8"/>
  <c r="M883" i="8"/>
  <c r="H887" i="8"/>
  <c r="N887" i="8"/>
  <c r="M887" i="8"/>
  <c r="H891" i="8"/>
  <c r="N891" i="8"/>
  <c r="M891" i="8"/>
  <c r="H895" i="8"/>
  <c r="N895" i="8"/>
  <c r="M895" i="8"/>
  <c r="H899" i="8"/>
  <c r="N899" i="8"/>
  <c r="M899" i="8"/>
  <c r="H903" i="8"/>
  <c r="N903" i="8"/>
  <c r="M903" i="8"/>
  <c r="H907" i="8"/>
  <c r="N907" i="8"/>
  <c r="M907" i="8"/>
  <c r="I913" i="8"/>
  <c r="K913" i="8" s="1"/>
  <c r="I914" i="8"/>
  <c r="K914" i="8" s="1"/>
  <c r="I921" i="8"/>
  <c r="K921" i="8" s="1"/>
  <c r="I922" i="8"/>
  <c r="K922" i="8" s="1"/>
  <c r="I929" i="8"/>
  <c r="K929" i="8" s="1"/>
  <c r="I930" i="8"/>
  <c r="K930" i="8" s="1"/>
  <c r="I937" i="8"/>
  <c r="K937" i="8" s="1"/>
  <c r="I938" i="8"/>
  <c r="K938" i="8" s="1"/>
  <c r="I945" i="8"/>
  <c r="K945" i="8" s="1"/>
  <c r="I946" i="8"/>
  <c r="K946" i="8" s="1"/>
  <c r="I957" i="8"/>
  <c r="K957" i="8" s="1"/>
  <c r="I961" i="8"/>
  <c r="K961" i="8" s="1"/>
  <c r="I965" i="8"/>
  <c r="K965" i="8" s="1"/>
  <c r="H969" i="8"/>
  <c r="N969" i="8"/>
  <c r="M969" i="8"/>
  <c r="I1029" i="8"/>
  <c r="K1029" i="8" s="1"/>
  <c r="H1033" i="8"/>
  <c r="N1033" i="8"/>
  <c r="M1033" i="8"/>
  <c r="H910" i="8"/>
  <c r="N910" i="8"/>
  <c r="I911" i="8"/>
  <c r="K911" i="8" s="1"/>
  <c r="H914" i="8"/>
  <c r="N914" i="8"/>
  <c r="I915" i="8"/>
  <c r="K915" i="8" s="1"/>
  <c r="L915" i="8" s="1"/>
  <c r="H918" i="8"/>
  <c r="N918" i="8"/>
  <c r="I919" i="8"/>
  <c r="K919" i="8" s="1"/>
  <c r="L919" i="8" s="1"/>
  <c r="H922" i="8"/>
  <c r="N922" i="8"/>
  <c r="I923" i="8"/>
  <c r="K923" i="8" s="1"/>
  <c r="L923" i="8" s="1"/>
  <c r="H926" i="8"/>
  <c r="N926" i="8"/>
  <c r="I927" i="8"/>
  <c r="K927" i="8" s="1"/>
  <c r="H930" i="8"/>
  <c r="N930" i="8"/>
  <c r="I931" i="8"/>
  <c r="K931" i="8" s="1"/>
  <c r="L931" i="8" s="1"/>
  <c r="H934" i="8"/>
  <c r="N934" i="8"/>
  <c r="I935" i="8"/>
  <c r="K935" i="8" s="1"/>
  <c r="L935" i="8" s="1"/>
  <c r="H938" i="8"/>
  <c r="N938" i="8"/>
  <c r="I939" i="8"/>
  <c r="K939" i="8" s="1"/>
  <c r="H942" i="8"/>
  <c r="N942" i="8"/>
  <c r="I943" i="8"/>
  <c r="K943" i="8" s="1"/>
  <c r="H946" i="8"/>
  <c r="N946" i="8"/>
  <c r="I947" i="8"/>
  <c r="K947" i="8" s="1"/>
  <c r="H949" i="8"/>
  <c r="N949" i="8"/>
  <c r="M949" i="8"/>
  <c r="I951" i="8"/>
  <c r="K951" i="8" s="1"/>
  <c r="I953" i="8"/>
  <c r="K953" i="8" s="1"/>
  <c r="L953" i="8" s="1"/>
  <c r="H956" i="8"/>
  <c r="N956" i="8"/>
  <c r="I960" i="8"/>
  <c r="K960" i="8" s="1"/>
  <c r="H962" i="8"/>
  <c r="N962" i="8"/>
  <c r="M962" i="8"/>
  <c r="H965" i="8"/>
  <c r="N965" i="8"/>
  <c r="M965" i="8"/>
  <c r="I967" i="8"/>
  <c r="K967" i="8" s="1"/>
  <c r="I969" i="8"/>
  <c r="K969" i="8" s="1"/>
  <c r="L969" i="8" s="1"/>
  <c r="H972" i="8"/>
  <c r="N972" i="8"/>
  <c r="I976" i="8"/>
  <c r="K976" i="8" s="1"/>
  <c r="H978" i="8"/>
  <c r="N978" i="8"/>
  <c r="M978" i="8"/>
  <c r="H981" i="8"/>
  <c r="N981" i="8"/>
  <c r="M981" i="8"/>
  <c r="I983" i="8"/>
  <c r="K983" i="8" s="1"/>
  <c r="I985" i="8"/>
  <c r="K985" i="8" s="1"/>
  <c r="L985" i="8" s="1"/>
  <c r="H988" i="8"/>
  <c r="N988" i="8"/>
  <c r="I992" i="8"/>
  <c r="K992" i="8" s="1"/>
  <c r="H994" i="8"/>
  <c r="N994" i="8"/>
  <c r="M994" i="8"/>
  <c r="H997" i="8"/>
  <c r="N997" i="8"/>
  <c r="M997" i="8"/>
  <c r="I999" i="8"/>
  <c r="K999" i="8" s="1"/>
  <c r="I1001" i="8"/>
  <c r="K1001" i="8" s="1"/>
  <c r="L1001" i="8" s="1"/>
  <c r="H1004" i="8"/>
  <c r="N1004" i="8"/>
  <c r="I1008" i="8"/>
  <c r="K1008" i="8" s="1"/>
  <c r="H1010" i="8"/>
  <c r="N1010" i="8"/>
  <c r="M1010" i="8"/>
  <c r="H1013" i="8"/>
  <c r="N1013" i="8"/>
  <c r="M1013" i="8"/>
  <c r="I1015" i="8"/>
  <c r="K1015" i="8" s="1"/>
  <c r="I1017" i="8"/>
  <c r="K1017" i="8" s="1"/>
  <c r="L1017" i="8" s="1"/>
  <c r="H1020" i="8"/>
  <c r="N1020" i="8"/>
  <c r="I1024" i="8"/>
  <c r="K1024" i="8" s="1"/>
  <c r="H1026" i="8"/>
  <c r="N1026" i="8"/>
  <c r="M1026" i="8"/>
  <c r="H1029" i="8"/>
  <c r="N1029" i="8"/>
  <c r="M1029" i="8"/>
  <c r="I1031" i="8"/>
  <c r="K1031" i="8" s="1"/>
  <c r="I1033" i="8"/>
  <c r="K1033" i="8" s="1"/>
  <c r="L1033" i="8" s="1"/>
  <c r="H1036" i="8"/>
  <c r="N1036" i="8"/>
  <c r="I1040" i="8"/>
  <c r="K1040" i="8" s="1"/>
  <c r="H1042" i="8"/>
  <c r="N1042" i="8"/>
  <c r="M1042" i="8"/>
  <c r="H1045" i="8"/>
  <c r="N1045" i="8"/>
  <c r="M1045" i="8"/>
  <c r="I1047" i="8"/>
  <c r="K1047" i="8" s="1"/>
  <c r="I1049" i="8"/>
  <c r="K1049" i="8" s="1"/>
  <c r="L1049" i="8" s="1"/>
  <c r="H1052" i="8"/>
  <c r="N1052" i="8"/>
  <c r="M1052" i="8"/>
  <c r="H1056" i="8"/>
  <c r="N1056" i="8"/>
  <c r="M1056" i="8"/>
  <c r="H1060" i="8"/>
  <c r="N1060" i="8"/>
  <c r="M1060" i="8"/>
  <c r="I1068" i="8"/>
  <c r="K1068" i="8" s="1"/>
  <c r="I1076" i="8"/>
  <c r="K1076" i="8" s="1"/>
  <c r="I1081" i="8"/>
  <c r="K1081" i="8" s="1"/>
  <c r="I1082" i="8"/>
  <c r="K1082" i="8" s="1"/>
  <c r="I1083" i="8"/>
  <c r="K1083" i="8" s="1"/>
  <c r="I1086" i="8"/>
  <c r="K1086" i="8" s="1"/>
  <c r="I1087" i="8"/>
  <c r="K1087" i="8" s="1"/>
  <c r="I1089" i="8"/>
  <c r="K1089" i="8" s="1"/>
  <c r="L1089" i="8" s="1"/>
  <c r="I1093" i="8"/>
  <c r="K1093" i="8" s="1"/>
  <c r="I1094" i="8"/>
  <c r="K1094" i="8" s="1"/>
  <c r="I1095" i="8"/>
  <c r="K1095" i="8" s="1"/>
  <c r="I1104" i="8"/>
  <c r="K1104" i="8" s="1"/>
  <c r="I1110" i="8"/>
  <c r="K1110" i="8" s="1"/>
  <c r="I1111" i="8"/>
  <c r="K1111" i="8" s="1"/>
  <c r="I1120" i="8"/>
  <c r="K1120" i="8" s="1"/>
  <c r="I1125" i="8"/>
  <c r="K1125" i="8" s="1"/>
  <c r="I1126" i="8"/>
  <c r="K1126" i="8" s="1"/>
  <c r="I1127" i="8"/>
  <c r="K1127" i="8" s="1"/>
  <c r="I1136" i="8"/>
  <c r="K1136" i="8" s="1"/>
  <c r="G685" i="8"/>
  <c r="G689" i="8"/>
  <c r="G693" i="8"/>
  <c r="G697" i="8"/>
  <c r="G701" i="8"/>
  <c r="G705" i="8"/>
  <c r="G709" i="8"/>
  <c r="G713" i="8"/>
  <c r="G717" i="8"/>
  <c r="G721" i="8"/>
  <c r="G725" i="8"/>
  <c r="G729" i="8"/>
  <c r="G733" i="8"/>
  <c r="G737" i="8"/>
  <c r="G741" i="8"/>
  <c r="G745" i="8"/>
  <c r="G749" i="8"/>
  <c r="G753" i="8"/>
  <c r="G757" i="8"/>
  <c r="G761" i="8"/>
  <c r="G765" i="8"/>
  <c r="G769" i="8"/>
  <c r="G773" i="8"/>
  <c r="G777" i="8"/>
  <c r="G781" i="8"/>
  <c r="G785" i="8"/>
  <c r="G789" i="8"/>
  <c r="G793" i="8"/>
  <c r="G797" i="8"/>
  <c r="G801" i="8"/>
  <c r="G805" i="8"/>
  <c r="G809" i="8"/>
  <c r="G813" i="8"/>
  <c r="G817" i="8"/>
  <c r="G821" i="8"/>
  <c r="G825" i="8"/>
  <c r="G829" i="8"/>
  <c r="G833" i="8"/>
  <c r="G837" i="8"/>
  <c r="G841" i="8"/>
  <c r="G845" i="8"/>
  <c r="G849" i="8"/>
  <c r="G853" i="8"/>
  <c r="G857" i="8"/>
  <c r="G861" i="8"/>
  <c r="G865" i="8"/>
  <c r="G869" i="8"/>
  <c r="G873" i="8"/>
  <c r="G877" i="8"/>
  <c r="G881" i="8"/>
  <c r="G885" i="8"/>
  <c r="G889" i="8"/>
  <c r="G893" i="8"/>
  <c r="G897" i="8"/>
  <c r="G901" i="8"/>
  <c r="G905" i="8"/>
  <c r="G909" i="8"/>
  <c r="G913" i="8"/>
  <c r="G917" i="8"/>
  <c r="G921" i="8"/>
  <c r="G925" i="8"/>
  <c r="G929" i="8"/>
  <c r="G933" i="8"/>
  <c r="G937" i="8"/>
  <c r="G941" i="8"/>
  <c r="G945" i="8"/>
  <c r="G948" i="8"/>
  <c r="H952" i="8"/>
  <c r="N952" i="8"/>
  <c r="I954" i="8"/>
  <c r="K954" i="8" s="1"/>
  <c r="I956" i="8"/>
  <c r="K956" i="8" s="1"/>
  <c r="L956" i="8" s="1"/>
  <c r="H958" i="8"/>
  <c r="N958" i="8"/>
  <c r="M958" i="8"/>
  <c r="G961" i="8"/>
  <c r="I963" i="8"/>
  <c r="K963" i="8" s="1"/>
  <c r="H968" i="8"/>
  <c r="N968" i="8"/>
  <c r="I970" i="8"/>
  <c r="K970" i="8" s="1"/>
  <c r="I972" i="8"/>
  <c r="K972" i="8" s="1"/>
  <c r="H974" i="8"/>
  <c r="N974" i="8"/>
  <c r="M974" i="8"/>
  <c r="G977" i="8"/>
  <c r="I979" i="8"/>
  <c r="K979" i="8" s="1"/>
  <c r="H984" i="8"/>
  <c r="N984" i="8"/>
  <c r="I986" i="8"/>
  <c r="K986" i="8" s="1"/>
  <c r="I988" i="8"/>
  <c r="K988" i="8" s="1"/>
  <c r="L988" i="8" s="1"/>
  <c r="H990" i="8"/>
  <c r="N990" i="8"/>
  <c r="M990" i="8"/>
  <c r="G993" i="8"/>
  <c r="I995" i="8"/>
  <c r="K995" i="8" s="1"/>
  <c r="H1000" i="8"/>
  <c r="N1000" i="8"/>
  <c r="I1002" i="8"/>
  <c r="K1002" i="8" s="1"/>
  <c r="I1004" i="8"/>
  <c r="K1004" i="8" s="1"/>
  <c r="H1006" i="8"/>
  <c r="N1006" i="8"/>
  <c r="M1006" i="8"/>
  <c r="G1009" i="8"/>
  <c r="I1011" i="8"/>
  <c r="K1011" i="8" s="1"/>
  <c r="H1016" i="8"/>
  <c r="N1016" i="8"/>
  <c r="I1018" i="8"/>
  <c r="K1018" i="8" s="1"/>
  <c r="I1020" i="8"/>
  <c r="K1020" i="8" s="1"/>
  <c r="L1020" i="8" s="1"/>
  <c r="H1022" i="8"/>
  <c r="N1022" i="8"/>
  <c r="M1022" i="8"/>
  <c r="G1025" i="8"/>
  <c r="I1027" i="8"/>
  <c r="K1027" i="8" s="1"/>
  <c r="H1032" i="8"/>
  <c r="N1032" i="8"/>
  <c r="I1034" i="8"/>
  <c r="K1034" i="8" s="1"/>
  <c r="I1036" i="8"/>
  <c r="K1036" i="8" s="1"/>
  <c r="H1038" i="8"/>
  <c r="N1038" i="8"/>
  <c r="M1038" i="8"/>
  <c r="G1041" i="8"/>
  <c r="I1043" i="8"/>
  <c r="K1043" i="8" s="1"/>
  <c r="H1048" i="8"/>
  <c r="N1048" i="8"/>
  <c r="I1050" i="8"/>
  <c r="K1050" i="8" s="1"/>
  <c r="I1052" i="8"/>
  <c r="K1052" i="8" s="1"/>
  <c r="L1052" i="8" s="1"/>
  <c r="I1053" i="8"/>
  <c r="K1053" i="8" s="1"/>
  <c r="I1056" i="8"/>
  <c r="K1056" i="8" s="1"/>
  <c r="I1057" i="8"/>
  <c r="K1057" i="8" s="1"/>
  <c r="I1060" i="8"/>
  <c r="K1060" i="8" s="1"/>
  <c r="I1061" i="8"/>
  <c r="K1061" i="8" s="1"/>
  <c r="I1064" i="8"/>
  <c r="K1064" i="8" s="1"/>
  <c r="I1072" i="8"/>
  <c r="K1072" i="8" s="1"/>
  <c r="I1077" i="8"/>
  <c r="K1077" i="8" s="1"/>
  <c r="I1078" i="8"/>
  <c r="K1078" i="8" s="1"/>
  <c r="I1079" i="8"/>
  <c r="K1079" i="8" s="1"/>
  <c r="I1090" i="8"/>
  <c r="K1090" i="8" s="1"/>
  <c r="I1091" i="8"/>
  <c r="K1091" i="8" s="1"/>
  <c r="I1100" i="8"/>
  <c r="K1100" i="8" s="1"/>
  <c r="I1108" i="8"/>
  <c r="K1108" i="8" s="1"/>
  <c r="I1116" i="8"/>
  <c r="K1116" i="8" s="1"/>
  <c r="I1121" i="8"/>
  <c r="K1121" i="8" s="1"/>
  <c r="I1122" i="8"/>
  <c r="K1122" i="8" s="1"/>
  <c r="I1123" i="8"/>
  <c r="K1123" i="8" s="1"/>
  <c r="I1132" i="8"/>
  <c r="K1132" i="8" s="1"/>
  <c r="I1137" i="8"/>
  <c r="K1137" i="8" s="1"/>
  <c r="I1138" i="8"/>
  <c r="K1138" i="8" s="1"/>
  <c r="I1139" i="8"/>
  <c r="K1139" i="8" s="1"/>
  <c r="I1143" i="8"/>
  <c r="K1143" i="8" s="1"/>
  <c r="H684" i="8"/>
  <c r="N684" i="8"/>
  <c r="H688" i="8"/>
  <c r="N688" i="8"/>
  <c r="H692" i="8"/>
  <c r="N692" i="8"/>
  <c r="H696" i="8"/>
  <c r="N696" i="8"/>
  <c r="H700" i="8"/>
  <c r="N700" i="8"/>
  <c r="H704" i="8"/>
  <c r="N704" i="8"/>
  <c r="H708" i="8"/>
  <c r="N708" i="8"/>
  <c r="H712" i="8"/>
  <c r="N712" i="8"/>
  <c r="H716" i="8"/>
  <c r="N716" i="8"/>
  <c r="H720" i="8"/>
  <c r="N720" i="8"/>
  <c r="H724" i="8"/>
  <c r="N724" i="8"/>
  <c r="H728" i="8"/>
  <c r="N728" i="8"/>
  <c r="H732" i="8"/>
  <c r="N732" i="8"/>
  <c r="H736" i="8"/>
  <c r="N736" i="8"/>
  <c r="H740" i="8"/>
  <c r="N740" i="8"/>
  <c r="H744" i="8"/>
  <c r="N744" i="8"/>
  <c r="H748" i="8"/>
  <c r="N748" i="8"/>
  <c r="H752" i="8"/>
  <c r="N752" i="8"/>
  <c r="H756" i="8"/>
  <c r="N756" i="8"/>
  <c r="H760" i="8"/>
  <c r="N760" i="8"/>
  <c r="H764" i="8"/>
  <c r="N764" i="8"/>
  <c r="H768" i="8"/>
  <c r="N768" i="8"/>
  <c r="H772" i="8"/>
  <c r="N772" i="8"/>
  <c r="H776" i="8"/>
  <c r="N776" i="8"/>
  <c r="H780" i="8"/>
  <c r="N780" i="8"/>
  <c r="H784" i="8"/>
  <c r="N784" i="8"/>
  <c r="H788" i="8"/>
  <c r="N788" i="8"/>
  <c r="H792" i="8"/>
  <c r="N792" i="8"/>
  <c r="H796" i="8"/>
  <c r="N796" i="8"/>
  <c r="H800" i="8"/>
  <c r="N800" i="8"/>
  <c r="H804" i="8"/>
  <c r="N804" i="8"/>
  <c r="H808" i="8"/>
  <c r="N808" i="8"/>
  <c r="H812" i="8"/>
  <c r="N812" i="8"/>
  <c r="H816" i="8"/>
  <c r="N816" i="8"/>
  <c r="H820" i="8"/>
  <c r="N820" i="8"/>
  <c r="H824" i="8"/>
  <c r="N824" i="8"/>
  <c r="H828" i="8"/>
  <c r="N828" i="8"/>
  <c r="H832" i="8"/>
  <c r="N832" i="8"/>
  <c r="H836" i="8"/>
  <c r="N836" i="8"/>
  <c r="H840" i="8"/>
  <c r="N840" i="8"/>
  <c r="H844" i="8"/>
  <c r="N844" i="8"/>
  <c r="H848" i="8"/>
  <c r="N848" i="8"/>
  <c r="H852" i="8"/>
  <c r="N852" i="8"/>
  <c r="H856" i="8"/>
  <c r="N856" i="8"/>
  <c r="H860" i="8"/>
  <c r="N860" i="8"/>
  <c r="H864" i="8"/>
  <c r="N864" i="8"/>
  <c r="H868" i="8"/>
  <c r="N868" i="8"/>
  <c r="H872" i="8"/>
  <c r="N872" i="8"/>
  <c r="H876" i="8"/>
  <c r="N876" i="8"/>
  <c r="H880" i="8"/>
  <c r="N880" i="8"/>
  <c r="H884" i="8"/>
  <c r="N884" i="8"/>
  <c r="H888" i="8"/>
  <c r="N888" i="8"/>
  <c r="H892" i="8"/>
  <c r="N892" i="8"/>
  <c r="H896" i="8"/>
  <c r="N896" i="8"/>
  <c r="H900" i="8"/>
  <c r="N900" i="8"/>
  <c r="H904" i="8"/>
  <c r="N904" i="8"/>
  <c r="H908" i="8"/>
  <c r="N908" i="8"/>
  <c r="H912" i="8"/>
  <c r="N912" i="8"/>
  <c r="H916" i="8"/>
  <c r="N916" i="8"/>
  <c r="H920" i="8"/>
  <c r="N920" i="8"/>
  <c r="H924" i="8"/>
  <c r="N924" i="8"/>
  <c r="H928" i="8"/>
  <c r="N928" i="8"/>
  <c r="H932" i="8"/>
  <c r="N932" i="8"/>
  <c r="H936" i="8"/>
  <c r="N936" i="8"/>
  <c r="H940" i="8"/>
  <c r="N940" i="8"/>
  <c r="H944" i="8"/>
  <c r="N944" i="8"/>
  <c r="I952" i="8"/>
  <c r="K952" i="8" s="1"/>
  <c r="H954" i="8"/>
  <c r="N954" i="8"/>
  <c r="M954" i="8"/>
  <c r="M956" i="8"/>
  <c r="H957" i="8"/>
  <c r="N957" i="8"/>
  <c r="M957" i="8"/>
  <c r="I959" i="8"/>
  <c r="K959" i="8" s="1"/>
  <c r="H964" i="8"/>
  <c r="N964" i="8"/>
  <c r="I968" i="8"/>
  <c r="K968" i="8" s="1"/>
  <c r="H970" i="8"/>
  <c r="N970" i="8"/>
  <c r="M970" i="8"/>
  <c r="M972" i="8"/>
  <c r="H973" i="8"/>
  <c r="N973" i="8"/>
  <c r="M973" i="8"/>
  <c r="I975" i="8"/>
  <c r="K975" i="8" s="1"/>
  <c r="H980" i="8"/>
  <c r="N980" i="8"/>
  <c r="I984" i="8"/>
  <c r="K984" i="8" s="1"/>
  <c r="H986" i="8"/>
  <c r="N986" i="8"/>
  <c r="M986" i="8"/>
  <c r="M988" i="8"/>
  <c r="H989" i="8"/>
  <c r="N989" i="8"/>
  <c r="M989" i="8"/>
  <c r="I991" i="8"/>
  <c r="K991" i="8" s="1"/>
  <c r="H996" i="8"/>
  <c r="N996" i="8"/>
  <c r="I1000" i="8"/>
  <c r="K1000" i="8" s="1"/>
  <c r="H1002" i="8"/>
  <c r="N1002" i="8"/>
  <c r="M1002" i="8"/>
  <c r="M1004" i="8"/>
  <c r="H1005" i="8"/>
  <c r="N1005" i="8"/>
  <c r="M1005" i="8"/>
  <c r="I1007" i="8"/>
  <c r="K1007" i="8" s="1"/>
  <c r="H1012" i="8"/>
  <c r="N1012" i="8"/>
  <c r="I1016" i="8"/>
  <c r="K1016" i="8" s="1"/>
  <c r="H1018" i="8"/>
  <c r="N1018" i="8"/>
  <c r="M1018" i="8"/>
  <c r="H1021" i="8"/>
  <c r="N1021" i="8"/>
  <c r="M1021" i="8"/>
  <c r="I1023" i="8"/>
  <c r="K1023" i="8" s="1"/>
  <c r="H1028" i="8"/>
  <c r="N1028" i="8"/>
  <c r="I1032" i="8"/>
  <c r="K1032" i="8" s="1"/>
  <c r="H1034" i="8"/>
  <c r="N1034" i="8"/>
  <c r="M1034" i="8"/>
  <c r="M1036" i="8"/>
  <c r="H1037" i="8"/>
  <c r="N1037" i="8"/>
  <c r="M1037" i="8"/>
  <c r="I1039" i="8"/>
  <c r="K1039" i="8" s="1"/>
  <c r="H1044" i="8"/>
  <c r="N1044" i="8"/>
  <c r="I1048" i="8"/>
  <c r="K1048" i="8" s="1"/>
  <c r="L1048" i="8" s="1"/>
  <c r="H1050" i="8"/>
  <c r="N1050" i="8"/>
  <c r="M1050" i="8"/>
  <c r="H1053" i="8"/>
  <c r="N1053" i="8"/>
  <c r="M1053" i="8"/>
  <c r="H1057" i="8"/>
  <c r="N1057" i="8"/>
  <c r="M1057" i="8"/>
  <c r="H1061" i="8"/>
  <c r="N1061" i="8"/>
  <c r="M1061" i="8"/>
  <c r="I1065" i="8"/>
  <c r="K1065" i="8" s="1"/>
  <c r="I1066" i="8"/>
  <c r="K1066" i="8" s="1"/>
  <c r="I1067" i="8"/>
  <c r="K1067" i="8" s="1"/>
  <c r="L1067" i="8" s="1"/>
  <c r="I1069" i="8"/>
  <c r="K1069" i="8" s="1"/>
  <c r="I1073" i="8"/>
  <c r="K1073" i="8" s="1"/>
  <c r="I1074" i="8"/>
  <c r="K1074" i="8" s="1"/>
  <c r="I1075" i="8"/>
  <c r="K1075" i="8" s="1"/>
  <c r="I1084" i="8"/>
  <c r="K1084" i="8" s="1"/>
  <c r="I1088" i="8"/>
  <c r="K1088" i="8" s="1"/>
  <c r="I1096" i="8"/>
  <c r="K1096" i="8" s="1"/>
  <c r="I1101" i="8"/>
  <c r="K1101" i="8" s="1"/>
  <c r="I1102" i="8"/>
  <c r="K1102" i="8" s="1"/>
  <c r="I1103" i="8"/>
  <c r="K1103" i="8" s="1"/>
  <c r="I1105" i="8"/>
  <c r="K1105" i="8" s="1"/>
  <c r="L1105" i="8" s="1"/>
  <c r="I1112" i="8"/>
  <c r="K1112" i="8" s="1"/>
  <c r="I1117" i="8"/>
  <c r="K1117" i="8" s="1"/>
  <c r="I1118" i="8"/>
  <c r="K1118" i="8" s="1"/>
  <c r="I1119" i="8"/>
  <c r="K1119" i="8" s="1"/>
  <c r="I1128" i="8"/>
  <c r="K1128" i="8" s="1"/>
  <c r="I1133" i="8"/>
  <c r="K1133" i="8" s="1"/>
  <c r="I1134" i="8"/>
  <c r="K1134" i="8" s="1"/>
  <c r="I1135" i="8"/>
  <c r="K1135" i="8" s="1"/>
  <c r="M910" i="8"/>
  <c r="M914" i="8"/>
  <c r="M918" i="8"/>
  <c r="M922" i="8"/>
  <c r="M926" i="8"/>
  <c r="M930" i="8"/>
  <c r="M934" i="8"/>
  <c r="M938" i="8"/>
  <c r="M942" i="8"/>
  <c r="M946" i="8"/>
  <c r="G947" i="8"/>
  <c r="H950" i="8"/>
  <c r="M950" i="8"/>
  <c r="N950" i="8"/>
  <c r="M952" i="8"/>
  <c r="I955" i="8"/>
  <c r="K955" i="8" s="1"/>
  <c r="L955" i="8" s="1"/>
  <c r="H960" i="8"/>
  <c r="N960" i="8"/>
  <c r="I962" i="8"/>
  <c r="K962" i="8" s="1"/>
  <c r="I964" i="8"/>
  <c r="K964" i="8" s="1"/>
  <c r="L964" i="8" s="1"/>
  <c r="H966" i="8"/>
  <c r="M966" i="8"/>
  <c r="N966" i="8"/>
  <c r="M968" i="8"/>
  <c r="I971" i="8"/>
  <c r="K971" i="8" s="1"/>
  <c r="L971" i="8" s="1"/>
  <c r="H976" i="8"/>
  <c r="N976" i="8"/>
  <c r="I978" i="8"/>
  <c r="K978" i="8" s="1"/>
  <c r="I980" i="8"/>
  <c r="K980" i="8" s="1"/>
  <c r="L980" i="8" s="1"/>
  <c r="H982" i="8"/>
  <c r="N982" i="8"/>
  <c r="M982" i="8"/>
  <c r="M984" i="8"/>
  <c r="I987" i="8"/>
  <c r="K987" i="8" s="1"/>
  <c r="L987" i="8" s="1"/>
  <c r="H992" i="8"/>
  <c r="N992" i="8"/>
  <c r="I994" i="8"/>
  <c r="K994" i="8" s="1"/>
  <c r="I996" i="8"/>
  <c r="K996" i="8" s="1"/>
  <c r="H998" i="8"/>
  <c r="M998" i="8"/>
  <c r="N998" i="8"/>
  <c r="M1000" i="8"/>
  <c r="I1003" i="8"/>
  <c r="K1003" i="8" s="1"/>
  <c r="L1003" i="8" s="1"/>
  <c r="H1008" i="8"/>
  <c r="N1008" i="8"/>
  <c r="I1010" i="8"/>
  <c r="K1010" i="8" s="1"/>
  <c r="I1012" i="8"/>
  <c r="K1012" i="8" s="1"/>
  <c r="L1012" i="8" s="1"/>
  <c r="H1014" i="8"/>
  <c r="M1014" i="8"/>
  <c r="N1014" i="8"/>
  <c r="M1016" i="8"/>
  <c r="I1019" i="8"/>
  <c r="K1019" i="8" s="1"/>
  <c r="L1019" i="8" s="1"/>
  <c r="H1024" i="8"/>
  <c r="N1024" i="8"/>
  <c r="I1026" i="8"/>
  <c r="K1026" i="8" s="1"/>
  <c r="I1028" i="8"/>
  <c r="K1028" i="8" s="1"/>
  <c r="H1030" i="8"/>
  <c r="M1030" i="8"/>
  <c r="N1030" i="8"/>
  <c r="M1032" i="8"/>
  <c r="I1035" i="8"/>
  <c r="K1035" i="8" s="1"/>
  <c r="L1035" i="8" s="1"/>
  <c r="H1040" i="8"/>
  <c r="N1040" i="8"/>
  <c r="I1042" i="8"/>
  <c r="K1042" i="8" s="1"/>
  <c r="I1044" i="8"/>
  <c r="K1044" i="8" s="1"/>
  <c r="H1046" i="8"/>
  <c r="N1046" i="8"/>
  <c r="M1046" i="8"/>
  <c r="M1048" i="8"/>
  <c r="I1051" i="8"/>
  <c r="K1051" i="8" s="1"/>
  <c r="L1051" i="8" s="1"/>
  <c r="I1054" i="8"/>
  <c r="K1054" i="8" s="1"/>
  <c r="I1055" i="8"/>
  <c r="K1055" i="8" s="1"/>
  <c r="I1058" i="8"/>
  <c r="K1058" i="8" s="1"/>
  <c r="I1059" i="8"/>
  <c r="K1059" i="8" s="1"/>
  <c r="I1062" i="8"/>
  <c r="K1062" i="8" s="1"/>
  <c r="I1063" i="8"/>
  <c r="K1063" i="8" s="1"/>
  <c r="I1070" i="8"/>
  <c r="K1070" i="8" s="1"/>
  <c r="I1071" i="8"/>
  <c r="K1071" i="8" s="1"/>
  <c r="I1080" i="8"/>
  <c r="K1080" i="8" s="1"/>
  <c r="I1085" i="8"/>
  <c r="K1085" i="8" s="1"/>
  <c r="I1092" i="8"/>
  <c r="K1092" i="8" s="1"/>
  <c r="I1097" i="8"/>
  <c r="K1097" i="8" s="1"/>
  <c r="I1098" i="8"/>
  <c r="K1098" i="8" s="1"/>
  <c r="I1099" i="8"/>
  <c r="K1099" i="8" s="1"/>
  <c r="I1106" i="8"/>
  <c r="K1106" i="8" s="1"/>
  <c r="I1107" i="8"/>
  <c r="K1107" i="8" s="1"/>
  <c r="I1109" i="8"/>
  <c r="K1109" i="8" s="1"/>
  <c r="L1109" i="8" s="1"/>
  <c r="I1113" i="8"/>
  <c r="K1113" i="8" s="1"/>
  <c r="I1114" i="8"/>
  <c r="K1114" i="8" s="1"/>
  <c r="I1115" i="8"/>
  <c r="K1115" i="8" s="1"/>
  <c r="I1124" i="8"/>
  <c r="K1124" i="8" s="1"/>
  <c r="I1129" i="8"/>
  <c r="K1129" i="8" s="1"/>
  <c r="I1130" i="8"/>
  <c r="K1130" i="8" s="1"/>
  <c r="I1131" i="8"/>
  <c r="K1131" i="8" s="1"/>
  <c r="G1054" i="8"/>
  <c r="G1058" i="8"/>
  <c r="G1062" i="8"/>
  <c r="G1066" i="8"/>
  <c r="G1070" i="8"/>
  <c r="G1074" i="8"/>
  <c r="G1078" i="8"/>
  <c r="G1082" i="8"/>
  <c r="G1086" i="8"/>
  <c r="M1089" i="8"/>
  <c r="G1090" i="8"/>
  <c r="G1094" i="8"/>
  <c r="G1098" i="8"/>
  <c r="G1102" i="8"/>
  <c r="M1105" i="8"/>
  <c r="G1106" i="8"/>
  <c r="M1109" i="8"/>
  <c r="G1110" i="8"/>
  <c r="G1114" i="8"/>
  <c r="G1118" i="8"/>
  <c r="G1122" i="8"/>
  <c r="G1126" i="8"/>
  <c r="G1130" i="8"/>
  <c r="G1134" i="8"/>
  <c r="G1138" i="8"/>
  <c r="I1144" i="8"/>
  <c r="K1144" i="8" s="1"/>
  <c r="N1109" i="8"/>
  <c r="N1019" i="8"/>
  <c r="N955" i="8"/>
  <c r="G1065" i="8"/>
  <c r="H1069" i="8"/>
  <c r="N1069" i="8"/>
  <c r="G1073" i="8"/>
  <c r="G1077" i="8"/>
  <c r="G1081" i="8"/>
  <c r="H1085" i="8"/>
  <c r="N1085" i="8"/>
  <c r="G1093" i="8"/>
  <c r="G1097" i="8"/>
  <c r="G1101" i="8"/>
  <c r="G1113" i="8"/>
  <c r="G1117" i="8"/>
  <c r="G1121" i="8"/>
  <c r="G1125" i="8"/>
  <c r="G1129" i="8"/>
  <c r="G1133" i="8"/>
  <c r="G1137" i="8"/>
  <c r="I1140" i="8"/>
  <c r="K1140" i="8" s="1"/>
  <c r="I1142" i="8"/>
  <c r="K1142" i="8" s="1"/>
  <c r="L1142" i="8" s="1"/>
  <c r="H1144" i="8"/>
  <c r="M1144" i="8"/>
  <c r="N1144" i="8"/>
  <c r="N1035" i="8"/>
  <c r="N971" i="8"/>
  <c r="H1064" i="8"/>
  <c r="N1064" i="8"/>
  <c r="H1068" i="8"/>
  <c r="N1068" i="8"/>
  <c r="H1072" i="8"/>
  <c r="N1072" i="8"/>
  <c r="H1076" i="8"/>
  <c r="N1076" i="8"/>
  <c r="H1080" i="8"/>
  <c r="N1080" i="8"/>
  <c r="H1084" i="8"/>
  <c r="N1084" i="8"/>
  <c r="H1088" i="8"/>
  <c r="N1088" i="8"/>
  <c r="H1092" i="8"/>
  <c r="N1092" i="8"/>
  <c r="H1096" i="8"/>
  <c r="N1096" i="8"/>
  <c r="H1100" i="8"/>
  <c r="N1100" i="8"/>
  <c r="H1104" i="8"/>
  <c r="N1104" i="8"/>
  <c r="H1108" i="8"/>
  <c r="N1108" i="8"/>
  <c r="H1112" i="8"/>
  <c r="N1112" i="8"/>
  <c r="H1116" i="8"/>
  <c r="N1116" i="8"/>
  <c r="H1120" i="8"/>
  <c r="N1120" i="8"/>
  <c r="H1124" i="8"/>
  <c r="N1124" i="8"/>
  <c r="H1128" i="8"/>
  <c r="N1128" i="8"/>
  <c r="H1132" i="8"/>
  <c r="N1132" i="8"/>
  <c r="H1136" i="8"/>
  <c r="N1136" i="8"/>
  <c r="H1140" i="8"/>
  <c r="N1140" i="8"/>
  <c r="M1140" i="8"/>
  <c r="M1142" i="8"/>
  <c r="H1143" i="8"/>
  <c r="N1143" i="8"/>
  <c r="M1143" i="8"/>
  <c r="N1105" i="8"/>
  <c r="N1089" i="8"/>
  <c r="N1051" i="8"/>
  <c r="N987" i="8"/>
  <c r="H951" i="8"/>
  <c r="N951" i="8"/>
  <c r="H959" i="8"/>
  <c r="N959" i="8"/>
  <c r="H963" i="8"/>
  <c r="N963" i="8"/>
  <c r="H967" i="8"/>
  <c r="N967" i="8"/>
  <c r="H975" i="8"/>
  <c r="N975" i="8"/>
  <c r="H979" i="8"/>
  <c r="N979" i="8"/>
  <c r="H983" i="8"/>
  <c r="N983" i="8"/>
  <c r="H991" i="8"/>
  <c r="N991" i="8"/>
  <c r="H995" i="8"/>
  <c r="N995" i="8"/>
  <c r="H999" i="8"/>
  <c r="N999" i="8"/>
  <c r="H1007" i="8"/>
  <c r="N1007" i="8"/>
  <c r="H1011" i="8"/>
  <c r="N1011" i="8"/>
  <c r="H1015" i="8"/>
  <c r="N1015" i="8"/>
  <c r="H1023" i="8"/>
  <c r="N1023" i="8"/>
  <c r="H1027" i="8"/>
  <c r="N1027" i="8"/>
  <c r="H1031" i="8"/>
  <c r="N1031" i="8"/>
  <c r="H1039" i="8"/>
  <c r="N1039" i="8"/>
  <c r="H1043" i="8"/>
  <c r="N1043" i="8"/>
  <c r="H1047" i="8"/>
  <c r="N1047" i="8"/>
  <c r="H1055" i="8"/>
  <c r="N1055" i="8"/>
  <c r="H1059" i="8"/>
  <c r="N1059" i="8"/>
  <c r="H1063" i="8"/>
  <c r="N1063" i="8"/>
  <c r="H1071" i="8"/>
  <c r="N1071" i="8"/>
  <c r="H1075" i="8"/>
  <c r="N1075" i="8"/>
  <c r="H1079" i="8"/>
  <c r="N1079" i="8"/>
  <c r="H1083" i="8"/>
  <c r="N1083" i="8"/>
  <c r="H1087" i="8"/>
  <c r="N1087" i="8"/>
  <c r="H1091" i="8"/>
  <c r="N1091" i="8"/>
  <c r="H1095" i="8"/>
  <c r="N1095" i="8"/>
  <c r="H1099" i="8"/>
  <c r="N1099" i="8"/>
  <c r="H1103" i="8"/>
  <c r="N1103" i="8"/>
  <c r="H1107" i="8"/>
  <c r="N1107" i="8"/>
  <c r="H1111" i="8"/>
  <c r="N1111" i="8"/>
  <c r="H1115" i="8"/>
  <c r="N1115" i="8"/>
  <c r="H1119" i="8"/>
  <c r="N1119" i="8"/>
  <c r="H1123" i="8"/>
  <c r="N1123" i="8"/>
  <c r="H1127" i="8"/>
  <c r="N1127" i="8"/>
  <c r="H1131" i="8"/>
  <c r="N1131" i="8"/>
  <c r="H1135" i="8"/>
  <c r="N1135" i="8"/>
  <c r="H1139" i="8"/>
  <c r="N1139" i="8"/>
  <c r="M1139" i="8"/>
  <c r="I1141" i="8"/>
  <c r="K1141" i="8" s="1"/>
  <c r="L1141" i="8" s="1"/>
  <c r="N1142" i="8"/>
  <c r="N1067" i="8"/>
  <c r="N1003" i="8"/>
  <c r="L943" i="8" l="1"/>
  <c r="L927" i="8"/>
  <c r="L911" i="8"/>
  <c r="L453" i="8"/>
  <c r="L318" i="8"/>
  <c r="L310" i="8"/>
  <c r="H158" i="8"/>
  <c r="L158" i="8" s="1"/>
  <c r="L118" i="8"/>
  <c r="L522" i="8"/>
  <c r="H422" i="8"/>
  <c r="L422" i="8" s="1"/>
  <c r="H222" i="8"/>
  <c r="L222" i="8" s="1"/>
  <c r="L182" i="8"/>
  <c r="N291" i="8"/>
  <c r="L1144" i="8"/>
  <c r="L638" i="8"/>
  <c r="L606" i="8"/>
  <c r="L583" i="8"/>
  <c r="H525" i="8"/>
  <c r="L525" i="8" s="1"/>
  <c r="L514" i="8"/>
  <c r="L464" i="8"/>
  <c r="N418" i="8"/>
  <c r="L410" i="8"/>
  <c r="L382" i="8"/>
  <c r="H314" i="8"/>
  <c r="L314" i="8" s="1"/>
  <c r="L298" i="8"/>
  <c r="L254" i="8"/>
  <c r="L246" i="8"/>
  <c r="L106" i="8"/>
  <c r="L320" i="8"/>
  <c r="L215" i="8"/>
  <c r="L119" i="8"/>
  <c r="L172" i="8"/>
  <c r="L530" i="8"/>
  <c r="H498" i="8"/>
  <c r="L498" i="8" s="1"/>
  <c r="L446" i="8"/>
  <c r="N402" i="8"/>
  <c r="N346" i="8"/>
  <c r="N290" i="8"/>
  <c r="L666" i="8"/>
  <c r="L634" i="8"/>
  <c r="L602" i="8"/>
  <c r="L452" i="8"/>
  <c r="L574" i="8"/>
  <c r="L526" i="8"/>
  <c r="L404" i="8"/>
  <c r="L328" i="8"/>
  <c r="L288" i="8"/>
  <c r="L96" i="8"/>
  <c r="H418" i="8"/>
  <c r="L418" i="8" s="1"/>
  <c r="H402" i="8"/>
  <c r="L402" i="8" s="1"/>
  <c r="L394" i="8"/>
  <c r="H346" i="8"/>
  <c r="L346" i="8" s="1"/>
  <c r="L338" i="8"/>
  <c r="H290" i="8"/>
  <c r="L290" i="8" s="1"/>
  <c r="L282" i="8"/>
  <c r="L258" i="8"/>
  <c r="L194" i="8"/>
  <c r="L379" i="8"/>
  <c r="L1143" i="8"/>
  <c r="L1132" i="8"/>
  <c r="L1116" i="8"/>
  <c r="L1050" i="8"/>
  <c r="L1036" i="8"/>
  <c r="L972" i="8"/>
  <c r="L662" i="8"/>
  <c r="N525" i="8"/>
  <c r="L477" i="8"/>
  <c r="L442" i="8"/>
  <c r="N222" i="8"/>
  <c r="N158" i="8"/>
  <c r="L505" i="8"/>
  <c r="L673" i="8"/>
  <c r="L623" i="8"/>
  <c r="L506" i="8"/>
  <c r="L84" i="8"/>
  <c r="L72" i="8"/>
  <c r="L32" i="8"/>
  <c r="N573" i="8"/>
  <c r="M498" i="8"/>
  <c r="L490" i="8"/>
  <c r="L407" i="8"/>
  <c r="L148" i="8"/>
  <c r="L136" i="8"/>
  <c r="L1026" i="8"/>
  <c r="L962" i="8"/>
  <c r="H573" i="8"/>
  <c r="L573" i="8" s="1"/>
  <c r="N422" i="8"/>
  <c r="L435" i="8"/>
  <c r="L384" i="8"/>
  <c r="L120" i="8"/>
  <c r="L976" i="8"/>
  <c r="L56" i="8"/>
  <c r="L984" i="8"/>
  <c r="L1085" i="8"/>
  <c r="L1028" i="8"/>
  <c r="L978" i="8"/>
  <c r="L1119" i="8"/>
  <c r="L1096" i="8"/>
  <c r="L975" i="8"/>
  <c r="L1072" i="8"/>
  <c r="L1027" i="8"/>
  <c r="L1136" i="8"/>
  <c r="L1095" i="8"/>
  <c r="L1040" i="8"/>
  <c r="L965" i="8"/>
  <c r="L924" i="8"/>
  <c r="L1042" i="8"/>
  <c r="L1135" i="8"/>
  <c r="L968" i="8"/>
  <c r="L1057" i="8"/>
  <c r="L963" i="8"/>
  <c r="L1120" i="8"/>
  <c r="L1087" i="8"/>
  <c r="L1029" i="8"/>
  <c r="L1124" i="8"/>
  <c r="L1080" i="8"/>
  <c r="L1103" i="8"/>
  <c r="L1088" i="8"/>
  <c r="L1039" i="8"/>
  <c r="L1032" i="8"/>
  <c r="L1079" i="8"/>
  <c r="L1064" i="8"/>
  <c r="L970" i="8"/>
  <c r="L1127" i="8"/>
  <c r="L1111" i="8"/>
  <c r="L939" i="8"/>
  <c r="L938" i="8"/>
  <c r="L922" i="8"/>
  <c r="L568" i="8"/>
  <c r="L520" i="8"/>
  <c r="L488" i="8"/>
  <c r="L456" i="8"/>
  <c r="L949" i="8"/>
  <c r="L356" i="8"/>
  <c r="L228" i="8"/>
  <c r="L88" i="8"/>
  <c r="L36" i="8"/>
  <c r="L408" i="8"/>
  <c r="L380" i="8"/>
  <c r="L295" i="8"/>
  <c r="L244" i="8"/>
  <c r="L164" i="8"/>
  <c r="L100" i="8"/>
  <c r="L48" i="8"/>
  <c r="L152" i="8"/>
  <c r="L594" i="8"/>
  <c r="L516" i="8"/>
  <c r="L436" i="8"/>
  <c r="L292" i="8"/>
  <c r="L204" i="8"/>
  <c r="L52" i="8"/>
  <c r="L104" i="8"/>
  <c r="H1093" i="8"/>
  <c r="L1093" i="8" s="1"/>
  <c r="N1093" i="8"/>
  <c r="M1093" i="8"/>
  <c r="H1065" i="8"/>
  <c r="N1065" i="8"/>
  <c r="M1065" i="8"/>
  <c r="L1099" i="8"/>
  <c r="L1023" i="8"/>
  <c r="H937" i="8"/>
  <c r="L937" i="8" s="1"/>
  <c r="N937" i="8"/>
  <c r="M937" i="8"/>
  <c r="H921" i="8"/>
  <c r="N921" i="8"/>
  <c r="M921" i="8"/>
  <c r="H905" i="8"/>
  <c r="N905" i="8"/>
  <c r="M905" i="8"/>
  <c r="H889" i="8"/>
  <c r="N889" i="8"/>
  <c r="M889" i="8"/>
  <c r="H873" i="8"/>
  <c r="L873" i="8" s="1"/>
  <c r="N873" i="8"/>
  <c r="M873" i="8"/>
  <c r="H857" i="8"/>
  <c r="N857" i="8"/>
  <c r="M857" i="8"/>
  <c r="H841" i="8"/>
  <c r="N841" i="8"/>
  <c r="M841" i="8"/>
  <c r="H825" i="8"/>
  <c r="N825" i="8"/>
  <c r="M825" i="8"/>
  <c r="H809" i="8"/>
  <c r="L809" i="8" s="1"/>
  <c r="N809" i="8"/>
  <c r="M809" i="8"/>
  <c r="H793" i="8"/>
  <c r="N793" i="8"/>
  <c r="M793" i="8"/>
  <c r="H777" i="8"/>
  <c r="N777" i="8"/>
  <c r="M777" i="8"/>
  <c r="H761" i="8"/>
  <c r="N761" i="8"/>
  <c r="M761" i="8"/>
  <c r="H745" i="8"/>
  <c r="L745" i="8" s="1"/>
  <c r="N745" i="8"/>
  <c r="M745" i="8"/>
  <c r="H729" i="8"/>
  <c r="N729" i="8"/>
  <c r="M729" i="8"/>
  <c r="H713" i="8"/>
  <c r="N713" i="8"/>
  <c r="M713" i="8"/>
  <c r="H697" i="8"/>
  <c r="N697" i="8"/>
  <c r="M697" i="8"/>
  <c r="L1031" i="8"/>
  <c r="L967" i="8"/>
  <c r="L904" i="8"/>
  <c r="L872" i="8"/>
  <c r="L836" i="8"/>
  <c r="L800" i="8"/>
  <c r="L780" i="8"/>
  <c r="L756" i="8"/>
  <c r="L720" i="8"/>
  <c r="L696" i="8"/>
  <c r="L974" i="8"/>
  <c r="L1038" i="8"/>
  <c r="L998" i="8"/>
  <c r="M2" i="8"/>
  <c r="H2" i="8"/>
  <c r="N2" i="8"/>
  <c r="L903" i="8"/>
  <c r="L895" i="8"/>
  <c r="L887" i="8"/>
  <c r="L879" i="8"/>
  <c r="L871" i="8"/>
  <c r="L863" i="8"/>
  <c r="L855" i="8"/>
  <c r="L847" i="8"/>
  <c r="L839" i="8"/>
  <c r="L831" i="8"/>
  <c r="L823" i="8"/>
  <c r="L815" i="8"/>
  <c r="L807" i="8"/>
  <c r="L799" i="8"/>
  <c r="L791" i="8"/>
  <c r="L783" i="8"/>
  <c r="L775" i="8"/>
  <c r="L767" i="8"/>
  <c r="L759" i="8"/>
  <c r="L751" i="8"/>
  <c r="L743" i="8"/>
  <c r="L735" i="8"/>
  <c r="L727" i="8"/>
  <c r="L719" i="8"/>
  <c r="L711" i="8"/>
  <c r="L703" i="8"/>
  <c r="L695" i="8"/>
  <c r="L687" i="8"/>
  <c r="H582" i="8"/>
  <c r="L582" i="8" s="1"/>
  <c r="N582" i="8"/>
  <c r="M582" i="8"/>
  <c r="L575" i="8"/>
  <c r="H561" i="8"/>
  <c r="L561" i="8" s="1"/>
  <c r="N561" i="8"/>
  <c r="M561" i="8"/>
  <c r="H534" i="8"/>
  <c r="L534" i="8" s="1"/>
  <c r="N534" i="8"/>
  <c r="M534" i="8"/>
  <c r="L527" i="8"/>
  <c r="H513" i="8"/>
  <c r="L513" i="8" s="1"/>
  <c r="N513" i="8"/>
  <c r="M513" i="8"/>
  <c r="H502" i="8"/>
  <c r="L502" i="8" s="1"/>
  <c r="N502" i="8"/>
  <c r="M502" i="8"/>
  <c r="L495" i="8"/>
  <c r="H481" i="8"/>
  <c r="L481" i="8" s="1"/>
  <c r="N481" i="8"/>
  <c r="M481" i="8"/>
  <c r="H470" i="8"/>
  <c r="L470" i="8" s="1"/>
  <c r="N470" i="8"/>
  <c r="M470" i="8"/>
  <c r="L463" i="8"/>
  <c r="H449" i="8"/>
  <c r="L449" i="8" s="1"/>
  <c r="N449" i="8"/>
  <c r="M449" i="8"/>
  <c r="H433" i="8"/>
  <c r="L433" i="8" s="1"/>
  <c r="N433" i="8"/>
  <c r="M433" i="8"/>
  <c r="H417" i="8"/>
  <c r="L417" i="8" s="1"/>
  <c r="N417" i="8"/>
  <c r="M417" i="8"/>
  <c r="H401" i="8"/>
  <c r="L401" i="8" s="1"/>
  <c r="N401" i="8"/>
  <c r="M401" i="8"/>
  <c r="H385" i="8"/>
  <c r="L385" i="8" s="1"/>
  <c r="N385" i="8"/>
  <c r="M385" i="8"/>
  <c r="H369" i="8"/>
  <c r="L369" i="8" s="1"/>
  <c r="N369" i="8"/>
  <c r="M369" i="8"/>
  <c r="H353" i="8"/>
  <c r="L353" i="8" s="1"/>
  <c r="N353" i="8"/>
  <c r="M353" i="8"/>
  <c r="H337" i="8"/>
  <c r="L337" i="8" s="1"/>
  <c r="N337" i="8"/>
  <c r="M337" i="8"/>
  <c r="H321" i="8"/>
  <c r="L321" i="8" s="1"/>
  <c r="N321" i="8"/>
  <c r="M321" i="8"/>
  <c r="H305" i="8"/>
  <c r="L305" i="8" s="1"/>
  <c r="N305" i="8"/>
  <c r="M305" i="8"/>
  <c r="H289" i="8"/>
  <c r="L289" i="8" s="1"/>
  <c r="N289" i="8"/>
  <c r="M289" i="8"/>
  <c r="H273" i="8"/>
  <c r="L273" i="8" s="1"/>
  <c r="N273" i="8"/>
  <c r="M273" i="8"/>
  <c r="H257" i="8"/>
  <c r="L257" i="8" s="1"/>
  <c r="N257" i="8"/>
  <c r="M257" i="8"/>
  <c r="H241" i="8"/>
  <c r="L241" i="8" s="1"/>
  <c r="N241" i="8"/>
  <c r="M241" i="8"/>
  <c r="H225" i="8"/>
  <c r="L225" i="8" s="1"/>
  <c r="N225" i="8"/>
  <c r="M225" i="8"/>
  <c r="H209" i="8"/>
  <c r="L209" i="8" s="1"/>
  <c r="N209" i="8"/>
  <c r="M209" i="8"/>
  <c r="H193" i="8"/>
  <c r="L193" i="8" s="1"/>
  <c r="N193" i="8"/>
  <c r="M193" i="8"/>
  <c r="H177" i="8"/>
  <c r="L177" i="8" s="1"/>
  <c r="N177" i="8"/>
  <c r="M177" i="8"/>
  <c r="H161" i="8"/>
  <c r="L161" i="8" s="1"/>
  <c r="N161" i="8"/>
  <c r="M161" i="8"/>
  <c r="H145" i="8"/>
  <c r="L145" i="8" s="1"/>
  <c r="N145" i="8"/>
  <c r="M145" i="8"/>
  <c r="H129" i="8"/>
  <c r="L129" i="8" s="1"/>
  <c r="N129" i="8"/>
  <c r="M129" i="8"/>
  <c r="H113" i="8"/>
  <c r="L113" i="8" s="1"/>
  <c r="N113" i="8"/>
  <c r="M113" i="8"/>
  <c r="H97" i="8"/>
  <c r="L97" i="8" s="1"/>
  <c r="N97" i="8"/>
  <c r="M97" i="8"/>
  <c r="H81" i="8"/>
  <c r="L81" i="8" s="1"/>
  <c r="N81" i="8"/>
  <c r="M81" i="8"/>
  <c r="H65" i="8"/>
  <c r="L65" i="8" s="1"/>
  <c r="N65" i="8"/>
  <c r="M65" i="8"/>
  <c r="H49" i="8"/>
  <c r="L49" i="8" s="1"/>
  <c r="N49" i="8"/>
  <c r="M49" i="8"/>
  <c r="H33" i="8"/>
  <c r="L33" i="8" s="1"/>
  <c r="N33" i="8"/>
  <c r="M33" i="8"/>
  <c r="L864" i="8"/>
  <c r="L748" i="8"/>
  <c r="L997" i="8"/>
  <c r="L905" i="8"/>
  <c r="L889" i="8"/>
  <c r="L857" i="8"/>
  <c r="L841" i="8"/>
  <c r="L825" i="8"/>
  <c r="L793" i="8"/>
  <c r="L777" i="8"/>
  <c r="L761" i="8"/>
  <c r="L729" i="8"/>
  <c r="L713" i="8"/>
  <c r="L697" i="8"/>
  <c r="L661" i="8"/>
  <c r="L652" i="8"/>
  <c r="L629" i="8"/>
  <c r="L620" i="8"/>
  <c r="L597" i="8"/>
  <c r="L588" i="8"/>
  <c r="L539" i="8"/>
  <c r="L523" i="8"/>
  <c r="L512" i="8"/>
  <c r="L908" i="8"/>
  <c r="L856" i="8"/>
  <c r="L808" i="8"/>
  <c r="L752" i="8"/>
  <c r="H1133" i="8"/>
  <c r="L1133" i="8" s="1"/>
  <c r="N1133" i="8"/>
  <c r="M1133" i="8"/>
  <c r="L1055" i="8"/>
  <c r="H1041" i="8"/>
  <c r="L1041" i="8" s="1"/>
  <c r="N1041" i="8"/>
  <c r="M1041" i="8"/>
  <c r="L1139" i="8"/>
  <c r="L1034" i="8"/>
  <c r="H1025" i="8"/>
  <c r="N1025" i="8"/>
  <c r="M1025" i="8"/>
  <c r="H961" i="8"/>
  <c r="L961" i="8" s="1"/>
  <c r="N961" i="8"/>
  <c r="M961" i="8"/>
  <c r="L1076" i="8"/>
  <c r="L1047" i="8"/>
  <c r="L992" i="8"/>
  <c r="L983" i="8"/>
  <c r="L884" i="8"/>
  <c r="L852" i="8"/>
  <c r="L816" i="8"/>
  <c r="L792" i="8"/>
  <c r="L772" i="8"/>
  <c r="L736" i="8"/>
  <c r="L708" i="8"/>
  <c r="L692" i="8"/>
  <c r="L678" i="8"/>
  <c r="L990" i="8"/>
  <c r="L950" i="8"/>
  <c r="L1014" i="8"/>
  <c r="L2" i="8"/>
  <c r="L1045" i="8"/>
  <c r="L973" i="8"/>
  <c r="L559" i="8"/>
  <c r="H545" i="8"/>
  <c r="L545" i="8" s="1"/>
  <c r="N545" i="8"/>
  <c r="M545" i="8"/>
  <c r="H445" i="8"/>
  <c r="L445" i="8" s="1"/>
  <c r="N445" i="8"/>
  <c r="M445" i="8"/>
  <c r="H429" i="8"/>
  <c r="L429" i="8" s="1"/>
  <c r="N429" i="8"/>
  <c r="M429" i="8"/>
  <c r="H413" i="8"/>
  <c r="L413" i="8" s="1"/>
  <c r="N413" i="8"/>
  <c r="M413" i="8"/>
  <c r="H397" i="8"/>
  <c r="L397" i="8" s="1"/>
  <c r="N397" i="8"/>
  <c r="M397" i="8"/>
  <c r="H381" i="8"/>
  <c r="L381" i="8" s="1"/>
  <c r="N381" i="8"/>
  <c r="M381" i="8"/>
  <c r="H365" i="8"/>
  <c r="L365" i="8" s="1"/>
  <c r="N365" i="8"/>
  <c r="M365" i="8"/>
  <c r="H349" i="8"/>
  <c r="L349" i="8" s="1"/>
  <c r="N349" i="8"/>
  <c r="M349" i="8"/>
  <c r="H333" i="8"/>
  <c r="L333" i="8" s="1"/>
  <c r="N333" i="8"/>
  <c r="M333" i="8"/>
  <c r="H317" i="8"/>
  <c r="L317" i="8" s="1"/>
  <c r="N317" i="8"/>
  <c r="M317" i="8"/>
  <c r="H301" i="8"/>
  <c r="L301" i="8" s="1"/>
  <c r="N301" i="8"/>
  <c r="M301" i="8"/>
  <c r="H285" i="8"/>
  <c r="L285" i="8" s="1"/>
  <c r="N285" i="8"/>
  <c r="M285" i="8"/>
  <c r="H269" i="8"/>
  <c r="L269" i="8" s="1"/>
  <c r="N269" i="8"/>
  <c r="M269" i="8"/>
  <c r="H253" i="8"/>
  <c r="L253" i="8" s="1"/>
  <c r="N253" i="8"/>
  <c r="M253" i="8"/>
  <c r="H237" i="8"/>
  <c r="L237" i="8" s="1"/>
  <c r="N237" i="8"/>
  <c r="M237" i="8"/>
  <c r="H221" i="8"/>
  <c r="L221" i="8" s="1"/>
  <c r="N221" i="8"/>
  <c r="M221" i="8"/>
  <c r="H205" i="8"/>
  <c r="L205" i="8" s="1"/>
  <c r="N205" i="8"/>
  <c r="M205" i="8"/>
  <c r="H189" i="8"/>
  <c r="L189" i="8" s="1"/>
  <c r="N189" i="8"/>
  <c r="M189" i="8"/>
  <c r="H173" i="8"/>
  <c r="L173" i="8" s="1"/>
  <c r="N173" i="8"/>
  <c r="M173" i="8"/>
  <c r="H157" i="8"/>
  <c r="L157" i="8" s="1"/>
  <c r="N157" i="8"/>
  <c r="M157" i="8"/>
  <c r="H141" i="8"/>
  <c r="L141" i="8" s="1"/>
  <c r="N141" i="8"/>
  <c r="M141" i="8"/>
  <c r="H125" i="8"/>
  <c r="L125" i="8" s="1"/>
  <c r="N125" i="8"/>
  <c r="M125" i="8"/>
  <c r="H109" i="8"/>
  <c r="L109" i="8" s="1"/>
  <c r="N109" i="8"/>
  <c r="M109" i="8"/>
  <c r="H93" i="8"/>
  <c r="L93" i="8" s="1"/>
  <c r="N93" i="8"/>
  <c r="M93" i="8"/>
  <c r="H77" i="8"/>
  <c r="L77" i="8" s="1"/>
  <c r="N77" i="8"/>
  <c r="M77" i="8"/>
  <c r="H61" i="8"/>
  <c r="L61" i="8" s="1"/>
  <c r="N61" i="8"/>
  <c r="M61" i="8"/>
  <c r="H45" i="8"/>
  <c r="L45" i="8" s="1"/>
  <c r="N45" i="8"/>
  <c r="M45" i="8"/>
  <c r="H29" i="8"/>
  <c r="L29" i="8" s="1"/>
  <c r="N29" i="8"/>
  <c r="M29" i="8"/>
  <c r="L1021" i="8"/>
  <c r="L932" i="8"/>
  <c r="L916" i="8"/>
  <c r="L860" i="8"/>
  <c r="L744" i="8"/>
  <c r="L654" i="8"/>
  <c r="L630" i="8"/>
  <c r="L556" i="8"/>
  <c r="L934" i="8"/>
  <c r="L918" i="8"/>
  <c r="L669" i="8"/>
  <c r="L660" i="8"/>
  <c r="L637" i="8"/>
  <c r="L628" i="8"/>
  <c r="L605" i="8"/>
  <c r="L596" i="8"/>
  <c r="L555" i="8"/>
  <c r="L544" i="8"/>
  <c r="L528" i="8"/>
  <c r="L475" i="8"/>
  <c r="L459" i="8"/>
  <c r="L900" i="8"/>
  <c r="L844" i="8"/>
  <c r="L796" i="8"/>
  <c r="L740" i="8"/>
  <c r="L524" i="8"/>
  <c r="L519" i="8"/>
  <c r="H1126" i="8"/>
  <c r="L1126" i="8" s="1"/>
  <c r="N1126" i="8"/>
  <c r="M1126" i="8"/>
  <c r="H1110" i="8"/>
  <c r="N1110" i="8"/>
  <c r="M1110" i="8"/>
  <c r="H1102" i="8"/>
  <c r="L1102" i="8" s="1"/>
  <c r="N1102" i="8"/>
  <c r="M1102" i="8"/>
  <c r="H1074" i="8"/>
  <c r="L1074" i="8" s="1"/>
  <c r="N1074" i="8"/>
  <c r="M1074" i="8"/>
  <c r="H1058" i="8"/>
  <c r="N1058" i="8"/>
  <c r="M1058" i="8"/>
  <c r="L986" i="8"/>
  <c r="H977" i="8"/>
  <c r="L977" i="8" s="1"/>
  <c r="N977" i="8"/>
  <c r="M977" i="8"/>
  <c r="H947" i="8"/>
  <c r="N947" i="8"/>
  <c r="M947" i="8"/>
  <c r="L1065" i="8"/>
  <c r="L991" i="8"/>
  <c r="L1123" i="8"/>
  <c r="H948" i="8"/>
  <c r="L948" i="8" s="1"/>
  <c r="N948" i="8"/>
  <c r="M948" i="8"/>
  <c r="H933" i="8"/>
  <c r="N933" i="8"/>
  <c r="M933" i="8"/>
  <c r="H917" i="8"/>
  <c r="N917" i="8"/>
  <c r="M917" i="8"/>
  <c r="H901" i="8"/>
  <c r="L901" i="8" s="1"/>
  <c r="N901" i="8"/>
  <c r="M901" i="8"/>
  <c r="H885" i="8"/>
  <c r="L885" i="8" s="1"/>
  <c r="N885" i="8"/>
  <c r="M885" i="8"/>
  <c r="H869" i="8"/>
  <c r="L869" i="8" s="1"/>
  <c r="N869" i="8"/>
  <c r="M869" i="8"/>
  <c r="H853" i="8"/>
  <c r="L853" i="8" s="1"/>
  <c r="N853" i="8"/>
  <c r="M853" i="8"/>
  <c r="H837" i="8"/>
  <c r="L837" i="8" s="1"/>
  <c r="N837" i="8"/>
  <c r="M837" i="8"/>
  <c r="H821" i="8"/>
  <c r="L821" i="8" s="1"/>
  <c r="N821" i="8"/>
  <c r="M821" i="8"/>
  <c r="H805" i="8"/>
  <c r="L805" i="8" s="1"/>
  <c r="N805" i="8"/>
  <c r="M805" i="8"/>
  <c r="H789" i="8"/>
  <c r="L789" i="8" s="1"/>
  <c r="N789" i="8"/>
  <c r="M789" i="8"/>
  <c r="H773" i="8"/>
  <c r="L773" i="8" s="1"/>
  <c r="N773" i="8"/>
  <c r="M773" i="8"/>
  <c r="H757" i="8"/>
  <c r="L757" i="8" s="1"/>
  <c r="N757" i="8"/>
  <c r="M757" i="8"/>
  <c r="H741" i="8"/>
  <c r="L741" i="8" s="1"/>
  <c r="N741" i="8"/>
  <c r="M741" i="8"/>
  <c r="H725" i="8"/>
  <c r="L725" i="8" s="1"/>
  <c r="N725" i="8"/>
  <c r="M725" i="8"/>
  <c r="H709" i="8"/>
  <c r="L709" i="8" s="1"/>
  <c r="N709" i="8"/>
  <c r="M709" i="8"/>
  <c r="H693" i="8"/>
  <c r="L693" i="8" s="1"/>
  <c r="N693" i="8"/>
  <c r="M693" i="8"/>
  <c r="L1140" i="8"/>
  <c r="H1125" i="8"/>
  <c r="L1125" i="8" s="1"/>
  <c r="N1125" i="8"/>
  <c r="M1125" i="8"/>
  <c r="H1101" i="8"/>
  <c r="N1101" i="8"/>
  <c r="M1101" i="8"/>
  <c r="H1134" i="8"/>
  <c r="N1134" i="8"/>
  <c r="M1134" i="8"/>
  <c r="H1118" i="8"/>
  <c r="L1118" i="8" s="1"/>
  <c r="N1118" i="8"/>
  <c r="M1118" i="8"/>
  <c r="H1106" i="8"/>
  <c r="L1106" i="8" s="1"/>
  <c r="M1106" i="8"/>
  <c r="N1106" i="8"/>
  <c r="H1094" i="8"/>
  <c r="L1094" i="8" s="1"/>
  <c r="N1094" i="8"/>
  <c r="M1094" i="8"/>
  <c r="H1082" i="8"/>
  <c r="M1082" i="8"/>
  <c r="N1082" i="8"/>
  <c r="H1066" i="8"/>
  <c r="L1066" i="8" s="1"/>
  <c r="N1066" i="8"/>
  <c r="M1066" i="8"/>
  <c r="L1131" i="8"/>
  <c r="L1115" i="8"/>
  <c r="L1107" i="8"/>
  <c r="L1071" i="8"/>
  <c r="L1059" i="8"/>
  <c r="L1010" i="8"/>
  <c r="L996" i="8"/>
  <c r="L1084" i="8"/>
  <c r="L1069" i="8"/>
  <c r="L1007" i="8"/>
  <c r="L1000" i="8"/>
  <c r="L1100" i="8"/>
  <c r="L1061" i="8"/>
  <c r="L1053" i="8"/>
  <c r="L1018" i="8"/>
  <c r="H1009" i="8"/>
  <c r="L1009" i="8" s="1"/>
  <c r="N1009" i="8"/>
  <c r="M1009" i="8"/>
  <c r="L1004" i="8"/>
  <c r="L995" i="8"/>
  <c r="L954" i="8"/>
  <c r="H945" i="8"/>
  <c r="L945" i="8" s="1"/>
  <c r="N945" i="8"/>
  <c r="M945" i="8"/>
  <c r="H929" i="8"/>
  <c r="L929" i="8" s="1"/>
  <c r="N929" i="8"/>
  <c r="M929" i="8"/>
  <c r="H913" i="8"/>
  <c r="L913" i="8" s="1"/>
  <c r="N913" i="8"/>
  <c r="M913" i="8"/>
  <c r="H897" i="8"/>
  <c r="L897" i="8" s="1"/>
  <c r="N897" i="8"/>
  <c r="M897" i="8"/>
  <c r="H881" i="8"/>
  <c r="L881" i="8" s="1"/>
  <c r="N881" i="8"/>
  <c r="M881" i="8"/>
  <c r="H865" i="8"/>
  <c r="L865" i="8" s="1"/>
  <c r="N865" i="8"/>
  <c r="M865" i="8"/>
  <c r="H849" i="8"/>
  <c r="L849" i="8" s="1"/>
  <c r="N849" i="8"/>
  <c r="M849" i="8"/>
  <c r="H833" i="8"/>
  <c r="L833" i="8" s="1"/>
  <c r="N833" i="8"/>
  <c r="M833" i="8"/>
  <c r="H817" i="8"/>
  <c r="L817" i="8" s="1"/>
  <c r="N817" i="8"/>
  <c r="M817" i="8"/>
  <c r="H801" i="8"/>
  <c r="L801" i="8" s="1"/>
  <c r="N801" i="8"/>
  <c r="M801" i="8"/>
  <c r="H785" i="8"/>
  <c r="L785" i="8" s="1"/>
  <c r="N785" i="8"/>
  <c r="M785" i="8"/>
  <c r="H769" i="8"/>
  <c r="L769" i="8" s="1"/>
  <c r="N769" i="8"/>
  <c r="M769" i="8"/>
  <c r="H753" i="8"/>
  <c r="L753" i="8" s="1"/>
  <c r="N753" i="8"/>
  <c r="M753" i="8"/>
  <c r="H737" i="8"/>
  <c r="L737" i="8" s="1"/>
  <c r="N737" i="8"/>
  <c r="M737" i="8"/>
  <c r="H721" i="8"/>
  <c r="L721" i="8" s="1"/>
  <c r="N721" i="8"/>
  <c r="M721" i="8"/>
  <c r="H705" i="8"/>
  <c r="L705" i="8" s="1"/>
  <c r="N705" i="8"/>
  <c r="M705" i="8"/>
  <c r="H689" i="8"/>
  <c r="L689" i="8" s="1"/>
  <c r="N689" i="8"/>
  <c r="M689" i="8"/>
  <c r="L1110" i="8"/>
  <c r="L1083" i="8"/>
  <c r="L1068" i="8"/>
  <c r="L1008" i="8"/>
  <c r="L999" i="8"/>
  <c r="L957" i="8"/>
  <c r="L921" i="8"/>
  <c r="L601" i="8"/>
  <c r="L880" i="8"/>
  <c r="L848" i="8"/>
  <c r="L812" i="8"/>
  <c r="L788" i="8"/>
  <c r="L768" i="8"/>
  <c r="L732" i="8"/>
  <c r="L704" i="8"/>
  <c r="L688" i="8"/>
  <c r="L614" i="8"/>
  <c r="L572" i="8"/>
  <c r="L476" i="8"/>
  <c r="L1006" i="8"/>
  <c r="L966" i="8"/>
  <c r="L1030" i="8"/>
  <c r="L944" i="8"/>
  <c r="L936" i="8"/>
  <c r="L928" i="8"/>
  <c r="L920" i="8"/>
  <c r="L912" i="8"/>
  <c r="L907" i="8"/>
  <c r="L899" i="8"/>
  <c r="L891" i="8"/>
  <c r="L883" i="8"/>
  <c r="L875" i="8"/>
  <c r="L867" i="8"/>
  <c r="L859" i="8"/>
  <c r="L851" i="8"/>
  <c r="L843" i="8"/>
  <c r="L835" i="8"/>
  <c r="L827" i="8"/>
  <c r="L819" i="8"/>
  <c r="L811" i="8"/>
  <c r="L803" i="8"/>
  <c r="L795" i="8"/>
  <c r="L787" i="8"/>
  <c r="L779" i="8"/>
  <c r="L771" i="8"/>
  <c r="L763" i="8"/>
  <c r="L755" i="8"/>
  <c r="L747" i="8"/>
  <c r="L739" i="8"/>
  <c r="L731" i="8"/>
  <c r="L723" i="8"/>
  <c r="L715" i="8"/>
  <c r="L707" i="8"/>
  <c r="L699" i="8"/>
  <c r="L691" i="8"/>
  <c r="L683" i="8"/>
  <c r="L675" i="8"/>
  <c r="L667" i="8"/>
  <c r="L659" i="8"/>
  <c r="L651" i="8"/>
  <c r="L643" i="8"/>
  <c r="L635" i="8"/>
  <c r="L627" i="8"/>
  <c r="L619" i="8"/>
  <c r="L611" i="8"/>
  <c r="L603" i="8"/>
  <c r="L595" i="8"/>
  <c r="L587" i="8"/>
  <c r="H577" i="8"/>
  <c r="L577" i="8" s="1"/>
  <c r="N577" i="8"/>
  <c r="M577" i="8"/>
  <c r="H566" i="8"/>
  <c r="L566" i="8" s="1"/>
  <c r="N566" i="8"/>
  <c r="M566" i="8"/>
  <c r="L543" i="8"/>
  <c r="H529" i="8"/>
  <c r="L529" i="8" s="1"/>
  <c r="N529" i="8"/>
  <c r="M529" i="8"/>
  <c r="H518" i="8"/>
  <c r="L518" i="8" s="1"/>
  <c r="N518" i="8"/>
  <c r="M518" i="8"/>
  <c r="L511" i="8"/>
  <c r="H497" i="8"/>
  <c r="L497" i="8" s="1"/>
  <c r="N497" i="8"/>
  <c r="M497" i="8"/>
  <c r="H486" i="8"/>
  <c r="L486" i="8" s="1"/>
  <c r="N486" i="8"/>
  <c r="M486" i="8"/>
  <c r="L479" i="8"/>
  <c r="H465" i="8"/>
  <c r="L465" i="8" s="1"/>
  <c r="N465" i="8"/>
  <c r="M465" i="8"/>
  <c r="H454" i="8"/>
  <c r="L454" i="8" s="1"/>
  <c r="N454" i="8"/>
  <c r="M454" i="8"/>
  <c r="H441" i="8"/>
  <c r="L441" i="8" s="1"/>
  <c r="N441" i="8"/>
  <c r="M441" i="8"/>
  <c r="H425" i="8"/>
  <c r="L425" i="8" s="1"/>
  <c r="N425" i="8"/>
  <c r="M425" i="8"/>
  <c r="H409" i="8"/>
  <c r="L409" i="8" s="1"/>
  <c r="N409" i="8"/>
  <c r="M409" i="8"/>
  <c r="H393" i="8"/>
  <c r="L393" i="8" s="1"/>
  <c r="N393" i="8"/>
  <c r="M393" i="8"/>
  <c r="H377" i="8"/>
  <c r="L377" i="8" s="1"/>
  <c r="N377" i="8"/>
  <c r="M377" i="8"/>
  <c r="H361" i="8"/>
  <c r="L361" i="8" s="1"/>
  <c r="N361" i="8"/>
  <c r="M361" i="8"/>
  <c r="H345" i="8"/>
  <c r="L345" i="8" s="1"/>
  <c r="N345" i="8"/>
  <c r="M345" i="8"/>
  <c r="H329" i="8"/>
  <c r="L329" i="8" s="1"/>
  <c r="N329" i="8"/>
  <c r="M329" i="8"/>
  <c r="H313" i="8"/>
  <c r="L313" i="8" s="1"/>
  <c r="N313" i="8"/>
  <c r="M313" i="8"/>
  <c r="H297" i="8"/>
  <c r="L297" i="8" s="1"/>
  <c r="N297" i="8"/>
  <c r="M297" i="8"/>
  <c r="H281" i="8"/>
  <c r="L281" i="8" s="1"/>
  <c r="N281" i="8"/>
  <c r="M281" i="8"/>
  <c r="H265" i="8"/>
  <c r="L265" i="8" s="1"/>
  <c r="N265" i="8"/>
  <c r="M265" i="8"/>
  <c r="H249" i="8"/>
  <c r="L249" i="8" s="1"/>
  <c r="N249" i="8"/>
  <c r="M249" i="8"/>
  <c r="H233" i="8"/>
  <c r="L233" i="8" s="1"/>
  <c r="N233" i="8"/>
  <c r="M233" i="8"/>
  <c r="H217" i="8"/>
  <c r="L217" i="8" s="1"/>
  <c r="N217" i="8"/>
  <c r="M217" i="8"/>
  <c r="H201" i="8"/>
  <c r="L201" i="8" s="1"/>
  <c r="N201" i="8"/>
  <c r="M201" i="8"/>
  <c r="H185" i="8"/>
  <c r="L185" i="8" s="1"/>
  <c r="N185" i="8"/>
  <c r="M185" i="8"/>
  <c r="H169" i="8"/>
  <c r="L169" i="8" s="1"/>
  <c r="N169" i="8"/>
  <c r="M169" i="8"/>
  <c r="H153" i="8"/>
  <c r="L153" i="8" s="1"/>
  <c r="N153" i="8"/>
  <c r="M153" i="8"/>
  <c r="H137" i="8"/>
  <c r="L137" i="8" s="1"/>
  <c r="N137" i="8"/>
  <c r="M137" i="8"/>
  <c r="H121" i="8"/>
  <c r="L121" i="8" s="1"/>
  <c r="N121" i="8"/>
  <c r="M121" i="8"/>
  <c r="H105" i="8"/>
  <c r="L105" i="8" s="1"/>
  <c r="N105" i="8"/>
  <c r="M105" i="8"/>
  <c r="H89" i="8"/>
  <c r="L89" i="8" s="1"/>
  <c r="N89" i="8"/>
  <c r="M89" i="8"/>
  <c r="H73" i="8"/>
  <c r="L73" i="8" s="1"/>
  <c r="N73" i="8"/>
  <c r="M73" i="8"/>
  <c r="H57" i="8"/>
  <c r="L57" i="8" s="1"/>
  <c r="N57" i="8"/>
  <c r="M57" i="8"/>
  <c r="H41" i="8"/>
  <c r="L41" i="8" s="1"/>
  <c r="N41" i="8"/>
  <c r="M41" i="8"/>
  <c r="H25" i="8"/>
  <c r="L25" i="8" s="1"/>
  <c r="N25" i="8"/>
  <c r="M25" i="8"/>
  <c r="L1013" i="8"/>
  <c r="L896" i="8"/>
  <c r="L828" i="8"/>
  <c r="L716" i="8"/>
  <c r="L670" i="8"/>
  <c r="L646" i="8"/>
  <c r="L590" i="8"/>
  <c r="L540" i="8"/>
  <c r="L989" i="8"/>
  <c r="L933" i="8"/>
  <c r="L917" i="8"/>
  <c r="L677" i="8"/>
  <c r="L668" i="8"/>
  <c r="L645" i="8"/>
  <c r="L636" i="8"/>
  <c r="L613" i="8"/>
  <c r="L604" i="8"/>
  <c r="L571" i="8"/>
  <c r="L560" i="8"/>
  <c r="L491" i="8"/>
  <c r="L480" i="8"/>
  <c r="L888" i="8"/>
  <c r="L832" i="8"/>
  <c r="L776" i="8"/>
  <c r="L728" i="8"/>
  <c r="L508" i="8"/>
  <c r="L503" i="8"/>
  <c r="H1117" i="8"/>
  <c r="L1117" i="8" s="1"/>
  <c r="N1117" i="8"/>
  <c r="M1117" i="8"/>
  <c r="H1077" i="8"/>
  <c r="L1077" i="8" s="1"/>
  <c r="N1077" i="8"/>
  <c r="M1077" i="8"/>
  <c r="L1063" i="8"/>
  <c r="H1129" i="8"/>
  <c r="L1129" i="8" s="1"/>
  <c r="N1129" i="8"/>
  <c r="M1129" i="8"/>
  <c r="H1113" i="8"/>
  <c r="L1113" i="8" s="1"/>
  <c r="N1113" i="8"/>
  <c r="M1113" i="8"/>
  <c r="H1073" i="8"/>
  <c r="L1073" i="8" s="1"/>
  <c r="N1073" i="8"/>
  <c r="M1073" i="8"/>
  <c r="H1138" i="8"/>
  <c r="L1138" i="8" s="1"/>
  <c r="M1138" i="8"/>
  <c r="N1138" i="8"/>
  <c r="H1122" i="8"/>
  <c r="L1122" i="8" s="1"/>
  <c r="M1122" i="8"/>
  <c r="N1122" i="8"/>
  <c r="H1098" i="8"/>
  <c r="M1098" i="8"/>
  <c r="N1098" i="8"/>
  <c r="H1086" i="8"/>
  <c r="L1086" i="8" s="1"/>
  <c r="N1086" i="8"/>
  <c r="M1086" i="8"/>
  <c r="H1070" i="8"/>
  <c r="L1070" i="8" s="1"/>
  <c r="N1070" i="8"/>
  <c r="M1070" i="8"/>
  <c r="H1054" i="8"/>
  <c r="N1054" i="8"/>
  <c r="M1054" i="8"/>
  <c r="L1098" i="8"/>
  <c r="L1054" i="8"/>
  <c r="L1134" i="8"/>
  <c r="L1108" i="8"/>
  <c r="L1056" i="8"/>
  <c r="L1011" i="8"/>
  <c r="H1137" i="8"/>
  <c r="L1137" i="8" s="1"/>
  <c r="N1137" i="8"/>
  <c r="M1137" i="8"/>
  <c r="H1121" i="8"/>
  <c r="L1121" i="8" s="1"/>
  <c r="N1121" i="8"/>
  <c r="M1121" i="8"/>
  <c r="H1097" i="8"/>
  <c r="L1097" i="8" s="1"/>
  <c r="N1097" i="8"/>
  <c r="M1097" i="8"/>
  <c r="H1081" i="8"/>
  <c r="L1081" i="8" s="1"/>
  <c r="N1081" i="8"/>
  <c r="M1081" i="8"/>
  <c r="H1130" i="8"/>
  <c r="L1130" i="8" s="1"/>
  <c r="M1130" i="8"/>
  <c r="N1130" i="8"/>
  <c r="H1114" i="8"/>
  <c r="M1114" i="8"/>
  <c r="N1114" i="8"/>
  <c r="H1090" i="8"/>
  <c r="L1090" i="8" s="1"/>
  <c r="M1090" i="8"/>
  <c r="N1090" i="8"/>
  <c r="H1078" i="8"/>
  <c r="L1078" i="8" s="1"/>
  <c r="M1078" i="8"/>
  <c r="N1078" i="8"/>
  <c r="H1062" i="8"/>
  <c r="L1062" i="8" s="1"/>
  <c r="M1062" i="8"/>
  <c r="N1062" i="8"/>
  <c r="L1114" i="8"/>
  <c r="L1092" i="8"/>
  <c r="L1058" i="8"/>
  <c r="L1044" i="8"/>
  <c r="L994" i="8"/>
  <c r="L1128" i="8"/>
  <c r="L1112" i="8"/>
  <c r="L1101" i="8"/>
  <c r="L1075" i="8"/>
  <c r="L1016" i="8"/>
  <c r="L959" i="8"/>
  <c r="L952" i="8"/>
  <c r="L1091" i="8"/>
  <c r="L1060" i="8"/>
  <c r="L1043" i="8"/>
  <c r="L1002" i="8"/>
  <c r="H993" i="8"/>
  <c r="L993" i="8" s="1"/>
  <c r="N993" i="8"/>
  <c r="M993" i="8"/>
  <c r="L979" i="8"/>
  <c r="H941" i="8"/>
  <c r="L941" i="8" s="1"/>
  <c r="N941" i="8"/>
  <c r="M941" i="8"/>
  <c r="H925" i="8"/>
  <c r="L925" i="8" s="1"/>
  <c r="N925" i="8"/>
  <c r="M925" i="8"/>
  <c r="H909" i="8"/>
  <c r="L909" i="8" s="1"/>
  <c r="N909" i="8"/>
  <c r="M909" i="8"/>
  <c r="H893" i="8"/>
  <c r="L893" i="8" s="1"/>
  <c r="N893" i="8"/>
  <c r="M893" i="8"/>
  <c r="H877" i="8"/>
  <c r="L877" i="8" s="1"/>
  <c r="N877" i="8"/>
  <c r="M877" i="8"/>
  <c r="H861" i="8"/>
  <c r="L861" i="8" s="1"/>
  <c r="N861" i="8"/>
  <c r="M861" i="8"/>
  <c r="H845" i="8"/>
  <c r="L845" i="8" s="1"/>
  <c r="N845" i="8"/>
  <c r="M845" i="8"/>
  <c r="H829" i="8"/>
  <c r="L829" i="8" s="1"/>
  <c r="N829" i="8"/>
  <c r="M829" i="8"/>
  <c r="H813" i="8"/>
  <c r="L813" i="8" s="1"/>
  <c r="N813" i="8"/>
  <c r="M813" i="8"/>
  <c r="H797" i="8"/>
  <c r="L797" i="8" s="1"/>
  <c r="N797" i="8"/>
  <c r="M797" i="8"/>
  <c r="H781" i="8"/>
  <c r="L781" i="8" s="1"/>
  <c r="N781" i="8"/>
  <c r="M781" i="8"/>
  <c r="H765" i="8"/>
  <c r="L765" i="8" s="1"/>
  <c r="N765" i="8"/>
  <c r="M765" i="8"/>
  <c r="H749" i="8"/>
  <c r="L749" i="8" s="1"/>
  <c r="N749" i="8"/>
  <c r="M749" i="8"/>
  <c r="H733" i="8"/>
  <c r="L733" i="8" s="1"/>
  <c r="N733" i="8"/>
  <c r="M733" i="8"/>
  <c r="H717" i="8"/>
  <c r="L717" i="8" s="1"/>
  <c r="N717" i="8"/>
  <c r="M717" i="8"/>
  <c r="H701" i="8"/>
  <c r="L701" i="8" s="1"/>
  <c r="N701" i="8"/>
  <c r="M701" i="8"/>
  <c r="H685" i="8"/>
  <c r="L685" i="8" s="1"/>
  <c r="N685" i="8"/>
  <c r="M685" i="8"/>
  <c r="L1104" i="8"/>
  <c r="L1082" i="8"/>
  <c r="L1024" i="8"/>
  <c r="L1015" i="8"/>
  <c r="L960" i="8"/>
  <c r="L951" i="8"/>
  <c r="L947" i="8"/>
  <c r="L946" i="8"/>
  <c r="L930" i="8"/>
  <c r="L914" i="8"/>
  <c r="L563" i="8"/>
  <c r="L547" i="8"/>
  <c r="L451" i="8"/>
  <c r="L1025" i="8"/>
  <c r="L876" i="8"/>
  <c r="L840" i="8"/>
  <c r="L804" i="8"/>
  <c r="L784" i="8"/>
  <c r="L760" i="8"/>
  <c r="L724" i="8"/>
  <c r="L700" i="8"/>
  <c r="L684" i="8"/>
  <c r="L622" i="8"/>
  <c r="L598" i="8"/>
  <c r="L460" i="8"/>
  <c r="L958" i="8"/>
  <c r="L1022" i="8"/>
  <c r="L982" i="8"/>
  <c r="L1046" i="8"/>
  <c r="L1037" i="8"/>
  <c r="L981" i="8"/>
  <c r="H550" i="8"/>
  <c r="L550" i="8" s="1"/>
  <c r="N550" i="8"/>
  <c r="M550" i="8"/>
  <c r="H437" i="8"/>
  <c r="L437" i="8" s="1"/>
  <c r="N437" i="8"/>
  <c r="M437" i="8"/>
  <c r="H421" i="8"/>
  <c r="L421" i="8" s="1"/>
  <c r="N421" i="8"/>
  <c r="M421" i="8"/>
  <c r="H405" i="8"/>
  <c r="L405" i="8" s="1"/>
  <c r="N405" i="8"/>
  <c r="M405" i="8"/>
  <c r="H389" i="8"/>
  <c r="L389" i="8" s="1"/>
  <c r="N389" i="8"/>
  <c r="M389" i="8"/>
  <c r="H373" i="8"/>
  <c r="L373" i="8" s="1"/>
  <c r="N373" i="8"/>
  <c r="M373" i="8"/>
  <c r="H357" i="8"/>
  <c r="L357" i="8" s="1"/>
  <c r="N357" i="8"/>
  <c r="M357" i="8"/>
  <c r="H341" i="8"/>
  <c r="L341" i="8" s="1"/>
  <c r="N341" i="8"/>
  <c r="M341" i="8"/>
  <c r="H325" i="8"/>
  <c r="L325" i="8" s="1"/>
  <c r="N325" i="8"/>
  <c r="M325" i="8"/>
  <c r="H309" i="8"/>
  <c r="L309" i="8" s="1"/>
  <c r="N309" i="8"/>
  <c r="M309" i="8"/>
  <c r="H293" i="8"/>
  <c r="L293" i="8" s="1"/>
  <c r="N293" i="8"/>
  <c r="M293" i="8"/>
  <c r="H277" i="8"/>
  <c r="L277" i="8" s="1"/>
  <c r="N277" i="8"/>
  <c r="M277" i="8"/>
  <c r="H261" i="8"/>
  <c r="L261" i="8" s="1"/>
  <c r="N261" i="8"/>
  <c r="M261" i="8"/>
  <c r="H245" i="8"/>
  <c r="L245" i="8" s="1"/>
  <c r="N245" i="8"/>
  <c r="M245" i="8"/>
  <c r="H229" i="8"/>
  <c r="L229" i="8" s="1"/>
  <c r="N229" i="8"/>
  <c r="M229" i="8"/>
  <c r="H213" i="8"/>
  <c r="L213" i="8" s="1"/>
  <c r="N213" i="8"/>
  <c r="M213" i="8"/>
  <c r="H197" i="8"/>
  <c r="L197" i="8" s="1"/>
  <c r="N197" i="8"/>
  <c r="M197" i="8"/>
  <c r="H181" i="8"/>
  <c r="L181" i="8" s="1"/>
  <c r="N181" i="8"/>
  <c r="M181" i="8"/>
  <c r="H165" i="8"/>
  <c r="L165" i="8" s="1"/>
  <c r="N165" i="8"/>
  <c r="M165" i="8"/>
  <c r="H149" i="8"/>
  <c r="L149" i="8" s="1"/>
  <c r="N149" i="8"/>
  <c r="M149" i="8"/>
  <c r="H133" i="8"/>
  <c r="L133" i="8" s="1"/>
  <c r="N133" i="8"/>
  <c r="M133" i="8"/>
  <c r="H117" i="8"/>
  <c r="L117" i="8" s="1"/>
  <c r="N117" i="8"/>
  <c r="M117" i="8"/>
  <c r="H101" i="8"/>
  <c r="L101" i="8" s="1"/>
  <c r="N101" i="8"/>
  <c r="M101" i="8"/>
  <c r="H85" i="8"/>
  <c r="L85" i="8" s="1"/>
  <c r="N85" i="8"/>
  <c r="M85" i="8"/>
  <c r="H69" i="8"/>
  <c r="L69" i="8" s="1"/>
  <c r="N69" i="8"/>
  <c r="M69" i="8"/>
  <c r="H53" i="8"/>
  <c r="L53" i="8" s="1"/>
  <c r="N53" i="8"/>
  <c r="M53" i="8"/>
  <c r="H37" i="8"/>
  <c r="L37" i="8" s="1"/>
  <c r="N37" i="8"/>
  <c r="M37" i="8"/>
  <c r="H23" i="8"/>
  <c r="L23" i="8" s="1"/>
  <c r="N23" i="8"/>
  <c r="M23" i="8"/>
  <c r="L1005" i="8"/>
  <c r="L892" i="8"/>
  <c r="L824" i="8"/>
  <c r="L712" i="8"/>
  <c r="L942" i="8"/>
  <c r="L926" i="8"/>
  <c r="L910" i="8"/>
  <c r="L676" i="8"/>
  <c r="L653" i="8"/>
  <c r="L644" i="8"/>
  <c r="L621" i="8"/>
  <c r="L612" i="8"/>
  <c r="L589" i="8"/>
  <c r="L576" i="8"/>
  <c r="L507" i="8"/>
  <c r="L496" i="8"/>
  <c r="L940" i="8"/>
  <c r="L868" i="8"/>
  <c r="L820" i="8"/>
  <c r="L764" i="8"/>
  <c r="L492" i="8"/>
  <c r="L487" i="8"/>
  <c r="L1145" i="8" l="1"/>
</calcChain>
</file>

<file path=xl/sharedStrings.xml><?xml version="1.0" encoding="utf-8"?>
<sst xmlns="http://schemas.openxmlformats.org/spreadsheetml/2006/main" count="51" uniqueCount="39">
  <si>
    <t>P-UTME SCORE 50%</t>
  </si>
  <si>
    <t>TOTAL SCORE</t>
  </si>
  <si>
    <t xml:space="preserve">   </t>
  </si>
  <si>
    <t xml:space="preserve"> </t>
  </si>
  <si>
    <t>YEAR</t>
  </si>
  <si>
    <t xml:space="preserve">  </t>
  </si>
  <si>
    <t xml:space="preserve">     </t>
  </si>
  <si>
    <t xml:space="preserve">      </t>
  </si>
  <si>
    <t>PUTME Score (%)(Over 50)</t>
  </si>
  <si>
    <t>UTME Score (%)(Over 400)</t>
  </si>
  <si>
    <t xml:space="preserve">                  </t>
  </si>
  <si>
    <t xml:space="preserve">         </t>
  </si>
  <si>
    <t xml:space="preserve">                 </t>
  </si>
  <si>
    <t>UTME / 8</t>
  </si>
  <si>
    <t>UTME SCORE( 400 )</t>
  </si>
  <si>
    <t>Admmission( Yes=1, No=0)</t>
  </si>
  <si>
    <t>UTME_z</t>
  </si>
  <si>
    <t>PUTME_z</t>
  </si>
  <si>
    <t>Predicted Probability</t>
  </si>
  <si>
    <t>Log-Likelihood</t>
  </si>
  <si>
    <t>PUTME_contribution</t>
  </si>
  <si>
    <t>HOW MUCH EACH EXAM INFLUENCES THE STUDENT TOTAL SCORE</t>
  </si>
  <si>
    <t>Direct contribution</t>
  </si>
  <si>
    <t>Avg PUTME_Contribution</t>
  </si>
  <si>
    <t>Avg UTME_Contribution</t>
  </si>
  <si>
    <t>UTME_contribution</t>
  </si>
  <si>
    <t>Linear Regression Coefficients analysis on the influence of UTME vs PUTME exam in getting Admission</t>
  </si>
  <si>
    <t>EXAM</t>
  </si>
  <si>
    <t>Influence</t>
  </si>
  <si>
    <t>UTME</t>
  </si>
  <si>
    <t>PTUME</t>
  </si>
  <si>
    <t>Coefficient</t>
  </si>
  <si>
    <t xml:space="preserve">Influence </t>
  </si>
  <si>
    <t xml:space="preserve">Intercept </t>
  </si>
  <si>
    <t>PUTME</t>
  </si>
  <si>
    <t xml:space="preserve">PEARSON CORRELATION ( ONE VALUE) </t>
  </si>
  <si>
    <t>Rank_UTME</t>
  </si>
  <si>
    <t>Rank_PUTME</t>
  </si>
  <si>
    <t>SPEARMAN RANK CORRELATION (ONE VALUE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</si>
</sst>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Tahoma"/>
      <family val="2"/>
    </font>
    <font>
      <sz val="12"/>
      <name val="Tahoma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1" fillId="0" borderId="0">
      <alignment vertical="center"/>
    </xf>
    <xf numFmtId="0" fontId="1" fillId="0" borderId="0"/>
    <xf numFmtId="0" fontId="3" fillId="0" borderId="0"/>
    <xf numFmtId="0" fontId="1" fillId="0" borderId="0"/>
    <xf numFmtId="0" fontId="6" fillId="0" borderId="0"/>
    <xf numFmtId="0" fontId="8" fillId="0" borderId="0"/>
    <xf numFmtId="0" fontId="9" fillId="0" borderId="0">
      <alignment vertical="center"/>
    </xf>
    <xf numFmtId="0" fontId="11" fillId="0" borderId="0"/>
  </cellStyleXfs>
  <cellXfs count="36">
    <xf numFmtId="0" fontId="0" fillId="0" borderId="0" xfId="0"/>
    <xf numFmtId="0" fontId="2" fillId="0" borderId="1" xfId="0" applyFont="1" applyBorder="1"/>
    <xf numFmtId="2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 applyAlignment="1">
      <alignment horizontal="center"/>
    </xf>
    <xf numFmtId="0" fontId="4" fillId="0" borderId="1" xfId="3" applyFont="1" applyBorder="1"/>
    <xf numFmtId="0" fontId="5" fillId="0" borderId="1" xfId="3" applyFont="1" applyBorder="1"/>
    <xf numFmtId="0" fontId="4" fillId="0" borderId="2" xfId="3" applyFont="1" applyBorder="1"/>
    <xf numFmtId="0" fontId="4" fillId="0" borderId="4" xfId="3" applyFont="1" applyBorder="1"/>
    <xf numFmtId="0" fontId="4" fillId="0" borderId="3" xfId="3" applyFont="1" applyBorder="1"/>
    <xf numFmtId="0" fontId="6" fillId="0" borderId="0" xfId="5"/>
    <xf numFmtId="0" fontId="7" fillId="0" borderId="1" xfId="5" applyFont="1" applyBorder="1"/>
    <xf numFmtId="0" fontId="7" fillId="0" borderId="1" xfId="5" applyFont="1" applyBorder="1" applyAlignment="1">
      <alignment horizontal="center" wrapText="1"/>
    </xf>
    <xf numFmtId="0" fontId="6" fillId="0" borderId="1" xfId="5" applyBorder="1"/>
    <xf numFmtId="0" fontId="6" fillId="0" borderId="3" xfId="5" applyBorder="1"/>
    <xf numFmtId="0" fontId="6" fillId="0" borderId="4" xfId="5" applyBorder="1"/>
    <xf numFmtId="0" fontId="0" fillId="0" borderId="1" xfId="0" applyBorder="1"/>
    <xf numFmtId="0" fontId="6" fillId="0" borderId="0" xfId="0" applyFont="1"/>
    <xf numFmtId="0" fontId="9" fillId="0" borderId="1" xfId="7" applyBorder="1" applyAlignment="1"/>
    <xf numFmtId="0" fontId="10" fillId="0" borderId="1" xfId="7" applyFont="1" applyBorder="1" applyAlignment="1"/>
    <xf numFmtId="0" fontId="4" fillId="0" borderId="1" xfId="1" applyFont="1" applyBorder="1" applyAlignment="1"/>
    <xf numFmtId="0" fontId="5" fillId="0" borderId="1" xfId="1" applyFont="1" applyBorder="1" applyAlignment="1"/>
    <xf numFmtId="0" fontId="4" fillId="0" borderId="2" xfId="1" applyFont="1" applyBorder="1" applyAlignment="1"/>
    <xf numFmtId="0" fontId="4" fillId="0" borderId="3" xfId="1" applyFont="1" applyBorder="1" applyAlignment="1"/>
    <xf numFmtId="0" fontId="4" fillId="0" borderId="4" xfId="1" applyFont="1" applyBorder="1" applyAlignment="1"/>
    <xf numFmtId="10" fontId="0" fillId="0" borderId="0" xfId="0" applyNumberFormat="1"/>
    <xf numFmtId="0" fontId="12" fillId="0" borderId="0" xfId="0" applyFont="1"/>
    <xf numFmtId="0" fontId="7" fillId="0" borderId="0" xfId="5" applyFont="1" applyAlignment="1">
      <alignment wrapText="1"/>
    </xf>
    <xf numFmtId="10" fontId="12" fillId="0" borderId="0" xfId="0" applyNumberFormat="1" applyFont="1"/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14" fillId="0" borderId="0" xfId="0" applyFont="1" applyAlignment="1">
      <alignment horizontal="left" wrapText="1"/>
    </xf>
  </cellXfs>
  <cellStyles count="9">
    <cellStyle name="Normal" xfId="0" builtinId="0"/>
    <cellStyle name="Normal 2" xfId="1" xr:uid="{AC220A75-978C-4ADD-8E71-3C3EC79CC279}"/>
    <cellStyle name="Normal 2 2" xfId="6" xr:uid="{72C69948-A444-4E8C-A3EF-5870D85A2E23}"/>
    <cellStyle name="Normal 3" xfId="3" xr:uid="{15E313E1-4976-47F6-83B7-E64981CD553A}"/>
    <cellStyle name="Normal 3 2" xfId="4" xr:uid="{E3EF5BF8-441E-4C0D-AC04-2F9C04265B8E}"/>
    <cellStyle name="Normal 4" xfId="5" xr:uid="{586D774F-0AE3-4AB9-9362-ED613D098DD7}"/>
    <cellStyle name="Normal 5" xfId="7" xr:uid="{4657D703-B61F-4758-84A5-56BF8C0D5AB3}"/>
    <cellStyle name="Normal 6" xfId="2" xr:uid="{2D72CBA5-578D-4725-94A7-82BEF2DDB7C4}"/>
    <cellStyle name="Normal 7" xfId="8" xr:uid="{FED296B8-D4D6-4CA8-B2E9-E99331FAFB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INFLUENCE UTME</a:t>
            </a:r>
            <a:r>
              <a:rPr lang="en-US" baseline="0"/>
              <a:t> VS PUTME </a:t>
            </a:r>
            <a:r>
              <a:rPr lang="en-US"/>
              <a:t>IN TOTAL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933029910186663"/>
          <c:y val="0.13086156446010594"/>
          <c:w val="0.38403524571237951"/>
          <c:h val="0.7406052939213760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EF5-4A2F-AD96-455B0169AA0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EF5-4A2F-AD96-455B0169AA0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EF5-4A2F-AD96-455B0169AA0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EF5-4A2F-AD96-455B0169AA0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EF5-4A2F-AD96-455B0169AA0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EF5-4A2F-AD96-455B0169AA03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EF5-4A2F-AD96-455B0169AA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Sheet1!$X$3:$AB$4</c:f>
              <c:multiLvlStrCache>
                <c:ptCount val="2"/>
                <c:lvl>
                  <c:pt idx="0">
                    <c:v>56.59%</c:v>
                  </c:pt>
                  <c:pt idx="1">
                    <c:v>43.41%</c:v>
                  </c:pt>
                </c:lvl>
                <c:lvl>
                  <c:pt idx="0">
                    <c:v>Avg PUTME_Contribution</c:v>
                  </c:pt>
                  <c:pt idx="1">
                    <c:v>Avg UTME_Contribution</c:v>
                  </c:pt>
                </c:lvl>
              </c:multiLvlStrCache>
            </c:multiLvlStrRef>
          </c:cat>
          <c:val>
            <c:numRef>
              <c:f>Sheet1!$X$4:$Y$4</c:f>
              <c:numCache>
                <c:formatCode>0.00%</c:formatCode>
                <c:ptCount val="2"/>
                <c:pt idx="0">
                  <c:v>0.56588091560750997</c:v>
                </c:pt>
                <c:pt idx="1">
                  <c:v>0.43411908439249058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EF5-4A2F-AD96-455B0169AA0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8.1157808457551998E-3"/>
          <c:y val="0.88058821481981131"/>
          <c:w val="0.899999968881805"/>
          <c:h val="8.57041988935960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Linear Regression Coeffients of UTME vs PUTME on the influence of  Admission(&gt;=50). </a:t>
            </a:r>
          </a:p>
        </c:rich>
      </c:tx>
      <c:layout>
        <c:manualLayout>
          <c:xMode val="edge"/>
          <c:yMode val="edge"/>
          <c:x val="9.34250445538890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lt1"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597025371828522"/>
          <c:y val="0.23694444444444446"/>
          <c:w val="0.84080752405949255"/>
          <c:h val="0.64176727909011377"/>
        </c:manualLayout>
      </c:layout>
      <c:bar3DChart>
        <c:barDir val="bar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solidFill>
                <a:schemeClr val="accent6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6">
                  <a:lumMod val="75000"/>
                </a:schemeClr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accent6">
                    <a:lumMod val="75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translucentPowder">
                <a:contourClr>
                  <a:schemeClr val="accent6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59-488B-B5F1-98D352EB5FA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solidFill>
                  <a:schemeClr val="accent6">
                    <a:lumMod val="75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translucentPowder">
                <a:contourClr>
                  <a:schemeClr val="accent6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59-488B-B5F1-98D352EB5FA8}"/>
              </c:ext>
            </c:extLst>
          </c:dPt>
          <c:cat>
            <c:strRef>
              <c:f>Sheet1!$AJ$4:$AJ$5</c:f>
              <c:strCache>
                <c:ptCount val="2"/>
                <c:pt idx="0">
                  <c:v>UTME</c:v>
                </c:pt>
                <c:pt idx="1">
                  <c:v>PTUME</c:v>
                </c:pt>
              </c:strCache>
            </c:strRef>
          </c:cat>
          <c:val>
            <c:numRef>
              <c:f>Sheet1!$AK$4:$AK$5</c:f>
              <c:numCache>
                <c:formatCode>0.00</c:formatCode>
                <c:ptCount val="2"/>
                <c:pt idx="0">
                  <c:v>4.3747583395611365</c:v>
                </c:pt>
                <c:pt idx="1">
                  <c:v>9.0200997037808648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BCE-49A4-913D-A8CDC82AB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56353216"/>
        <c:axId val="356348416"/>
        <c:axId val="0"/>
      </c:bar3DChart>
      <c:catAx>
        <c:axId val="356353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348416"/>
        <c:crosses val="autoZero"/>
        <c:auto val="1"/>
        <c:lblAlgn val="ctr"/>
        <c:lblOffset val="100"/>
        <c:noMultiLvlLbl val="0"/>
      </c:catAx>
      <c:valAx>
        <c:axId val="356348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353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cap="all" normalizeH="0" baseline="0"/>
              <a:t>UTME vs PUTME Scores of Students IN %</a:t>
            </a:r>
          </a:p>
          <a:p>
            <a:pPr>
              <a:defRPr/>
            </a:pPr>
            <a:r>
              <a:rPr lang="en-US" sz="1600" b="1" i="0" u="none" strike="noStrike" cap="all" normalizeH="0" baseline="0"/>
              <a:t>2021-2025 Student data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885282632353876E-2"/>
          <c:y val="0.14199114204739779"/>
          <c:w val="0.85869013934233829"/>
          <c:h val="0.75141441125573782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UTME Score (%)(Over 400)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25400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Sheet1!$E$2:$E$1144</c:f>
              <c:numCache>
                <c:formatCode>0.00%</c:formatCode>
                <c:ptCount val="1143"/>
                <c:pt idx="0">
                  <c:v>0.69499999999999995</c:v>
                </c:pt>
                <c:pt idx="1">
                  <c:v>0.54249999999999998</c:v>
                </c:pt>
                <c:pt idx="2">
                  <c:v>0.625</c:v>
                </c:pt>
                <c:pt idx="3">
                  <c:v>0.56999999999999995</c:v>
                </c:pt>
                <c:pt idx="4">
                  <c:v>0.49249999999999999</c:v>
                </c:pt>
                <c:pt idx="5">
                  <c:v>0.39</c:v>
                </c:pt>
                <c:pt idx="6">
                  <c:v>0.47249999999999998</c:v>
                </c:pt>
                <c:pt idx="7">
                  <c:v>0.45</c:v>
                </c:pt>
                <c:pt idx="8">
                  <c:v>0.32250000000000001</c:v>
                </c:pt>
                <c:pt idx="9">
                  <c:v>0.46</c:v>
                </c:pt>
                <c:pt idx="10">
                  <c:v>0.34250000000000003</c:v>
                </c:pt>
                <c:pt idx="11">
                  <c:v>0.39750000000000002</c:v>
                </c:pt>
                <c:pt idx="12">
                  <c:v>0.4375</c:v>
                </c:pt>
                <c:pt idx="13">
                  <c:v>0.47249999999999998</c:v>
                </c:pt>
                <c:pt idx="14">
                  <c:v>0.47249999999999998</c:v>
                </c:pt>
                <c:pt idx="15">
                  <c:v>0.3775</c:v>
                </c:pt>
                <c:pt idx="16">
                  <c:v>0.56499999999999995</c:v>
                </c:pt>
                <c:pt idx="17">
                  <c:v>0.48499999999999999</c:v>
                </c:pt>
                <c:pt idx="18">
                  <c:v>0.42249999999999999</c:v>
                </c:pt>
                <c:pt idx="19">
                  <c:v>0.38250000000000001</c:v>
                </c:pt>
                <c:pt idx="20">
                  <c:v>0.41749999999999998</c:v>
                </c:pt>
                <c:pt idx="21">
                  <c:v>0.3725</c:v>
                </c:pt>
                <c:pt idx="22">
                  <c:v>0.54749999999999999</c:v>
                </c:pt>
                <c:pt idx="23">
                  <c:v>0.42499999999999999</c:v>
                </c:pt>
                <c:pt idx="24">
                  <c:v>0.40250000000000002</c:v>
                </c:pt>
                <c:pt idx="25">
                  <c:v>0.47749999999999998</c:v>
                </c:pt>
                <c:pt idx="26">
                  <c:v>0.35749999999999998</c:v>
                </c:pt>
                <c:pt idx="27">
                  <c:v>0.36749999999999999</c:v>
                </c:pt>
                <c:pt idx="28">
                  <c:v>0.44750000000000001</c:v>
                </c:pt>
                <c:pt idx="29">
                  <c:v>0.42249999999999999</c:v>
                </c:pt>
                <c:pt idx="30">
                  <c:v>0.39</c:v>
                </c:pt>
                <c:pt idx="31">
                  <c:v>0.40500000000000003</c:v>
                </c:pt>
                <c:pt idx="32">
                  <c:v>0.39500000000000002</c:v>
                </c:pt>
                <c:pt idx="33">
                  <c:v>0.46750000000000003</c:v>
                </c:pt>
                <c:pt idx="34">
                  <c:v>0.42</c:v>
                </c:pt>
                <c:pt idx="35">
                  <c:v>0.45250000000000001</c:v>
                </c:pt>
                <c:pt idx="36">
                  <c:v>0.45</c:v>
                </c:pt>
                <c:pt idx="37">
                  <c:v>0.39</c:v>
                </c:pt>
                <c:pt idx="38">
                  <c:v>0.46750000000000003</c:v>
                </c:pt>
                <c:pt idx="39">
                  <c:v>0.40749999999999997</c:v>
                </c:pt>
                <c:pt idx="40">
                  <c:v>0.38500000000000001</c:v>
                </c:pt>
                <c:pt idx="41">
                  <c:v>0.40250000000000002</c:v>
                </c:pt>
                <c:pt idx="42">
                  <c:v>0.33</c:v>
                </c:pt>
                <c:pt idx="43">
                  <c:v>0.42749999999999999</c:v>
                </c:pt>
                <c:pt idx="44">
                  <c:v>0.36749999999999999</c:v>
                </c:pt>
                <c:pt idx="45">
                  <c:v>0.44500000000000001</c:v>
                </c:pt>
                <c:pt idx="46">
                  <c:v>0.44500000000000001</c:v>
                </c:pt>
                <c:pt idx="47">
                  <c:v>0.42249999999999999</c:v>
                </c:pt>
                <c:pt idx="48">
                  <c:v>0.46250000000000002</c:v>
                </c:pt>
                <c:pt idx="49">
                  <c:v>0.33500000000000002</c:v>
                </c:pt>
                <c:pt idx="50">
                  <c:v>0.45500000000000002</c:v>
                </c:pt>
                <c:pt idx="51">
                  <c:v>0.47499999999999998</c:v>
                </c:pt>
                <c:pt idx="52">
                  <c:v>0.38750000000000001</c:v>
                </c:pt>
                <c:pt idx="53">
                  <c:v>0.42249999999999999</c:v>
                </c:pt>
                <c:pt idx="54">
                  <c:v>0.495</c:v>
                </c:pt>
                <c:pt idx="55">
                  <c:v>0.435</c:v>
                </c:pt>
                <c:pt idx="56">
                  <c:v>0.48249999999999998</c:v>
                </c:pt>
                <c:pt idx="57">
                  <c:v>0.39500000000000002</c:v>
                </c:pt>
                <c:pt idx="58">
                  <c:v>0.39250000000000002</c:v>
                </c:pt>
                <c:pt idx="59">
                  <c:v>0.41</c:v>
                </c:pt>
                <c:pt idx="60">
                  <c:v>0.38250000000000001</c:v>
                </c:pt>
                <c:pt idx="61">
                  <c:v>0.46</c:v>
                </c:pt>
                <c:pt idx="62">
                  <c:v>0.41749999999999998</c:v>
                </c:pt>
                <c:pt idx="63">
                  <c:v>0.45750000000000002</c:v>
                </c:pt>
                <c:pt idx="64">
                  <c:v>0.435</c:v>
                </c:pt>
                <c:pt idx="65">
                  <c:v>0.45500000000000002</c:v>
                </c:pt>
                <c:pt idx="66">
                  <c:v>0.41249999999999998</c:v>
                </c:pt>
                <c:pt idx="67">
                  <c:v>0.47</c:v>
                </c:pt>
                <c:pt idx="68">
                  <c:v>0.43</c:v>
                </c:pt>
                <c:pt idx="69">
                  <c:v>0.40749999999999997</c:v>
                </c:pt>
                <c:pt idx="70">
                  <c:v>0.40749999999999997</c:v>
                </c:pt>
                <c:pt idx="71">
                  <c:v>0.36499999999999999</c:v>
                </c:pt>
                <c:pt idx="72">
                  <c:v>0.46500000000000002</c:v>
                </c:pt>
                <c:pt idx="73">
                  <c:v>0.40250000000000002</c:v>
                </c:pt>
                <c:pt idx="74">
                  <c:v>0.46250000000000002</c:v>
                </c:pt>
                <c:pt idx="75">
                  <c:v>0.4</c:v>
                </c:pt>
                <c:pt idx="76">
                  <c:v>0.42</c:v>
                </c:pt>
                <c:pt idx="77">
                  <c:v>0.39750000000000002</c:v>
                </c:pt>
                <c:pt idx="78">
                  <c:v>0.39</c:v>
                </c:pt>
                <c:pt idx="79">
                  <c:v>0.40500000000000003</c:v>
                </c:pt>
                <c:pt idx="80">
                  <c:v>0.40250000000000002</c:v>
                </c:pt>
                <c:pt idx="81">
                  <c:v>0.30249999999999999</c:v>
                </c:pt>
                <c:pt idx="82">
                  <c:v>0.38</c:v>
                </c:pt>
                <c:pt idx="83">
                  <c:v>0.45750000000000002</c:v>
                </c:pt>
                <c:pt idx="84">
                  <c:v>0.39500000000000002</c:v>
                </c:pt>
                <c:pt idx="85">
                  <c:v>0.45250000000000001</c:v>
                </c:pt>
                <c:pt idx="86">
                  <c:v>0.45</c:v>
                </c:pt>
                <c:pt idx="87">
                  <c:v>0.41</c:v>
                </c:pt>
                <c:pt idx="88">
                  <c:v>0.36749999999999999</c:v>
                </c:pt>
                <c:pt idx="89">
                  <c:v>0.34499999999999997</c:v>
                </c:pt>
                <c:pt idx="90">
                  <c:v>0.40500000000000003</c:v>
                </c:pt>
                <c:pt idx="91">
                  <c:v>0.41249999999999998</c:v>
                </c:pt>
                <c:pt idx="92">
                  <c:v>0.39</c:v>
                </c:pt>
                <c:pt idx="93">
                  <c:v>0.38500000000000001</c:v>
                </c:pt>
                <c:pt idx="94">
                  <c:v>0.44500000000000001</c:v>
                </c:pt>
                <c:pt idx="95">
                  <c:v>0.46500000000000002</c:v>
                </c:pt>
                <c:pt idx="96">
                  <c:v>0.40250000000000002</c:v>
                </c:pt>
                <c:pt idx="97">
                  <c:v>0.32</c:v>
                </c:pt>
                <c:pt idx="98">
                  <c:v>0.41749999999999998</c:v>
                </c:pt>
                <c:pt idx="99">
                  <c:v>0.3725</c:v>
                </c:pt>
                <c:pt idx="100">
                  <c:v>0.3725</c:v>
                </c:pt>
                <c:pt idx="101">
                  <c:v>0.37</c:v>
                </c:pt>
                <c:pt idx="102">
                  <c:v>0.35</c:v>
                </c:pt>
                <c:pt idx="103">
                  <c:v>0.36749999999999999</c:v>
                </c:pt>
                <c:pt idx="104">
                  <c:v>0.34749999999999998</c:v>
                </c:pt>
                <c:pt idx="105">
                  <c:v>0.32500000000000001</c:v>
                </c:pt>
                <c:pt idx="106">
                  <c:v>0.4</c:v>
                </c:pt>
                <c:pt idx="107">
                  <c:v>0.39500000000000002</c:v>
                </c:pt>
                <c:pt idx="108">
                  <c:v>0.41249999999999998</c:v>
                </c:pt>
                <c:pt idx="109">
                  <c:v>0.37</c:v>
                </c:pt>
                <c:pt idx="110">
                  <c:v>0.36749999999999999</c:v>
                </c:pt>
                <c:pt idx="111">
                  <c:v>0.38750000000000001</c:v>
                </c:pt>
                <c:pt idx="112">
                  <c:v>0.39500000000000002</c:v>
                </c:pt>
                <c:pt idx="113">
                  <c:v>0.41249999999999998</c:v>
                </c:pt>
                <c:pt idx="114">
                  <c:v>0.39250000000000002</c:v>
                </c:pt>
                <c:pt idx="115">
                  <c:v>0.32250000000000001</c:v>
                </c:pt>
                <c:pt idx="116">
                  <c:v>0.40250000000000002</c:v>
                </c:pt>
                <c:pt idx="117">
                  <c:v>0.3775</c:v>
                </c:pt>
                <c:pt idx="118">
                  <c:v>0.3775</c:v>
                </c:pt>
                <c:pt idx="119">
                  <c:v>0.375</c:v>
                </c:pt>
                <c:pt idx="120">
                  <c:v>0.39250000000000002</c:v>
                </c:pt>
                <c:pt idx="121">
                  <c:v>0.33250000000000002</c:v>
                </c:pt>
                <c:pt idx="122">
                  <c:v>0.42749999999999999</c:v>
                </c:pt>
                <c:pt idx="123">
                  <c:v>0.36499999999999999</c:v>
                </c:pt>
                <c:pt idx="124">
                  <c:v>0.44500000000000001</c:v>
                </c:pt>
                <c:pt idx="125">
                  <c:v>0.36499999999999999</c:v>
                </c:pt>
                <c:pt idx="126">
                  <c:v>0.39750000000000002</c:v>
                </c:pt>
                <c:pt idx="127">
                  <c:v>0.36249999999999999</c:v>
                </c:pt>
                <c:pt idx="128">
                  <c:v>0.41249999999999998</c:v>
                </c:pt>
                <c:pt idx="129">
                  <c:v>0.35249999999999998</c:v>
                </c:pt>
                <c:pt idx="130">
                  <c:v>0.37</c:v>
                </c:pt>
                <c:pt idx="131">
                  <c:v>0.37</c:v>
                </c:pt>
                <c:pt idx="132">
                  <c:v>0.35</c:v>
                </c:pt>
                <c:pt idx="133">
                  <c:v>0.34250000000000003</c:v>
                </c:pt>
                <c:pt idx="134">
                  <c:v>0.34250000000000003</c:v>
                </c:pt>
                <c:pt idx="135">
                  <c:v>0.38</c:v>
                </c:pt>
                <c:pt idx="136">
                  <c:v>0.35499999999999998</c:v>
                </c:pt>
                <c:pt idx="137">
                  <c:v>0.41</c:v>
                </c:pt>
                <c:pt idx="138">
                  <c:v>0.32750000000000001</c:v>
                </c:pt>
                <c:pt idx="139">
                  <c:v>0.35249999999999998</c:v>
                </c:pt>
                <c:pt idx="140">
                  <c:v>0.41</c:v>
                </c:pt>
                <c:pt idx="141">
                  <c:v>0.315</c:v>
                </c:pt>
                <c:pt idx="142">
                  <c:v>0.38750000000000001</c:v>
                </c:pt>
                <c:pt idx="143">
                  <c:v>0.3725</c:v>
                </c:pt>
                <c:pt idx="144">
                  <c:v>0.38250000000000001</c:v>
                </c:pt>
                <c:pt idx="145">
                  <c:v>0.34</c:v>
                </c:pt>
                <c:pt idx="146">
                  <c:v>0.45250000000000001</c:v>
                </c:pt>
                <c:pt idx="147">
                  <c:v>0.59250000000000003</c:v>
                </c:pt>
                <c:pt idx="148">
                  <c:v>0.49</c:v>
                </c:pt>
                <c:pt idx="149">
                  <c:v>0.69499999999999995</c:v>
                </c:pt>
                <c:pt idx="150">
                  <c:v>0.57499999999999996</c:v>
                </c:pt>
                <c:pt idx="151">
                  <c:v>0.44500000000000001</c:v>
                </c:pt>
                <c:pt idx="152">
                  <c:v>0.39750000000000002</c:v>
                </c:pt>
                <c:pt idx="153">
                  <c:v>0.39500000000000002</c:v>
                </c:pt>
                <c:pt idx="154">
                  <c:v>0.59250000000000003</c:v>
                </c:pt>
                <c:pt idx="155">
                  <c:v>0.48249999999999998</c:v>
                </c:pt>
                <c:pt idx="156">
                  <c:v>0.35</c:v>
                </c:pt>
                <c:pt idx="157">
                  <c:v>0.40500000000000003</c:v>
                </c:pt>
                <c:pt idx="158">
                  <c:v>0.52249999999999996</c:v>
                </c:pt>
                <c:pt idx="159">
                  <c:v>0.53249999999999997</c:v>
                </c:pt>
                <c:pt idx="160">
                  <c:v>0.31</c:v>
                </c:pt>
                <c:pt idx="161">
                  <c:v>0.36</c:v>
                </c:pt>
                <c:pt idx="162">
                  <c:v>0.45</c:v>
                </c:pt>
                <c:pt idx="163">
                  <c:v>0.45</c:v>
                </c:pt>
                <c:pt idx="164">
                  <c:v>0.36499999999999999</c:v>
                </c:pt>
                <c:pt idx="165">
                  <c:v>0.505</c:v>
                </c:pt>
                <c:pt idx="166">
                  <c:v>0.38750000000000001</c:v>
                </c:pt>
                <c:pt idx="167">
                  <c:v>0.41749999999999998</c:v>
                </c:pt>
                <c:pt idx="168">
                  <c:v>0.42499999999999999</c:v>
                </c:pt>
                <c:pt idx="169">
                  <c:v>0.41749999999999998</c:v>
                </c:pt>
                <c:pt idx="170">
                  <c:v>0.42499999999999999</c:v>
                </c:pt>
                <c:pt idx="171">
                  <c:v>0.46500000000000002</c:v>
                </c:pt>
                <c:pt idx="172">
                  <c:v>0.36249999999999999</c:v>
                </c:pt>
                <c:pt idx="173">
                  <c:v>0.46</c:v>
                </c:pt>
                <c:pt idx="174">
                  <c:v>0.3725</c:v>
                </c:pt>
                <c:pt idx="175">
                  <c:v>0.34250000000000003</c:v>
                </c:pt>
                <c:pt idx="176">
                  <c:v>0.42</c:v>
                </c:pt>
                <c:pt idx="177">
                  <c:v>0.46</c:v>
                </c:pt>
                <c:pt idx="178">
                  <c:v>0.33750000000000002</c:v>
                </c:pt>
                <c:pt idx="179">
                  <c:v>0.45</c:v>
                </c:pt>
                <c:pt idx="180">
                  <c:v>0.32500000000000001</c:v>
                </c:pt>
                <c:pt idx="181">
                  <c:v>0.42</c:v>
                </c:pt>
                <c:pt idx="182">
                  <c:v>0.375</c:v>
                </c:pt>
                <c:pt idx="183">
                  <c:v>0.40250000000000002</c:v>
                </c:pt>
                <c:pt idx="184">
                  <c:v>0.42249999999999999</c:v>
                </c:pt>
                <c:pt idx="185">
                  <c:v>0.44</c:v>
                </c:pt>
                <c:pt idx="186">
                  <c:v>0.36249999999999999</c:v>
                </c:pt>
                <c:pt idx="187">
                  <c:v>0.35249999999999998</c:v>
                </c:pt>
                <c:pt idx="188">
                  <c:v>0.39500000000000002</c:v>
                </c:pt>
                <c:pt idx="189">
                  <c:v>0.39</c:v>
                </c:pt>
                <c:pt idx="190">
                  <c:v>0.4375</c:v>
                </c:pt>
                <c:pt idx="191">
                  <c:v>0.4375</c:v>
                </c:pt>
                <c:pt idx="192">
                  <c:v>0.41499999999999998</c:v>
                </c:pt>
                <c:pt idx="193">
                  <c:v>0.3725</c:v>
                </c:pt>
                <c:pt idx="194">
                  <c:v>0.41249999999999998</c:v>
                </c:pt>
                <c:pt idx="195">
                  <c:v>0.38</c:v>
                </c:pt>
                <c:pt idx="196">
                  <c:v>0.4</c:v>
                </c:pt>
                <c:pt idx="197">
                  <c:v>0.32</c:v>
                </c:pt>
                <c:pt idx="198">
                  <c:v>0.375</c:v>
                </c:pt>
                <c:pt idx="199">
                  <c:v>0.41</c:v>
                </c:pt>
                <c:pt idx="200">
                  <c:v>0.39</c:v>
                </c:pt>
                <c:pt idx="201">
                  <c:v>0.39500000000000002</c:v>
                </c:pt>
                <c:pt idx="202">
                  <c:v>0.36499999999999999</c:v>
                </c:pt>
                <c:pt idx="203">
                  <c:v>0.36499999999999999</c:v>
                </c:pt>
                <c:pt idx="204">
                  <c:v>0.375</c:v>
                </c:pt>
                <c:pt idx="205">
                  <c:v>0.32250000000000001</c:v>
                </c:pt>
                <c:pt idx="206">
                  <c:v>0.39750000000000002</c:v>
                </c:pt>
                <c:pt idx="207">
                  <c:v>0.40749999999999997</c:v>
                </c:pt>
                <c:pt idx="208">
                  <c:v>0.38</c:v>
                </c:pt>
                <c:pt idx="209">
                  <c:v>0.3775</c:v>
                </c:pt>
                <c:pt idx="210">
                  <c:v>0.37</c:v>
                </c:pt>
                <c:pt idx="211">
                  <c:v>0.38250000000000001</c:v>
                </c:pt>
                <c:pt idx="212">
                  <c:v>0.39750000000000002</c:v>
                </c:pt>
                <c:pt idx="213">
                  <c:v>0.41749999999999998</c:v>
                </c:pt>
                <c:pt idx="214">
                  <c:v>0.39750000000000002</c:v>
                </c:pt>
                <c:pt idx="215">
                  <c:v>0.39250000000000002</c:v>
                </c:pt>
                <c:pt idx="216">
                  <c:v>0.35749999999999998</c:v>
                </c:pt>
                <c:pt idx="217">
                  <c:v>0.3125</c:v>
                </c:pt>
                <c:pt idx="218">
                  <c:v>0.36499999999999999</c:v>
                </c:pt>
                <c:pt idx="219">
                  <c:v>0.71499999999999997</c:v>
                </c:pt>
                <c:pt idx="220">
                  <c:v>0.65749999999999997</c:v>
                </c:pt>
                <c:pt idx="221">
                  <c:v>0.61499999999999999</c:v>
                </c:pt>
                <c:pt idx="222">
                  <c:v>0.55000000000000004</c:v>
                </c:pt>
                <c:pt idx="223">
                  <c:v>0.5675</c:v>
                </c:pt>
                <c:pt idx="224">
                  <c:v>0.51</c:v>
                </c:pt>
                <c:pt idx="225">
                  <c:v>0.44750000000000001</c:v>
                </c:pt>
                <c:pt idx="226">
                  <c:v>0.40250000000000002</c:v>
                </c:pt>
                <c:pt idx="227">
                  <c:v>0.47249999999999998</c:v>
                </c:pt>
                <c:pt idx="228">
                  <c:v>0.49249999999999999</c:v>
                </c:pt>
                <c:pt idx="229">
                  <c:v>0.46750000000000003</c:v>
                </c:pt>
                <c:pt idx="230">
                  <c:v>0.44500000000000001</c:v>
                </c:pt>
                <c:pt idx="231">
                  <c:v>0.67500000000000004</c:v>
                </c:pt>
                <c:pt idx="232">
                  <c:v>0.39</c:v>
                </c:pt>
                <c:pt idx="233">
                  <c:v>0.45</c:v>
                </c:pt>
                <c:pt idx="234">
                  <c:v>0.40250000000000002</c:v>
                </c:pt>
                <c:pt idx="235">
                  <c:v>0.52</c:v>
                </c:pt>
                <c:pt idx="236">
                  <c:v>0.43</c:v>
                </c:pt>
                <c:pt idx="237">
                  <c:v>0.435</c:v>
                </c:pt>
                <c:pt idx="238">
                  <c:v>0.65</c:v>
                </c:pt>
                <c:pt idx="239">
                  <c:v>0.42249999999999999</c:v>
                </c:pt>
                <c:pt idx="240">
                  <c:v>0.46</c:v>
                </c:pt>
                <c:pt idx="241">
                  <c:v>0.59250000000000003</c:v>
                </c:pt>
                <c:pt idx="242">
                  <c:v>0.41249999999999998</c:v>
                </c:pt>
                <c:pt idx="243">
                  <c:v>0.48749999999999999</c:v>
                </c:pt>
                <c:pt idx="244">
                  <c:v>0.46750000000000003</c:v>
                </c:pt>
                <c:pt idx="245">
                  <c:v>0.5675</c:v>
                </c:pt>
                <c:pt idx="246">
                  <c:v>0.52749999999999997</c:v>
                </c:pt>
                <c:pt idx="247">
                  <c:v>0.41499999999999998</c:v>
                </c:pt>
                <c:pt idx="248">
                  <c:v>0.53249999999999997</c:v>
                </c:pt>
                <c:pt idx="249">
                  <c:v>0.43</c:v>
                </c:pt>
                <c:pt idx="250">
                  <c:v>0.46250000000000002</c:v>
                </c:pt>
                <c:pt idx="251">
                  <c:v>0.46250000000000002</c:v>
                </c:pt>
                <c:pt idx="252">
                  <c:v>0.4425</c:v>
                </c:pt>
                <c:pt idx="253">
                  <c:v>0.48249999999999998</c:v>
                </c:pt>
                <c:pt idx="254">
                  <c:v>0.48249999999999998</c:v>
                </c:pt>
                <c:pt idx="255">
                  <c:v>0.42249999999999999</c:v>
                </c:pt>
                <c:pt idx="256">
                  <c:v>0.48</c:v>
                </c:pt>
                <c:pt idx="257">
                  <c:v>0.44</c:v>
                </c:pt>
                <c:pt idx="258">
                  <c:v>0.4375</c:v>
                </c:pt>
                <c:pt idx="259">
                  <c:v>0.51749999999999996</c:v>
                </c:pt>
                <c:pt idx="260">
                  <c:v>0.41749999999999998</c:v>
                </c:pt>
                <c:pt idx="261">
                  <c:v>0.42749999999999999</c:v>
                </c:pt>
                <c:pt idx="262">
                  <c:v>0.40500000000000003</c:v>
                </c:pt>
                <c:pt idx="263">
                  <c:v>0.42249999999999999</c:v>
                </c:pt>
                <c:pt idx="264">
                  <c:v>0.54</c:v>
                </c:pt>
                <c:pt idx="265">
                  <c:v>0.41749999999999998</c:v>
                </c:pt>
                <c:pt idx="266">
                  <c:v>0.41749999999999998</c:v>
                </c:pt>
                <c:pt idx="267">
                  <c:v>0.4325</c:v>
                </c:pt>
                <c:pt idx="268">
                  <c:v>0.47249999999999998</c:v>
                </c:pt>
                <c:pt idx="269">
                  <c:v>0.41</c:v>
                </c:pt>
                <c:pt idx="270">
                  <c:v>0.42749999999999999</c:v>
                </c:pt>
                <c:pt idx="271">
                  <c:v>0.42</c:v>
                </c:pt>
                <c:pt idx="272">
                  <c:v>0.52</c:v>
                </c:pt>
                <c:pt idx="273">
                  <c:v>0.48749999999999999</c:v>
                </c:pt>
                <c:pt idx="274">
                  <c:v>0.38750000000000001</c:v>
                </c:pt>
                <c:pt idx="275">
                  <c:v>0.48249999999999998</c:v>
                </c:pt>
                <c:pt idx="276">
                  <c:v>0.41249999999999998</c:v>
                </c:pt>
                <c:pt idx="277">
                  <c:v>0.39</c:v>
                </c:pt>
                <c:pt idx="278">
                  <c:v>0.39</c:v>
                </c:pt>
                <c:pt idx="279">
                  <c:v>0.47</c:v>
                </c:pt>
                <c:pt idx="280">
                  <c:v>0.45</c:v>
                </c:pt>
                <c:pt idx="281">
                  <c:v>0.44750000000000001</c:v>
                </c:pt>
                <c:pt idx="282">
                  <c:v>0.40749999999999997</c:v>
                </c:pt>
                <c:pt idx="283">
                  <c:v>0.48499999999999999</c:v>
                </c:pt>
                <c:pt idx="284">
                  <c:v>0.46250000000000002</c:v>
                </c:pt>
                <c:pt idx="285">
                  <c:v>0.48</c:v>
                </c:pt>
                <c:pt idx="286">
                  <c:v>0.4</c:v>
                </c:pt>
                <c:pt idx="287">
                  <c:v>0.46</c:v>
                </c:pt>
                <c:pt idx="288">
                  <c:v>0.35749999999999998</c:v>
                </c:pt>
                <c:pt idx="289">
                  <c:v>0.495</c:v>
                </c:pt>
                <c:pt idx="290">
                  <c:v>0.45500000000000002</c:v>
                </c:pt>
                <c:pt idx="291">
                  <c:v>0.3725</c:v>
                </c:pt>
                <c:pt idx="292">
                  <c:v>0.4425</c:v>
                </c:pt>
                <c:pt idx="293">
                  <c:v>0.4325</c:v>
                </c:pt>
                <c:pt idx="294">
                  <c:v>0.49249999999999999</c:v>
                </c:pt>
                <c:pt idx="295">
                  <c:v>0.57250000000000001</c:v>
                </c:pt>
                <c:pt idx="296">
                  <c:v>0.54500000000000004</c:v>
                </c:pt>
                <c:pt idx="297">
                  <c:v>0.44500000000000001</c:v>
                </c:pt>
                <c:pt idx="298">
                  <c:v>0.53500000000000003</c:v>
                </c:pt>
                <c:pt idx="299">
                  <c:v>0.49</c:v>
                </c:pt>
                <c:pt idx="300">
                  <c:v>0.43</c:v>
                </c:pt>
                <c:pt idx="301">
                  <c:v>0.42499999999999999</c:v>
                </c:pt>
                <c:pt idx="302">
                  <c:v>0.52500000000000002</c:v>
                </c:pt>
                <c:pt idx="303">
                  <c:v>0.50249999999999995</c:v>
                </c:pt>
                <c:pt idx="304">
                  <c:v>0.41249999999999998</c:v>
                </c:pt>
                <c:pt idx="305">
                  <c:v>0.43</c:v>
                </c:pt>
                <c:pt idx="306">
                  <c:v>0.49</c:v>
                </c:pt>
                <c:pt idx="307">
                  <c:v>0.46500000000000002</c:v>
                </c:pt>
                <c:pt idx="308">
                  <c:v>0.53749999999999998</c:v>
                </c:pt>
                <c:pt idx="309">
                  <c:v>0.48749999999999999</c:v>
                </c:pt>
                <c:pt idx="310">
                  <c:v>0.52500000000000002</c:v>
                </c:pt>
                <c:pt idx="311">
                  <c:v>0.5625</c:v>
                </c:pt>
                <c:pt idx="312">
                  <c:v>0.51749999999999996</c:v>
                </c:pt>
                <c:pt idx="313">
                  <c:v>0.39500000000000002</c:v>
                </c:pt>
                <c:pt idx="314">
                  <c:v>0.51500000000000001</c:v>
                </c:pt>
                <c:pt idx="315">
                  <c:v>0.47499999999999998</c:v>
                </c:pt>
                <c:pt idx="316">
                  <c:v>0.47</c:v>
                </c:pt>
                <c:pt idx="317">
                  <c:v>0.47</c:v>
                </c:pt>
                <c:pt idx="318">
                  <c:v>0.42749999999999999</c:v>
                </c:pt>
                <c:pt idx="319">
                  <c:v>0.40500000000000003</c:v>
                </c:pt>
                <c:pt idx="320">
                  <c:v>0.44</c:v>
                </c:pt>
                <c:pt idx="321">
                  <c:v>0.44</c:v>
                </c:pt>
                <c:pt idx="322">
                  <c:v>0.44</c:v>
                </c:pt>
                <c:pt idx="323">
                  <c:v>0.39750000000000002</c:v>
                </c:pt>
                <c:pt idx="324">
                  <c:v>0.375</c:v>
                </c:pt>
                <c:pt idx="325">
                  <c:v>0.435</c:v>
                </c:pt>
                <c:pt idx="326">
                  <c:v>0.39</c:v>
                </c:pt>
                <c:pt idx="327">
                  <c:v>0.44750000000000001</c:v>
                </c:pt>
                <c:pt idx="328">
                  <c:v>0.52500000000000002</c:v>
                </c:pt>
                <c:pt idx="329">
                  <c:v>0.54</c:v>
                </c:pt>
                <c:pt idx="330">
                  <c:v>0.44</c:v>
                </c:pt>
                <c:pt idx="331">
                  <c:v>0.45500000000000002</c:v>
                </c:pt>
                <c:pt idx="332">
                  <c:v>0.45250000000000001</c:v>
                </c:pt>
                <c:pt idx="333">
                  <c:v>0.55000000000000004</c:v>
                </c:pt>
                <c:pt idx="334">
                  <c:v>0.67</c:v>
                </c:pt>
                <c:pt idx="335">
                  <c:v>0.40250000000000002</c:v>
                </c:pt>
                <c:pt idx="336">
                  <c:v>0.5</c:v>
                </c:pt>
                <c:pt idx="337">
                  <c:v>0.45500000000000002</c:v>
                </c:pt>
                <c:pt idx="338">
                  <c:v>0.51500000000000001</c:v>
                </c:pt>
                <c:pt idx="339">
                  <c:v>0.55500000000000005</c:v>
                </c:pt>
                <c:pt idx="340">
                  <c:v>0.44500000000000001</c:v>
                </c:pt>
                <c:pt idx="341">
                  <c:v>0.46500000000000002</c:v>
                </c:pt>
                <c:pt idx="342">
                  <c:v>0.38250000000000001</c:v>
                </c:pt>
                <c:pt idx="343">
                  <c:v>0.47</c:v>
                </c:pt>
                <c:pt idx="344">
                  <c:v>0.4</c:v>
                </c:pt>
                <c:pt idx="345">
                  <c:v>0.4</c:v>
                </c:pt>
                <c:pt idx="346">
                  <c:v>0.35749999999999998</c:v>
                </c:pt>
                <c:pt idx="347">
                  <c:v>0.4975</c:v>
                </c:pt>
                <c:pt idx="348">
                  <c:v>0.41249999999999998</c:v>
                </c:pt>
                <c:pt idx="349">
                  <c:v>0.42749999999999999</c:v>
                </c:pt>
                <c:pt idx="350">
                  <c:v>0.4425</c:v>
                </c:pt>
                <c:pt idx="351">
                  <c:v>0.44</c:v>
                </c:pt>
                <c:pt idx="352">
                  <c:v>0.41749999999999998</c:v>
                </c:pt>
                <c:pt idx="353">
                  <c:v>0.3775</c:v>
                </c:pt>
                <c:pt idx="354">
                  <c:v>0.48749999999999999</c:v>
                </c:pt>
                <c:pt idx="355">
                  <c:v>0.4425</c:v>
                </c:pt>
                <c:pt idx="356">
                  <c:v>0.50249999999999995</c:v>
                </c:pt>
                <c:pt idx="357">
                  <c:v>0.39500000000000002</c:v>
                </c:pt>
                <c:pt idx="358">
                  <c:v>0.47</c:v>
                </c:pt>
                <c:pt idx="359">
                  <c:v>0.41</c:v>
                </c:pt>
                <c:pt idx="360">
                  <c:v>0.42499999999999999</c:v>
                </c:pt>
                <c:pt idx="361">
                  <c:v>0.4375</c:v>
                </c:pt>
                <c:pt idx="362">
                  <c:v>0.45500000000000002</c:v>
                </c:pt>
                <c:pt idx="363">
                  <c:v>0.45250000000000001</c:v>
                </c:pt>
                <c:pt idx="364">
                  <c:v>0.44750000000000001</c:v>
                </c:pt>
                <c:pt idx="365">
                  <c:v>0.52249999999999996</c:v>
                </c:pt>
                <c:pt idx="366">
                  <c:v>0.42</c:v>
                </c:pt>
                <c:pt idx="367">
                  <c:v>0.45750000000000002</c:v>
                </c:pt>
                <c:pt idx="368">
                  <c:v>0.41499999999999998</c:v>
                </c:pt>
                <c:pt idx="369">
                  <c:v>0.47499999999999998</c:v>
                </c:pt>
                <c:pt idx="370">
                  <c:v>0.47249999999999998</c:v>
                </c:pt>
                <c:pt idx="371">
                  <c:v>0.45</c:v>
                </c:pt>
                <c:pt idx="372">
                  <c:v>0.38750000000000001</c:v>
                </c:pt>
                <c:pt idx="373">
                  <c:v>0.435</c:v>
                </c:pt>
                <c:pt idx="374">
                  <c:v>0.51500000000000001</c:v>
                </c:pt>
                <c:pt idx="375">
                  <c:v>0.47499999999999998</c:v>
                </c:pt>
                <c:pt idx="376">
                  <c:v>0.47249999999999998</c:v>
                </c:pt>
                <c:pt idx="377">
                  <c:v>0.47</c:v>
                </c:pt>
                <c:pt idx="378">
                  <c:v>0.46250000000000002</c:v>
                </c:pt>
                <c:pt idx="379">
                  <c:v>0.44</c:v>
                </c:pt>
                <c:pt idx="380">
                  <c:v>0.42749999999999999</c:v>
                </c:pt>
                <c:pt idx="381">
                  <c:v>0.46</c:v>
                </c:pt>
                <c:pt idx="382">
                  <c:v>0.4375</c:v>
                </c:pt>
                <c:pt idx="383">
                  <c:v>0.3775</c:v>
                </c:pt>
                <c:pt idx="384">
                  <c:v>0.39750000000000002</c:v>
                </c:pt>
                <c:pt idx="385">
                  <c:v>0.435</c:v>
                </c:pt>
                <c:pt idx="386">
                  <c:v>0.41499999999999998</c:v>
                </c:pt>
                <c:pt idx="387">
                  <c:v>0.41499999999999998</c:v>
                </c:pt>
                <c:pt idx="388">
                  <c:v>0.39500000000000002</c:v>
                </c:pt>
                <c:pt idx="389">
                  <c:v>0.80249999999999999</c:v>
                </c:pt>
                <c:pt idx="390">
                  <c:v>0.64749999999999996</c:v>
                </c:pt>
                <c:pt idx="391">
                  <c:v>0.51500000000000001</c:v>
                </c:pt>
                <c:pt idx="392">
                  <c:v>0.53249999999999997</c:v>
                </c:pt>
                <c:pt idx="393">
                  <c:v>0.505</c:v>
                </c:pt>
                <c:pt idx="394">
                  <c:v>0.42249999999999999</c:v>
                </c:pt>
                <c:pt idx="395">
                  <c:v>0.54249999999999998</c:v>
                </c:pt>
                <c:pt idx="396">
                  <c:v>0.66749999999999998</c:v>
                </c:pt>
                <c:pt idx="397">
                  <c:v>0.51500000000000001</c:v>
                </c:pt>
                <c:pt idx="398">
                  <c:v>0.4</c:v>
                </c:pt>
                <c:pt idx="399">
                  <c:v>0.45750000000000002</c:v>
                </c:pt>
                <c:pt idx="400">
                  <c:v>0.45250000000000001</c:v>
                </c:pt>
                <c:pt idx="401">
                  <c:v>0.51</c:v>
                </c:pt>
                <c:pt idx="402">
                  <c:v>0.45</c:v>
                </c:pt>
                <c:pt idx="403">
                  <c:v>0.48499999999999999</c:v>
                </c:pt>
                <c:pt idx="404">
                  <c:v>0.4425</c:v>
                </c:pt>
                <c:pt idx="405">
                  <c:v>0.45250000000000001</c:v>
                </c:pt>
                <c:pt idx="406">
                  <c:v>0.51</c:v>
                </c:pt>
                <c:pt idx="407">
                  <c:v>0.64500000000000002</c:v>
                </c:pt>
                <c:pt idx="408">
                  <c:v>0.5</c:v>
                </c:pt>
                <c:pt idx="409">
                  <c:v>0.45750000000000002</c:v>
                </c:pt>
                <c:pt idx="410">
                  <c:v>0.50749999999999995</c:v>
                </c:pt>
                <c:pt idx="411">
                  <c:v>0.42</c:v>
                </c:pt>
                <c:pt idx="412">
                  <c:v>0.4325</c:v>
                </c:pt>
                <c:pt idx="413">
                  <c:v>0.47</c:v>
                </c:pt>
                <c:pt idx="414">
                  <c:v>0.43</c:v>
                </c:pt>
                <c:pt idx="415">
                  <c:v>0.51500000000000001</c:v>
                </c:pt>
                <c:pt idx="416">
                  <c:v>0.38750000000000001</c:v>
                </c:pt>
                <c:pt idx="417">
                  <c:v>0.41749999999999998</c:v>
                </c:pt>
                <c:pt idx="418">
                  <c:v>0.3725</c:v>
                </c:pt>
                <c:pt idx="419">
                  <c:v>0.55249999999999999</c:v>
                </c:pt>
                <c:pt idx="420">
                  <c:v>0.47249999999999998</c:v>
                </c:pt>
                <c:pt idx="421">
                  <c:v>0.49</c:v>
                </c:pt>
                <c:pt idx="422">
                  <c:v>0.34499999999999997</c:v>
                </c:pt>
                <c:pt idx="423">
                  <c:v>0.42249999999999999</c:v>
                </c:pt>
                <c:pt idx="424">
                  <c:v>0.51500000000000001</c:v>
                </c:pt>
                <c:pt idx="425">
                  <c:v>0.48249999999999998</c:v>
                </c:pt>
                <c:pt idx="426">
                  <c:v>0.46</c:v>
                </c:pt>
                <c:pt idx="427">
                  <c:v>0.42249999999999999</c:v>
                </c:pt>
                <c:pt idx="428">
                  <c:v>0.32250000000000001</c:v>
                </c:pt>
                <c:pt idx="429">
                  <c:v>0.46750000000000003</c:v>
                </c:pt>
                <c:pt idx="430">
                  <c:v>0.46500000000000002</c:v>
                </c:pt>
                <c:pt idx="431">
                  <c:v>0.32250000000000001</c:v>
                </c:pt>
                <c:pt idx="432">
                  <c:v>0.47499999999999998</c:v>
                </c:pt>
                <c:pt idx="433">
                  <c:v>0.52500000000000002</c:v>
                </c:pt>
                <c:pt idx="434">
                  <c:v>0.44500000000000001</c:v>
                </c:pt>
                <c:pt idx="435">
                  <c:v>0.46500000000000002</c:v>
                </c:pt>
                <c:pt idx="436">
                  <c:v>0.34</c:v>
                </c:pt>
                <c:pt idx="437">
                  <c:v>0.47499999999999998</c:v>
                </c:pt>
                <c:pt idx="438">
                  <c:v>0.39500000000000002</c:v>
                </c:pt>
                <c:pt idx="439">
                  <c:v>0.42499999999999999</c:v>
                </c:pt>
                <c:pt idx="440">
                  <c:v>0.4325</c:v>
                </c:pt>
                <c:pt idx="441">
                  <c:v>0.49</c:v>
                </c:pt>
                <c:pt idx="442">
                  <c:v>0.375</c:v>
                </c:pt>
                <c:pt idx="443">
                  <c:v>0.4425</c:v>
                </c:pt>
                <c:pt idx="444">
                  <c:v>0.3775</c:v>
                </c:pt>
                <c:pt idx="445">
                  <c:v>0.47499999999999998</c:v>
                </c:pt>
                <c:pt idx="446">
                  <c:v>0.38250000000000001</c:v>
                </c:pt>
                <c:pt idx="447">
                  <c:v>0.38</c:v>
                </c:pt>
                <c:pt idx="448">
                  <c:v>0.50749999999999995</c:v>
                </c:pt>
                <c:pt idx="449">
                  <c:v>0.34499999999999997</c:v>
                </c:pt>
                <c:pt idx="450">
                  <c:v>0.52500000000000002</c:v>
                </c:pt>
                <c:pt idx="451">
                  <c:v>0.48249999999999998</c:v>
                </c:pt>
                <c:pt idx="452">
                  <c:v>0.3725</c:v>
                </c:pt>
                <c:pt idx="453">
                  <c:v>0.4325</c:v>
                </c:pt>
                <c:pt idx="454">
                  <c:v>0.46250000000000002</c:v>
                </c:pt>
                <c:pt idx="455">
                  <c:v>0.3725</c:v>
                </c:pt>
                <c:pt idx="456">
                  <c:v>0.46750000000000003</c:v>
                </c:pt>
                <c:pt idx="457">
                  <c:v>0.46750000000000003</c:v>
                </c:pt>
                <c:pt idx="458">
                  <c:v>0.38750000000000001</c:v>
                </c:pt>
                <c:pt idx="459">
                  <c:v>0.44</c:v>
                </c:pt>
                <c:pt idx="460">
                  <c:v>0.46</c:v>
                </c:pt>
                <c:pt idx="461">
                  <c:v>0.45500000000000002</c:v>
                </c:pt>
                <c:pt idx="462">
                  <c:v>0.47499999999999998</c:v>
                </c:pt>
                <c:pt idx="463">
                  <c:v>0.44750000000000001</c:v>
                </c:pt>
                <c:pt idx="464">
                  <c:v>0.34</c:v>
                </c:pt>
                <c:pt idx="465">
                  <c:v>0.47499999999999998</c:v>
                </c:pt>
                <c:pt idx="466">
                  <c:v>0.38750000000000001</c:v>
                </c:pt>
                <c:pt idx="467">
                  <c:v>0.44500000000000001</c:v>
                </c:pt>
                <c:pt idx="468">
                  <c:v>0.38</c:v>
                </c:pt>
                <c:pt idx="469">
                  <c:v>0.4375</c:v>
                </c:pt>
                <c:pt idx="470">
                  <c:v>0.38750000000000001</c:v>
                </c:pt>
                <c:pt idx="471">
                  <c:v>0.42499999999999999</c:v>
                </c:pt>
                <c:pt idx="472">
                  <c:v>0.39750000000000002</c:v>
                </c:pt>
                <c:pt idx="473">
                  <c:v>0.41</c:v>
                </c:pt>
                <c:pt idx="474">
                  <c:v>0.41</c:v>
                </c:pt>
                <c:pt idx="475">
                  <c:v>0.38250000000000001</c:v>
                </c:pt>
                <c:pt idx="476">
                  <c:v>0.3</c:v>
                </c:pt>
                <c:pt idx="477">
                  <c:v>0.4425</c:v>
                </c:pt>
                <c:pt idx="478">
                  <c:v>0.44500000000000001</c:v>
                </c:pt>
                <c:pt idx="479">
                  <c:v>0.48499999999999999</c:v>
                </c:pt>
                <c:pt idx="480">
                  <c:v>0.45250000000000001</c:v>
                </c:pt>
                <c:pt idx="481">
                  <c:v>0.46500000000000002</c:v>
                </c:pt>
                <c:pt idx="482">
                  <c:v>0.48249999999999998</c:v>
                </c:pt>
                <c:pt idx="483">
                  <c:v>0.38250000000000001</c:v>
                </c:pt>
                <c:pt idx="484">
                  <c:v>0.39</c:v>
                </c:pt>
                <c:pt idx="485">
                  <c:v>0.48249999999999998</c:v>
                </c:pt>
                <c:pt idx="486">
                  <c:v>0.45250000000000001</c:v>
                </c:pt>
                <c:pt idx="487">
                  <c:v>0.54249999999999998</c:v>
                </c:pt>
                <c:pt idx="488">
                  <c:v>0.50249999999999995</c:v>
                </c:pt>
                <c:pt idx="489">
                  <c:v>0.51500000000000001</c:v>
                </c:pt>
                <c:pt idx="490">
                  <c:v>0.41499999999999998</c:v>
                </c:pt>
                <c:pt idx="491">
                  <c:v>0.52500000000000002</c:v>
                </c:pt>
                <c:pt idx="492">
                  <c:v>0.44</c:v>
                </c:pt>
                <c:pt idx="493">
                  <c:v>0.41749999999999998</c:v>
                </c:pt>
                <c:pt idx="494">
                  <c:v>0.39750000000000002</c:v>
                </c:pt>
                <c:pt idx="495">
                  <c:v>0.41499999999999998</c:v>
                </c:pt>
                <c:pt idx="496">
                  <c:v>0.38</c:v>
                </c:pt>
                <c:pt idx="497">
                  <c:v>0.41249999999999998</c:v>
                </c:pt>
                <c:pt idx="498">
                  <c:v>0.4375</c:v>
                </c:pt>
                <c:pt idx="499">
                  <c:v>0.42249999999999999</c:v>
                </c:pt>
                <c:pt idx="500">
                  <c:v>0.41249999999999998</c:v>
                </c:pt>
                <c:pt idx="501">
                  <c:v>0.42499999999999999</c:v>
                </c:pt>
                <c:pt idx="502">
                  <c:v>0.45750000000000002</c:v>
                </c:pt>
                <c:pt idx="503">
                  <c:v>0.53</c:v>
                </c:pt>
                <c:pt idx="504">
                  <c:v>0.41749999999999998</c:v>
                </c:pt>
                <c:pt idx="505">
                  <c:v>0.45500000000000002</c:v>
                </c:pt>
                <c:pt idx="506">
                  <c:v>0.44750000000000001</c:v>
                </c:pt>
                <c:pt idx="507">
                  <c:v>0.315</c:v>
                </c:pt>
                <c:pt idx="508">
                  <c:v>0.45250000000000001</c:v>
                </c:pt>
                <c:pt idx="509">
                  <c:v>0.4425</c:v>
                </c:pt>
                <c:pt idx="510">
                  <c:v>0.42</c:v>
                </c:pt>
                <c:pt idx="511">
                  <c:v>0.57750000000000001</c:v>
                </c:pt>
                <c:pt idx="512">
                  <c:v>0.51249999999999996</c:v>
                </c:pt>
                <c:pt idx="513">
                  <c:v>0.48749999999999999</c:v>
                </c:pt>
                <c:pt idx="514">
                  <c:v>0.54</c:v>
                </c:pt>
                <c:pt idx="515">
                  <c:v>0.42249999999999999</c:v>
                </c:pt>
                <c:pt idx="516">
                  <c:v>0.41499999999999998</c:v>
                </c:pt>
                <c:pt idx="517">
                  <c:v>0.40250000000000002</c:v>
                </c:pt>
                <c:pt idx="518">
                  <c:v>0.4975</c:v>
                </c:pt>
                <c:pt idx="519">
                  <c:v>0.53749999999999998</c:v>
                </c:pt>
                <c:pt idx="520">
                  <c:v>0.4425</c:v>
                </c:pt>
                <c:pt idx="521">
                  <c:v>0.42749999999999999</c:v>
                </c:pt>
                <c:pt idx="522">
                  <c:v>0.58250000000000002</c:v>
                </c:pt>
                <c:pt idx="523">
                  <c:v>0.45750000000000002</c:v>
                </c:pt>
                <c:pt idx="524">
                  <c:v>0.37</c:v>
                </c:pt>
                <c:pt idx="525">
                  <c:v>0.4325</c:v>
                </c:pt>
                <c:pt idx="526">
                  <c:v>0.52749999999999997</c:v>
                </c:pt>
                <c:pt idx="527">
                  <c:v>0.50749999999999995</c:v>
                </c:pt>
                <c:pt idx="528">
                  <c:v>0.50249999999999995</c:v>
                </c:pt>
                <c:pt idx="529">
                  <c:v>0.47</c:v>
                </c:pt>
                <c:pt idx="530">
                  <c:v>0.47</c:v>
                </c:pt>
                <c:pt idx="531">
                  <c:v>0.48</c:v>
                </c:pt>
                <c:pt idx="532">
                  <c:v>0.35</c:v>
                </c:pt>
                <c:pt idx="533">
                  <c:v>0.38</c:v>
                </c:pt>
                <c:pt idx="534">
                  <c:v>0.435</c:v>
                </c:pt>
                <c:pt idx="535">
                  <c:v>0.4375</c:v>
                </c:pt>
                <c:pt idx="536">
                  <c:v>0.55000000000000004</c:v>
                </c:pt>
                <c:pt idx="537">
                  <c:v>0.38750000000000001</c:v>
                </c:pt>
                <c:pt idx="538">
                  <c:v>0.42499999999999999</c:v>
                </c:pt>
                <c:pt idx="539">
                  <c:v>0.45750000000000002</c:v>
                </c:pt>
                <c:pt idx="540">
                  <c:v>0.46500000000000002</c:v>
                </c:pt>
                <c:pt idx="541">
                  <c:v>0.52749999999999997</c:v>
                </c:pt>
                <c:pt idx="542">
                  <c:v>0.51749999999999996</c:v>
                </c:pt>
                <c:pt idx="543">
                  <c:v>0.42</c:v>
                </c:pt>
                <c:pt idx="544">
                  <c:v>0.54</c:v>
                </c:pt>
                <c:pt idx="545">
                  <c:v>0.47249999999999998</c:v>
                </c:pt>
                <c:pt idx="546">
                  <c:v>0.53749999999999998</c:v>
                </c:pt>
                <c:pt idx="547">
                  <c:v>0.45250000000000001</c:v>
                </c:pt>
                <c:pt idx="548">
                  <c:v>0.53749999999999998</c:v>
                </c:pt>
                <c:pt idx="549">
                  <c:v>0.45</c:v>
                </c:pt>
                <c:pt idx="550">
                  <c:v>0.495</c:v>
                </c:pt>
                <c:pt idx="551">
                  <c:v>0.42499999999999999</c:v>
                </c:pt>
                <c:pt idx="552">
                  <c:v>0.41749999999999998</c:v>
                </c:pt>
                <c:pt idx="553">
                  <c:v>0.44500000000000001</c:v>
                </c:pt>
                <c:pt idx="554">
                  <c:v>0.40500000000000003</c:v>
                </c:pt>
                <c:pt idx="555">
                  <c:v>0.53</c:v>
                </c:pt>
                <c:pt idx="556">
                  <c:v>0.38750000000000001</c:v>
                </c:pt>
                <c:pt idx="557">
                  <c:v>0.41</c:v>
                </c:pt>
                <c:pt idx="558">
                  <c:v>0.4975</c:v>
                </c:pt>
                <c:pt idx="559">
                  <c:v>0.3775</c:v>
                </c:pt>
                <c:pt idx="560">
                  <c:v>0.45750000000000002</c:v>
                </c:pt>
                <c:pt idx="561">
                  <c:v>0.45750000000000002</c:v>
                </c:pt>
                <c:pt idx="562">
                  <c:v>0.47</c:v>
                </c:pt>
                <c:pt idx="563">
                  <c:v>0.36749999999999999</c:v>
                </c:pt>
                <c:pt idx="564">
                  <c:v>0.42499999999999999</c:v>
                </c:pt>
                <c:pt idx="565">
                  <c:v>0.41</c:v>
                </c:pt>
                <c:pt idx="566">
                  <c:v>0.41499999999999998</c:v>
                </c:pt>
                <c:pt idx="567">
                  <c:v>0.47749999999999998</c:v>
                </c:pt>
                <c:pt idx="568">
                  <c:v>0.46750000000000003</c:v>
                </c:pt>
                <c:pt idx="569">
                  <c:v>0.42749999999999999</c:v>
                </c:pt>
                <c:pt idx="570">
                  <c:v>0.48</c:v>
                </c:pt>
                <c:pt idx="571">
                  <c:v>0.435</c:v>
                </c:pt>
                <c:pt idx="572">
                  <c:v>0.44</c:v>
                </c:pt>
                <c:pt idx="573">
                  <c:v>0.4325</c:v>
                </c:pt>
                <c:pt idx="574">
                  <c:v>0.45500000000000002</c:v>
                </c:pt>
                <c:pt idx="575">
                  <c:v>0.39</c:v>
                </c:pt>
                <c:pt idx="576">
                  <c:v>0.39</c:v>
                </c:pt>
                <c:pt idx="577">
                  <c:v>0.47249999999999998</c:v>
                </c:pt>
                <c:pt idx="578">
                  <c:v>0.41499999999999998</c:v>
                </c:pt>
                <c:pt idx="579">
                  <c:v>0.40749999999999997</c:v>
                </c:pt>
                <c:pt idx="580">
                  <c:v>0.43</c:v>
                </c:pt>
                <c:pt idx="581">
                  <c:v>0.52500000000000002</c:v>
                </c:pt>
                <c:pt idx="582">
                  <c:v>0.42</c:v>
                </c:pt>
                <c:pt idx="583">
                  <c:v>0.42249999999999999</c:v>
                </c:pt>
                <c:pt idx="584">
                  <c:v>0.61750000000000005</c:v>
                </c:pt>
                <c:pt idx="585">
                  <c:v>0.42499999999999999</c:v>
                </c:pt>
                <c:pt idx="586">
                  <c:v>0.40500000000000003</c:v>
                </c:pt>
                <c:pt idx="587">
                  <c:v>0.38500000000000001</c:v>
                </c:pt>
                <c:pt idx="588">
                  <c:v>0.60750000000000004</c:v>
                </c:pt>
                <c:pt idx="589">
                  <c:v>0.53</c:v>
                </c:pt>
                <c:pt idx="590">
                  <c:v>0.5</c:v>
                </c:pt>
                <c:pt idx="591">
                  <c:v>0.3775</c:v>
                </c:pt>
                <c:pt idx="592">
                  <c:v>0.48749999999999999</c:v>
                </c:pt>
                <c:pt idx="593">
                  <c:v>0.4975</c:v>
                </c:pt>
                <c:pt idx="594">
                  <c:v>0.6925</c:v>
                </c:pt>
                <c:pt idx="595">
                  <c:v>0.44500000000000001</c:v>
                </c:pt>
                <c:pt idx="596">
                  <c:v>0.38250000000000001</c:v>
                </c:pt>
                <c:pt idx="597">
                  <c:v>0.40500000000000003</c:v>
                </c:pt>
                <c:pt idx="598">
                  <c:v>0.44</c:v>
                </c:pt>
                <c:pt idx="599">
                  <c:v>0.51749999999999996</c:v>
                </c:pt>
                <c:pt idx="600">
                  <c:v>0.52249999999999996</c:v>
                </c:pt>
                <c:pt idx="601">
                  <c:v>0.45</c:v>
                </c:pt>
                <c:pt idx="602">
                  <c:v>0.39</c:v>
                </c:pt>
                <c:pt idx="603">
                  <c:v>0.44</c:v>
                </c:pt>
                <c:pt idx="604">
                  <c:v>0.39750000000000002</c:v>
                </c:pt>
                <c:pt idx="605">
                  <c:v>0.35</c:v>
                </c:pt>
                <c:pt idx="606">
                  <c:v>0.45750000000000002</c:v>
                </c:pt>
                <c:pt idx="607">
                  <c:v>0.4375</c:v>
                </c:pt>
                <c:pt idx="608">
                  <c:v>0.56000000000000005</c:v>
                </c:pt>
                <c:pt idx="609">
                  <c:v>0.42249999999999999</c:v>
                </c:pt>
                <c:pt idx="610">
                  <c:v>0.52</c:v>
                </c:pt>
                <c:pt idx="611">
                  <c:v>0.47499999999999998</c:v>
                </c:pt>
                <c:pt idx="612">
                  <c:v>0.46</c:v>
                </c:pt>
                <c:pt idx="613">
                  <c:v>0.55500000000000005</c:v>
                </c:pt>
                <c:pt idx="614">
                  <c:v>0.5575</c:v>
                </c:pt>
                <c:pt idx="615">
                  <c:v>0.45250000000000001</c:v>
                </c:pt>
                <c:pt idx="616">
                  <c:v>0.63749999999999996</c:v>
                </c:pt>
                <c:pt idx="617">
                  <c:v>0.53749999999999998</c:v>
                </c:pt>
                <c:pt idx="618">
                  <c:v>0.4425</c:v>
                </c:pt>
                <c:pt idx="619">
                  <c:v>0.37</c:v>
                </c:pt>
                <c:pt idx="620">
                  <c:v>0.46250000000000002</c:v>
                </c:pt>
                <c:pt idx="621">
                  <c:v>0.41</c:v>
                </c:pt>
                <c:pt idx="622">
                  <c:v>0.51</c:v>
                </c:pt>
                <c:pt idx="623">
                  <c:v>0.435</c:v>
                </c:pt>
                <c:pt idx="624">
                  <c:v>0.45</c:v>
                </c:pt>
                <c:pt idx="625">
                  <c:v>0.56499999999999995</c:v>
                </c:pt>
                <c:pt idx="626">
                  <c:v>0.62749999999999995</c:v>
                </c:pt>
                <c:pt idx="627">
                  <c:v>0.42499999999999999</c:v>
                </c:pt>
                <c:pt idx="628">
                  <c:v>0.38</c:v>
                </c:pt>
                <c:pt idx="629">
                  <c:v>0.45500000000000002</c:v>
                </c:pt>
                <c:pt idx="630">
                  <c:v>0.40250000000000002</c:v>
                </c:pt>
                <c:pt idx="631">
                  <c:v>0.44</c:v>
                </c:pt>
                <c:pt idx="632">
                  <c:v>0.41749999999999998</c:v>
                </c:pt>
                <c:pt idx="633">
                  <c:v>0.47749999999999998</c:v>
                </c:pt>
                <c:pt idx="634">
                  <c:v>0.67249999999999999</c:v>
                </c:pt>
                <c:pt idx="635">
                  <c:v>0.46750000000000003</c:v>
                </c:pt>
                <c:pt idx="636">
                  <c:v>0.53500000000000003</c:v>
                </c:pt>
                <c:pt idx="637">
                  <c:v>0.46500000000000002</c:v>
                </c:pt>
                <c:pt idx="638">
                  <c:v>0.42</c:v>
                </c:pt>
                <c:pt idx="639">
                  <c:v>0.44750000000000001</c:v>
                </c:pt>
                <c:pt idx="640">
                  <c:v>0.375</c:v>
                </c:pt>
                <c:pt idx="641">
                  <c:v>0.5</c:v>
                </c:pt>
                <c:pt idx="642">
                  <c:v>0.47499999999999998</c:v>
                </c:pt>
                <c:pt idx="643">
                  <c:v>0.39500000000000002</c:v>
                </c:pt>
                <c:pt idx="644">
                  <c:v>0.45500000000000002</c:v>
                </c:pt>
                <c:pt idx="645">
                  <c:v>0.44500000000000001</c:v>
                </c:pt>
                <c:pt idx="646">
                  <c:v>0.5575</c:v>
                </c:pt>
                <c:pt idx="647">
                  <c:v>0.36749999999999999</c:v>
                </c:pt>
                <c:pt idx="648">
                  <c:v>0.495</c:v>
                </c:pt>
                <c:pt idx="649">
                  <c:v>0.45</c:v>
                </c:pt>
                <c:pt idx="650">
                  <c:v>0.75</c:v>
                </c:pt>
                <c:pt idx="651">
                  <c:v>0.45250000000000001</c:v>
                </c:pt>
                <c:pt idx="652">
                  <c:v>0.41749999999999998</c:v>
                </c:pt>
                <c:pt idx="653">
                  <c:v>0.375</c:v>
                </c:pt>
                <c:pt idx="654">
                  <c:v>0.51500000000000001</c:v>
                </c:pt>
                <c:pt idx="655">
                  <c:v>0.435</c:v>
                </c:pt>
                <c:pt idx="656">
                  <c:v>0.41749999999999998</c:v>
                </c:pt>
                <c:pt idx="657">
                  <c:v>0.45</c:v>
                </c:pt>
                <c:pt idx="658">
                  <c:v>0.53500000000000003</c:v>
                </c:pt>
                <c:pt idx="659">
                  <c:v>0.51</c:v>
                </c:pt>
                <c:pt idx="660">
                  <c:v>0.57999999999999996</c:v>
                </c:pt>
                <c:pt idx="661">
                  <c:v>0.41499999999999998</c:v>
                </c:pt>
                <c:pt idx="662">
                  <c:v>0.41249999999999998</c:v>
                </c:pt>
                <c:pt idx="663">
                  <c:v>0.42749999999999999</c:v>
                </c:pt>
                <c:pt idx="664">
                  <c:v>0.44500000000000001</c:v>
                </c:pt>
                <c:pt idx="665">
                  <c:v>0.45</c:v>
                </c:pt>
                <c:pt idx="666">
                  <c:v>0.435</c:v>
                </c:pt>
                <c:pt idx="667">
                  <c:v>0.50249999999999995</c:v>
                </c:pt>
                <c:pt idx="668">
                  <c:v>0.44750000000000001</c:v>
                </c:pt>
                <c:pt idx="669">
                  <c:v>0.44750000000000001</c:v>
                </c:pt>
                <c:pt idx="670">
                  <c:v>0.47749999999999998</c:v>
                </c:pt>
                <c:pt idx="671">
                  <c:v>0.435</c:v>
                </c:pt>
                <c:pt idx="672">
                  <c:v>0.45250000000000001</c:v>
                </c:pt>
                <c:pt idx="673">
                  <c:v>0.42749999999999999</c:v>
                </c:pt>
                <c:pt idx="674">
                  <c:v>0.58499999999999996</c:v>
                </c:pt>
                <c:pt idx="675">
                  <c:v>0.52249999999999996</c:v>
                </c:pt>
                <c:pt idx="676">
                  <c:v>0.33250000000000002</c:v>
                </c:pt>
                <c:pt idx="677">
                  <c:v>0.56000000000000005</c:v>
                </c:pt>
                <c:pt idx="678">
                  <c:v>0.36749999999999999</c:v>
                </c:pt>
                <c:pt idx="679">
                  <c:v>0.45750000000000002</c:v>
                </c:pt>
                <c:pt idx="680">
                  <c:v>0.42749999999999999</c:v>
                </c:pt>
                <c:pt idx="681">
                  <c:v>0.52249999999999996</c:v>
                </c:pt>
                <c:pt idx="682">
                  <c:v>0.41249999999999998</c:v>
                </c:pt>
                <c:pt idx="683">
                  <c:v>0.40500000000000003</c:v>
                </c:pt>
                <c:pt idx="684">
                  <c:v>0.47499999999999998</c:v>
                </c:pt>
                <c:pt idx="685">
                  <c:v>0.39250000000000002</c:v>
                </c:pt>
                <c:pt idx="686">
                  <c:v>0.46</c:v>
                </c:pt>
                <c:pt idx="687">
                  <c:v>0.44</c:v>
                </c:pt>
                <c:pt idx="688">
                  <c:v>0.35749999999999998</c:v>
                </c:pt>
                <c:pt idx="689">
                  <c:v>0.39</c:v>
                </c:pt>
                <c:pt idx="690">
                  <c:v>0.42499999999999999</c:v>
                </c:pt>
                <c:pt idx="691">
                  <c:v>0.51</c:v>
                </c:pt>
                <c:pt idx="692">
                  <c:v>0.4</c:v>
                </c:pt>
                <c:pt idx="693">
                  <c:v>0.3775</c:v>
                </c:pt>
                <c:pt idx="694">
                  <c:v>0.4425</c:v>
                </c:pt>
                <c:pt idx="695">
                  <c:v>0.48499999999999999</c:v>
                </c:pt>
                <c:pt idx="696">
                  <c:v>0.41</c:v>
                </c:pt>
                <c:pt idx="697">
                  <c:v>0.46</c:v>
                </c:pt>
                <c:pt idx="698">
                  <c:v>0.52249999999999996</c:v>
                </c:pt>
                <c:pt idx="699">
                  <c:v>0.39500000000000002</c:v>
                </c:pt>
                <c:pt idx="700">
                  <c:v>0.49</c:v>
                </c:pt>
                <c:pt idx="701">
                  <c:v>0.40500000000000003</c:v>
                </c:pt>
                <c:pt idx="702">
                  <c:v>0.495</c:v>
                </c:pt>
                <c:pt idx="703">
                  <c:v>0.47749999999999998</c:v>
                </c:pt>
                <c:pt idx="704">
                  <c:v>0.4375</c:v>
                </c:pt>
                <c:pt idx="705">
                  <c:v>0.4375</c:v>
                </c:pt>
                <c:pt idx="706">
                  <c:v>0.4</c:v>
                </c:pt>
                <c:pt idx="707">
                  <c:v>0.44</c:v>
                </c:pt>
                <c:pt idx="708">
                  <c:v>0.3725</c:v>
                </c:pt>
                <c:pt idx="709">
                  <c:v>0.52749999999999997</c:v>
                </c:pt>
                <c:pt idx="710">
                  <c:v>0.39750000000000002</c:v>
                </c:pt>
                <c:pt idx="711">
                  <c:v>0.42499999999999999</c:v>
                </c:pt>
                <c:pt idx="712">
                  <c:v>0.4425</c:v>
                </c:pt>
                <c:pt idx="713">
                  <c:v>0.38</c:v>
                </c:pt>
                <c:pt idx="714">
                  <c:v>0.51</c:v>
                </c:pt>
                <c:pt idx="715">
                  <c:v>0.4</c:v>
                </c:pt>
                <c:pt idx="716">
                  <c:v>0.59250000000000003</c:v>
                </c:pt>
                <c:pt idx="717">
                  <c:v>0.41499999999999998</c:v>
                </c:pt>
                <c:pt idx="718">
                  <c:v>0.38500000000000001</c:v>
                </c:pt>
                <c:pt idx="719">
                  <c:v>0.36499999999999999</c:v>
                </c:pt>
                <c:pt idx="720">
                  <c:v>0.45250000000000001</c:v>
                </c:pt>
                <c:pt idx="721">
                  <c:v>0.41749999999999998</c:v>
                </c:pt>
                <c:pt idx="722">
                  <c:v>0.42499999999999999</c:v>
                </c:pt>
                <c:pt idx="723">
                  <c:v>0.4425</c:v>
                </c:pt>
                <c:pt idx="724">
                  <c:v>0.38750000000000001</c:v>
                </c:pt>
                <c:pt idx="725">
                  <c:v>0.47499999999999998</c:v>
                </c:pt>
                <c:pt idx="726">
                  <c:v>0.495</c:v>
                </c:pt>
                <c:pt idx="727">
                  <c:v>0.495</c:v>
                </c:pt>
                <c:pt idx="728">
                  <c:v>0.41249999999999998</c:v>
                </c:pt>
                <c:pt idx="729">
                  <c:v>0.42</c:v>
                </c:pt>
                <c:pt idx="730">
                  <c:v>0.5</c:v>
                </c:pt>
                <c:pt idx="731">
                  <c:v>0.50749999999999995</c:v>
                </c:pt>
                <c:pt idx="732">
                  <c:v>0.48249999999999998</c:v>
                </c:pt>
                <c:pt idx="733">
                  <c:v>0.50749999999999995</c:v>
                </c:pt>
                <c:pt idx="734">
                  <c:v>0.46500000000000002</c:v>
                </c:pt>
                <c:pt idx="735">
                  <c:v>0.435</c:v>
                </c:pt>
                <c:pt idx="736">
                  <c:v>0.495</c:v>
                </c:pt>
                <c:pt idx="737">
                  <c:v>0.38250000000000001</c:v>
                </c:pt>
                <c:pt idx="738">
                  <c:v>0.505</c:v>
                </c:pt>
                <c:pt idx="739">
                  <c:v>0.72499999999999998</c:v>
                </c:pt>
                <c:pt idx="740">
                  <c:v>0.39750000000000002</c:v>
                </c:pt>
                <c:pt idx="741">
                  <c:v>0.38750000000000001</c:v>
                </c:pt>
                <c:pt idx="742">
                  <c:v>0.46500000000000002</c:v>
                </c:pt>
                <c:pt idx="743">
                  <c:v>0.42249999999999999</c:v>
                </c:pt>
                <c:pt idx="744">
                  <c:v>0.6875</c:v>
                </c:pt>
                <c:pt idx="745">
                  <c:v>0.71499999999999997</c:v>
                </c:pt>
                <c:pt idx="746">
                  <c:v>0.56999999999999995</c:v>
                </c:pt>
                <c:pt idx="747">
                  <c:v>0.495</c:v>
                </c:pt>
                <c:pt idx="748">
                  <c:v>0.52500000000000002</c:v>
                </c:pt>
                <c:pt idx="749">
                  <c:v>0.52249999999999996</c:v>
                </c:pt>
                <c:pt idx="750">
                  <c:v>0.57250000000000001</c:v>
                </c:pt>
                <c:pt idx="751">
                  <c:v>0.51249999999999996</c:v>
                </c:pt>
                <c:pt idx="752">
                  <c:v>0.53</c:v>
                </c:pt>
                <c:pt idx="753">
                  <c:v>0.52249999999999996</c:v>
                </c:pt>
                <c:pt idx="754">
                  <c:v>0.52249999999999996</c:v>
                </c:pt>
                <c:pt idx="755">
                  <c:v>0.51500000000000001</c:v>
                </c:pt>
                <c:pt idx="756">
                  <c:v>0.57499999999999996</c:v>
                </c:pt>
                <c:pt idx="757">
                  <c:v>0.47</c:v>
                </c:pt>
                <c:pt idx="758">
                  <c:v>0.47749999999999998</c:v>
                </c:pt>
                <c:pt idx="759">
                  <c:v>0.43</c:v>
                </c:pt>
                <c:pt idx="760">
                  <c:v>0.49</c:v>
                </c:pt>
                <c:pt idx="761">
                  <c:v>0.46500000000000002</c:v>
                </c:pt>
                <c:pt idx="762">
                  <c:v>0.42249999999999999</c:v>
                </c:pt>
                <c:pt idx="763">
                  <c:v>0.58250000000000002</c:v>
                </c:pt>
                <c:pt idx="764">
                  <c:v>0.47</c:v>
                </c:pt>
                <c:pt idx="765">
                  <c:v>0.45</c:v>
                </c:pt>
                <c:pt idx="766">
                  <c:v>0.47</c:v>
                </c:pt>
                <c:pt idx="767">
                  <c:v>0.44750000000000001</c:v>
                </c:pt>
                <c:pt idx="768">
                  <c:v>0.48499999999999999</c:v>
                </c:pt>
                <c:pt idx="769">
                  <c:v>0.4425</c:v>
                </c:pt>
                <c:pt idx="770">
                  <c:v>0.52249999999999996</c:v>
                </c:pt>
                <c:pt idx="771">
                  <c:v>0.44</c:v>
                </c:pt>
                <c:pt idx="772">
                  <c:v>0.4375</c:v>
                </c:pt>
                <c:pt idx="773">
                  <c:v>0.45500000000000002</c:v>
                </c:pt>
                <c:pt idx="774">
                  <c:v>0.65</c:v>
                </c:pt>
                <c:pt idx="775">
                  <c:v>0.47</c:v>
                </c:pt>
                <c:pt idx="776">
                  <c:v>0.47</c:v>
                </c:pt>
                <c:pt idx="777">
                  <c:v>0.41</c:v>
                </c:pt>
                <c:pt idx="778">
                  <c:v>0.48249999999999998</c:v>
                </c:pt>
                <c:pt idx="779">
                  <c:v>0.44</c:v>
                </c:pt>
                <c:pt idx="780">
                  <c:v>0.46</c:v>
                </c:pt>
                <c:pt idx="781">
                  <c:v>0.47499999999999998</c:v>
                </c:pt>
                <c:pt idx="782">
                  <c:v>0.52500000000000002</c:v>
                </c:pt>
                <c:pt idx="783">
                  <c:v>0.41749999999999998</c:v>
                </c:pt>
                <c:pt idx="784">
                  <c:v>0.43</c:v>
                </c:pt>
                <c:pt idx="785">
                  <c:v>0.40749999999999997</c:v>
                </c:pt>
                <c:pt idx="786">
                  <c:v>0.40250000000000002</c:v>
                </c:pt>
                <c:pt idx="787">
                  <c:v>0.42249999999999999</c:v>
                </c:pt>
                <c:pt idx="788">
                  <c:v>0.3775</c:v>
                </c:pt>
                <c:pt idx="789">
                  <c:v>0.47749999999999998</c:v>
                </c:pt>
                <c:pt idx="790">
                  <c:v>0.45750000000000002</c:v>
                </c:pt>
                <c:pt idx="791">
                  <c:v>0.41749999999999998</c:v>
                </c:pt>
                <c:pt idx="792">
                  <c:v>0.38750000000000001</c:v>
                </c:pt>
                <c:pt idx="793">
                  <c:v>0.40749999999999997</c:v>
                </c:pt>
                <c:pt idx="794">
                  <c:v>0.40500000000000003</c:v>
                </c:pt>
                <c:pt idx="795">
                  <c:v>0.46250000000000002</c:v>
                </c:pt>
                <c:pt idx="796">
                  <c:v>0.4</c:v>
                </c:pt>
                <c:pt idx="797">
                  <c:v>0.46</c:v>
                </c:pt>
                <c:pt idx="798">
                  <c:v>0.44</c:v>
                </c:pt>
                <c:pt idx="799">
                  <c:v>0.45750000000000002</c:v>
                </c:pt>
                <c:pt idx="800">
                  <c:v>0.45250000000000001</c:v>
                </c:pt>
                <c:pt idx="801">
                  <c:v>0.49</c:v>
                </c:pt>
                <c:pt idx="802">
                  <c:v>0.43</c:v>
                </c:pt>
                <c:pt idx="803">
                  <c:v>0.47</c:v>
                </c:pt>
                <c:pt idx="804">
                  <c:v>0.55000000000000004</c:v>
                </c:pt>
                <c:pt idx="805">
                  <c:v>0.46750000000000003</c:v>
                </c:pt>
                <c:pt idx="806">
                  <c:v>0.42</c:v>
                </c:pt>
                <c:pt idx="807">
                  <c:v>0.46</c:v>
                </c:pt>
                <c:pt idx="808">
                  <c:v>0.42</c:v>
                </c:pt>
                <c:pt idx="809">
                  <c:v>0.43</c:v>
                </c:pt>
                <c:pt idx="810">
                  <c:v>0.4975</c:v>
                </c:pt>
                <c:pt idx="811">
                  <c:v>0.35499999999999998</c:v>
                </c:pt>
                <c:pt idx="812">
                  <c:v>0.435</c:v>
                </c:pt>
                <c:pt idx="813">
                  <c:v>0.35499999999999998</c:v>
                </c:pt>
                <c:pt idx="814">
                  <c:v>0.39500000000000002</c:v>
                </c:pt>
                <c:pt idx="815">
                  <c:v>0.46750000000000003</c:v>
                </c:pt>
                <c:pt idx="816">
                  <c:v>0.34749999999999998</c:v>
                </c:pt>
                <c:pt idx="817">
                  <c:v>0.40250000000000002</c:v>
                </c:pt>
                <c:pt idx="818">
                  <c:v>0.40250000000000002</c:v>
                </c:pt>
                <c:pt idx="819">
                  <c:v>0.52</c:v>
                </c:pt>
                <c:pt idx="820">
                  <c:v>0.42</c:v>
                </c:pt>
                <c:pt idx="821">
                  <c:v>0.41499999999999998</c:v>
                </c:pt>
                <c:pt idx="822">
                  <c:v>0.45250000000000001</c:v>
                </c:pt>
                <c:pt idx="823">
                  <c:v>0.48749999999999999</c:v>
                </c:pt>
                <c:pt idx="824">
                  <c:v>0.42749999999999999</c:v>
                </c:pt>
                <c:pt idx="825">
                  <c:v>0.51749999999999996</c:v>
                </c:pt>
                <c:pt idx="826">
                  <c:v>0.61</c:v>
                </c:pt>
                <c:pt idx="827">
                  <c:v>0.43</c:v>
                </c:pt>
                <c:pt idx="828">
                  <c:v>0.48749999999999999</c:v>
                </c:pt>
                <c:pt idx="829">
                  <c:v>0.5</c:v>
                </c:pt>
                <c:pt idx="830">
                  <c:v>0.495</c:v>
                </c:pt>
                <c:pt idx="831">
                  <c:v>0.435</c:v>
                </c:pt>
                <c:pt idx="832">
                  <c:v>0.3725</c:v>
                </c:pt>
                <c:pt idx="833">
                  <c:v>0.44500000000000001</c:v>
                </c:pt>
                <c:pt idx="834">
                  <c:v>0.53500000000000003</c:v>
                </c:pt>
                <c:pt idx="835">
                  <c:v>0.49</c:v>
                </c:pt>
                <c:pt idx="836">
                  <c:v>0.52749999999999997</c:v>
                </c:pt>
                <c:pt idx="837">
                  <c:v>0.41</c:v>
                </c:pt>
                <c:pt idx="838">
                  <c:v>0.38250000000000001</c:v>
                </c:pt>
                <c:pt idx="839">
                  <c:v>0.47749999999999998</c:v>
                </c:pt>
                <c:pt idx="840">
                  <c:v>0.4975</c:v>
                </c:pt>
                <c:pt idx="841">
                  <c:v>0.36</c:v>
                </c:pt>
                <c:pt idx="842">
                  <c:v>0.45250000000000001</c:v>
                </c:pt>
                <c:pt idx="843">
                  <c:v>0.5625</c:v>
                </c:pt>
                <c:pt idx="844">
                  <c:v>0.47749999999999998</c:v>
                </c:pt>
                <c:pt idx="845">
                  <c:v>0.48749999999999999</c:v>
                </c:pt>
                <c:pt idx="846">
                  <c:v>0.48749999999999999</c:v>
                </c:pt>
                <c:pt idx="847">
                  <c:v>0.50249999999999995</c:v>
                </c:pt>
                <c:pt idx="848">
                  <c:v>0.45500000000000002</c:v>
                </c:pt>
                <c:pt idx="849">
                  <c:v>0.4325</c:v>
                </c:pt>
                <c:pt idx="850">
                  <c:v>0.46500000000000002</c:v>
                </c:pt>
                <c:pt idx="851">
                  <c:v>0.46250000000000002</c:v>
                </c:pt>
                <c:pt idx="852">
                  <c:v>0.46</c:v>
                </c:pt>
                <c:pt idx="853">
                  <c:v>0.4375</c:v>
                </c:pt>
                <c:pt idx="854">
                  <c:v>0.45</c:v>
                </c:pt>
                <c:pt idx="855">
                  <c:v>0.48499999999999999</c:v>
                </c:pt>
                <c:pt idx="856">
                  <c:v>0.4325</c:v>
                </c:pt>
                <c:pt idx="857">
                  <c:v>0.45</c:v>
                </c:pt>
                <c:pt idx="858">
                  <c:v>0.45250000000000001</c:v>
                </c:pt>
                <c:pt idx="859">
                  <c:v>0.44500000000000001</c:v>
                </c:pt>
                <c:pt idx="860">
                  <c:v>0.42499999999999999</c:v>
                </c:pt>
                <c:pt idx="861">
                  <c:v>0.38250000000000001</c:v>
                </c:pt>
                <c:pt idx="862">
                  <c:v>0.40749999999999997</c:v>
                </c:pt>
                <c:pt idx="863">
                  <c:v>0.4425</c:v>
                </c:pt>
                <c:pt idx="864">
                  <c:v>0.39250000000000002</c:v>
                </c:pt>
                <c:pt idx="865">
                  <c:v>0.80500000000000005</c:v>
                </c:pt>
                <c:pt idx="866">
                  <c:v>0.42749999999999999</c:v>
                </c:pt>
                <c:pt idx="867">
                  <c:v>0.36</c:v>
                </c:pt>
                <c:pt idx="868">
                  <c:v>0.495</c:v>
                </c:pt>
                <c:pt idx="869">
                  <c:v>0.495</c:v>
                </c:pt>
                <c:pt idx="870">
                  <c:v>0.41749999999999998</c:v>
                </c:pt>
                <c:pt idx="871">
                  <c:v>0.50249999999999995</c:v>
                </c:pt>
                <c:pt idx="872">
                  <c:v>0.45</c:v>
                </c:pt>
                <c:pt idx="873">
                  <c:v>0.65249999999999997</c:v>
                </c:pt>
                <c:pt idx="874">
                  <c:v>0.50749999999999995</c:v>
                </c:pt>
                <c:pt idx="875">
                  <c:v>0.63500000000000001</c:v>
                </c:pt>
                <c:pt idx="876">
                  <c:v>0.62250000000000005</c:v>
                </c:pt>
                <c:pt idx="877">
                  <c:v>0.74250000000000005</c:v>
                </c:pt>
                <c:pt idx="878">
                  <c:v>0.52249999999999996</c:v>
                </c:pt>
                <c:pt idx="879">
                  <c:v>0.66</c:v>
                </c:pt>
                <c:pt idx="880">
                  <c:v>0.46750000000000003</c:v>
                </c:pt>
                <c:pt idx="881">
                  <c:v>0.4325</c:v>
                </c:pt>
                <c:pt idx="882">
                  <c:v>0.42499999999999999</c:v>
                </c:pt>
                <c:pt idx="883">
                  <c:v>0.46500000000000002</c:v>
                </c:pt>
                <c:pt idx="884">
                  <c:v>0.45500000000000002</c:v>
                </c:pt>
                <c:pt idx="885">
                  <c:v>0.4325</c:v>
                </c:pt>
                <c:pt idx="886">
                  <c:v>0.43</c:v>
                </c:pt>
                <c:pt idx="887">
                  <c:v>0.49</c:v>
                </c:pt>
                <c:pt idx="888">
                  <c:v>0.47249999999999998</c:v>
                </c:pt>
                <c:pt idx="889">
                  <c:v>0.44750000000000001</c:v>
                </c:pt>
                <c:pt idx="890">
                  <c:v>0.58750000000000002</c:v>
                </c:pt>
                <c:pt idx="891">
                  <c:v>0.53500000000000003</c:v>
                </c:pt>
                <c:pt idx="892">
                  <c:v>0.63</c:v>
                </c:pt>
                <c:pt idx="893">
                  <c:v>0.45250000000000001</c:v>
                </c:pt>
                <c:pt idx="894">
                  <c:v>0.57250000000000001</c:v>
                </c:pt>
                <c:pt idx="895">
                  <c:v>0.50749999999999995</c:v>
                </c:pt>
                <c:pt idx="896">
                  <c:v>0.4375</c:v>
                </c:pt>
                <c:pt idx="897">
                  <c:v>0.59499999999999997</c:v>
                </c:pt>
                <c:pt idx="898">
                  <c:v>0.49</c:v>
                </c:pt>
                <c:pt idx="899">
                  <c:v>0.47</c:v>
                </c:pt>
                <c:pt idx="900">
                  <c:v>0.53</c:v>
                </c:pt>
                <c:pt idx="901">
                  <c:v>0.41749999999999998</c:v>
                </c:pt>
                <c:pt idx="902">
                  <c:v>0.61</c:v>
                </c:pt>
                <c:pt idx="903">
                  <c:v>0.42499999999999999</c:v>
                </c:pt>
                <c:pt idx="904">
                  <c:v>0.54500000000000004</c:v>
                </c:pt>
                <c:pt idx="905">
                  <c:v>0.48</c:v>
                </c:pt>
                <c:pt idx="906">
                  <c:v>0.53</c:v>
                </c:pt>
                <c:pt idx="907">
                  <c:v>0.46500000000000002</c:v>
                </c:pt>
                <c:pt idx="908">
                  <c:v>0.54</c:v>
                </c:pt>
                <c:pt idx="909">
                  <c:v>0.51749999999999996</c:v>
                </c:pt>
                <c:pt idx="910">
                  <c:v>0.36249999999999999</c:v>
                </c:pt>
                <c:pt idx="911">
                  <c:v>0.52</c:v>
                </c:pt>
                <c:pt idx="912">
                  <c:v>0.49</c:v>
                </c:pt>
                <c:pt idx="913">
                  <c:v>0.42499999999999999</c:v>
                </c:pt>
                <c:pt idx="914">
                  <c:v>0.44750000000000001</c:v>
                </c:pt>
                <c:pt idx="915">
                  <c:v>0.46750000000000003</c:v>
                </c:pt>
                <c:pt idx="916">
                  <c:v>0.435</c:v>
                </c:pt>
                <c:pt idx="917">
                  <c:v>0.44</c:v>
                </c:pt>
                <c:pt idx="918">
                  <c:v>0.52</c:v>
                </c:pt>
                <c:pt idx="919">
                  <c:v>0.39750000000000002</c:v>
                </c:pt>
                <c:pt idx="920">
                  <c:v>0.48499999999999999</c:v>
                </c:pt>
                <c:pt idx="921">
                  <c:v>0.40500000000000003</c:v>
                </c:pt>
                <c:pt idx="922">
                  <c:v>0.51500000000000001</c:v>
                </c:pt>
                <c:pt idx="923">
                  <c:v>0.4975</c:v>
                </c:pt>
                <c:pt idx="924">
                  <c:v>0.435</c:v>
                </c:pt>
                <c:pt idx="925">
                  <c:v>0.45750000000000002</c:v>
                </c:pt>
                <c:pt idx="926">
                  <c:v>0.47499999999999998</c:v>
                </c:pt>
                <c:pt idx="927">
                  <c:v>0.59250000000000003</c:v>
                </c:pt>
                <c:pt idx="928">
                  <c:v>0.42</c:v>
                </c:pt>
                <c:pt idx="929">
                  <c:v>0.74750000000000005</c:v>
                </c:pt>
                <c:pt idx="930">
                  <c:v>0.51</c:v>
                </c:pt>
                <c:pt idx="931">
                  <c:v>0.53</c:v>
                </c:pt>
                <c:pt idx="932">
                  <c:v>0.6</c:v>
                </c:pt>
                <c:pt idx="933">
                  <c:v>0.51249999999999996</c:v>
                </c:pt>
                <c:pt idx="934">
                  <c:v>0.49</c:v>
                </c:pt>
                <c:pt idx="935">
                  <c:v>0.46750000000000003</c:v>
                </c:pt>
                <c:pt idx="936">
                  <c:v>0.48499999999999999</c:v>
                </c:pt>
                <c:pt idx="937">
                  <c:v>0.42499999999999999</c:v>
                </c:pt>
                <c:pt idx="938">
                  <c:v>0.52249999999999996</c:v>
                </c:pt>
                <c:pt idx="939">
                  <c:v>0.47499999999999998</c:v>
                </c:pt>
                <c:pt idx="940">
                  <c:v>0.42499999999999999</c:v>
                </c:pt>
                <c:pt idx="941">
                  <c:v>0.42</c:v>
                </c:pt>
                <c:pt idx="942">
                  <c:v>0.51</c:v>
                </c:pt>
                <c:pt idx="943">
                  <c:v>0.4375</c:v>
                </c:pt>
                <c:pt idx="944">
                  <c:v>0.39250000000000002</c:v>
                </c:pt>
                <c:pt idx="945">
                  <c:v>0.36499999999999999</c:v>
                </c:pt>
                <c:pt idx="946">
                  <c:v>0.70499999999999996</c:v>
                </c:pt>
                <c:pt idx="947">
                  <c:v>0.6</c:v>
                </c:pt>
                <c:pt idx="948">
                  <c:v>0.54</c:v>
                </c:pt>
                <c:pt idx="949">
                  <c:v>0.54749999999999999</c:v>
                </c:pt>
                <c:pt idx="950">
                  <c:v>0.60750000000000004</c:v>
                </c:pt>
                <c:pt idx="951">
                  <c:v>0.52500000000000002</c:v>
                </c:pt>
                <c:pt idx="952">
                  <c:v>0.50249999999999995</c:v>
                </c:pt>
                <c:pt idx="953">
                  <c:v>0.49</c:v>
                </c:pt>
                <c:pt idx="954">
                  <c:v>0.55000000000000004</c:v>
                </c:pt>
                <c:pt idx="955">
                  <c:v>0.48</c:v>
                </c:pt>
                <c:pt idx="956">
                  <c:v>0.51749999999999996</c:v>
                </c:pt>
                <c:pt idx="957">
                  <c:v>0.45750000000000002</c:v>
                </c:pt>
                <c:pt idx="958">
                  <c:v>0.495</c:v>
                </c:pt>
                <c:pt idx="959">
                  <c:v>0.49249999999999999</c:v>
                </c:pt>
                <c:pt idx="960">
                  <c:v>0.42499999999999999</c:v>
                </c:pt>
                <c:pt idx="961">
                  <c:v>0.54249999999999998</c:v>
                </c:pt>
                <c:pt idx="962">
                  <c:v>0.51249999999999996</c:v>
                </c:pt>
                <c:pt idx="963">
                  <c:v>0.51</c:v>
                </c:pt>
                <c:pt idx="964">
                  <c:v>0.44750000000000001</c:v>
                </c:pt>
                <c:pt idx="965">
                  <c:v>0.46750000000000003</c:v>
                </c:pt>
                <c:pt idx="966">
                  <c:v>0.46</c:v>
                </c:pt>
                <c:pt idx="967">
                  <c:v>0.65749999999999997</c:v>
                </c:pt>
                <c:pt idx="968">
                  <c:v>0.45750000000000002</c:v>
                </c:pt>
                <c:pt idx="969">
                  <c:v>0.46750000000000003</c:v>
                </c:pt>
                <c:pt idx="970">
                  <c:v>0.58750000000000002</c:v>
                </c:pt>
                <c:pt idx="971">
                  <c:v>0.52500000000000002</c:v>
                </c:pt>
                <c:pt idx="972">
                  <c:v>0.505</c:v>
                </c:pt>
                <c:pt idx="973">
                  <c:v>0.48499999999999999</c:v>
                </c:pt>
                <c:pt idx="974">
                  <c:v>0.62250000000000005</c:v>
                </c:pt>
                <c:pt idx="975">
                  <c:v>0.4425</c:v>
                </c:pt>
                <c:pt idx="976">
                  <c:v>0.48249999999999998</c:v>
                </c:pt>
                <c:pt idx="977">
                  <c:v>0.42</c:v>
                </c:pt>
                <c:pt idx="978">
                  <c:v>0.42</c:v>
                </c:pt>
                <c:pt idx="979">
                  <c:v>0.4375</c:v>
                </c:pt>
                <c:pt idx="980">
                  <c:v>0.4375</c:v>
                </c:pt>
                <c:pt idx="981">
                  <c:v>0.4975</c:v>
                </c:pt>
                <c:pt idx="982">
                  <c:v>0.45500000000000002</c:v>
                </c:pt>
                <c:pt idx="983">
                  <c:v>0.52749999999999997</c:v>
                </c:pt>
                <c:pt idx="984">
                  <c:v>0.46500000000000002</c:v>
                </c:pt>
                <c:pt idx="985">
                  <c:v>0.56499999999999995</c:v>
                </c:pt>
                <c:pt idx="986">
                  <c:v>0.40500000000000003</c:v>
                </c:pt>
                <c:pt idx="987">
                  <c:v>0.4425</c:v>
                </c:pt>
                <c:pt idx="988">
                  <c:v>0.42249999999999999</c:v>
                </c:pt>
                <c:pt idx="989">
                  <c:v>0.50249999999999995</c:v>
                </c:pt>
                <c:pt idx="990">
                  <c:v>0.40250000000000002</c:v>
                </c:pt>
                <c:pt idx="991">
                  <c:v>0.51749999999999996</c:v>
                </c:pt>
                <c:pt idx="992">
                  <c:v>0.4375</c:v>
                </c:pt>
                <c:pt idx="993">
                  <c:v>0.39250000000000002</c:v>
                </c:pt>
                <c:pt idx="994">
                  <c:v>0.41249999999999998</c:v>
                </c:pt>
                <c:pt idx="995">
                  <c:v>0.43</c:v>
                </c:pt>
                <c:pt idx="996">
                  <c:v>0.43</c:v>
                </c:pt>
                <c:pt idx="997">
                  <c:v>0.50749999999999995</c:v>
                </c:pt>
                <c:pt idx="998">
                  <c:v>0.46500000000000002</c:v>
                </c:pt>
                <c:pt idx="999">
                  <c:v>0.52500000000000002</c:v>
                </c:pt>
                <c:pt idx="1000">
                  <c:v>0.44500000000000001</c:v>
                </c:pt>
                <c:pt idx="1001">
                  <c:v>0.42249999999999999</c:v>
                </c:pt>
                <c:pt idx="1002">
                  <c:v>0.42249999999999999</c:v>
                </c:pt>
                <c:pt idx="1003">
                  <c:v>0.45750000000000002</c:v>
                </c:pt>
                <c:pt idx="1004">
                  <c:v>0.41749999999999998</c:v>
                </c:pt>
                <c:pt idx="1005">
                  <c:v>0.3775</c:v>
                </c:pt>
                <c:pt idx="1006">
                  <c:v>0.41249999999999998</c:v>
                </c:pt>
                <c:pt idx="1007">
                  <c:v>0.39</c:v>
                </c:pt>
                <c:pt idx="1008">
                  <c:v>0.40749999999999997</c:v>
                </c:pt>
                <c:pt idx="1009">
                  <c:v>0.40749999999999997</c:v>
                </c:pt>
                <c:pt idx="1010">
                  <c:v>0.38500000000000001</c:v>
                </c:pt>
                <c:pt idx="1011">
                  <c:v>0.4</c:v>
                </c:pt>
                <c:pt idx="1012">
                  <c:v>0.4375</c:v>
                </c:pt>
                <c:pt idx="1013">
                  <c:v>0.3775</c:v>
                </c:pt>
                <c:pt idx="1014">
                  <c:v>0.53749999999999998</c:v>
                </c:pt>
                <c:pt idx="1015">
                  <c:v>0.45500000000000002</c:v>
                </c:pt>
                <c:pt idx="1016">
                  <c:v>0.45250000000000001</c:v>
                </c:pt>
                <c:pt idx="1017">
                  <c:v>0.48</c:v>
                </c:pt>
                <c:pt idx="1018">
                  <c:v>0.35249999999999998</c:v>
                </c:pt>
                <c:pt idx="1019">
                  <c:v>0.36749999999999999</c:v>
                </c:pt>
                <c:pt idx="1020">
                  <c:v>0.40749999999999997</c:v>
                </c:pt>
                <c:pt idx="1021">
                  <c:v>0.38500000000000001</c:v>
                </c:pt>
                <c:pt idx="1022">
                  <c:v>0.42249999999999999</c:v>
                </c:pt>
                <c:pt idx="1023">
                  <c:v>0.46250000000000002</c:v>
                </c:pt>
                <c:pt idx="1024">
                  <c:v>0.40250000000000002</c:v>
                </c:pt>
                <c:pt idx="1025">
                  <c:v>0.40250000000000002</c:v>
                </c:pt>
                <c:pt idx="1026">
                  <c:v>0.46</c:v>
                </c:pt>
                <c:pt idx="1027">
                  <c:v>0.44</c:v>
                </c:pt>
                <c:pt idx="1028">
                  <c:v>0.4975</c:v>
                </c:pt>
                <c:pt idx="1029">
                  <c:v>0.4375</c:v>
                </c:pt>
                <c:pt idx="1030">
                  <c:v>0.35</c:v>
                </c:pt>
                <c:pt idx="1031">
                  <c:v>0.41</c:v>
                </c:pt>
                <c:pt idx="1032">
                  <c:v>0.42499999999999999</c:v>
                </c:pt>
                <c:pt idx="1033">
                  <c:v>0.4425</c:v>
                </c:pt>
                <c:pt idx="1034">
                  <c:v>0.4425</c:v>
                </c:pt>
                <c:pt idx="1035">
                  <c:v>0.4375</c:v>
                </c:pt>
                <c:pt idx="1036">
                  <c:v>0.3775</c:v>
                </c:pt>
                <c:pt idx="1037">
                  <c:v>0.39750000000000002</c:v>
                </c:pt>
                <c:pt idx="1038">
                  <c:v>0.4325</c:v>
                </c:pt>
                <c:pt idx="1039">
                  <c:v>0.53749999999999998</c:v>
                </c:pt>
                <c:pt idx="1040">
                  <c:v>0.41749999999999998</c:v>
                </c:pt>
                <c:pt idx="1041">
                  <c:v>0.45500000000000002</c:v>
                </c:pt>
                <c:pt idx="1042">
                  <c:v>0.41499999999999998</c:v>
                </c:pt>
                <c:pt idx="1043">
                  <c:v>0.47249999999999998</c:v>
                </c:pt>
                <c:pt idx="1044">
                  <c:v>0.57250000000000001</c:v>
                </c:pt>
                <c:pt idx="1045">
                  <c:v>0.36749999999999999</c:v>
                </c:pt>
                <c:pt idx="1046">
                  <c:v>0.36249999999999999</c:v>
                </c:pt>
                <c:pt idx="1047">
                  <c:v>0.40749999999999997</c:v>
                </c:pt>
                <c:pt idx="1048">
                  <c:v>0.52749999999999997</c:v>
                </c:pt>
                <c:pt idx="1049">
                  <c:v>0.505</c:v>
                </c:pt>
                <c:pt idx="1050">
                  <c:v>0.53749999999999998</c:v>
                </c:pt>
                <c:pt idx="1051">
                  <c:v>0.46</c:v>
                </c:pt>
                <c:pt idx="1052">
                  <c:v>0.40749999999999997</c:v>
                </c:pt>
                <c:pt idx="1053">
                  <c:v>0.47249999999999998</c:v>
                </c:pt>
                <c:pt idx="1054">
                  <c:v>0.40749999999999997</c:v>
                </c:pt>
                <c:pt idx="1055">
                  <c:v>0.4</c:v>
                </c:pt>
                <c:pt idx="1056">
                  <c:v>0.5</c:v>
                </c:pt>
                <c:pt idx="1057">
                  <c:v>0.51749999999999996</c:v>
                </c:pt>
                <c:pt idx="1058">
                  <c:v>0.3775</c:v>
                </c:pt>
                <c:pt idx="1059">
                  <c:v>0.46250000000000002</c:v>
                </c:pt>
                <c:pt idx="1060">
                  <c:v>0.46250000000000002</c:v>
                </c:pt>
                <c:pt idx="1061">
                  <c:v>0.5</c:v>
                </c:pt>
                <c:pt idx="1062">
                  <c:v>0.505</c:v>
                </c:pt>
                <c:pt idx="1063">
                  <c:v>0.39</c:v>
                </c:pt>
                <c:pt idx="1064">
                  <c:v>0.42249999999999999</c:v>
                </c:pt>
                <c:pt idx="1065">
                  <c:v>0.44</c:v>
                </c:pt>
                <c:pt idx="1066">
                  <c:v>0.43</c:v>
                </c:pt>
                <c:pt idx="1067">
                  <c:v>0.44</c:v>
                </c:pt>
                <c:pt idx="1068">
                  <c:v>0.39500000000000002</c:v>
                </c:pt>
                <c:pt idx="1069">
                  <c:v>0.39750000000000002</c:v>
                </c:pt>
                <c:pt idx="1070">
                  <c:v>0.41249999999999998</c:v>
                </c:pt>
                <c:pt idx="1071">
                  <c:v>0.45500000000000002</c:v>
                </c:pt>
                <c:pt idx="1072">
                  <c:v>0.71250000000000002</c:v>
                </c:pt>
                <c:pt idx="1073">
                  <c:v>0.67500000000000004</c:v>
                </c:pt>
                <c:pt idx="1074">
                  <c:v>0.5</c:v>
                </c:pt>
                <c:pt idx="1075">
                  <c:v>0.59499999999999997</c:v>
                </c:pt>
                <c:pt idx="1076">
                  <c:v>0.46750000000000003</c:v>
                </c:pt>
                <c:pt idx="1077">
                  <c:v>0.47249999999999998</c:v>
                </c:pt>
                <c:pt idx="1078">
                  <c:v>0.48249999999999998</c:v>
                </c:pt>
                <c:pt idx="1079">
                  <c:v>0.45750000000000002</c:v>
                </c:pt>
                <c:pt idx="1080">
                  <c:v>0.44500000000000001</c:v>
                </c:pt>
                <c:pt idx="1081">
                  <c:v>0.48249999999999998</c:v>
                </c:pt>
                <c:pt idx="1082">
                  <c:v>0.47499999999999998</c:v>
                </c:pt>
                <c:pt idx="1083">
                  <c:v>0.41499999999999998</c:v>
                </c:pt>
                <c:pt idx="1084">
                  <c:v>0.39500000000000002</c:v>
                </c:pt>
                <c:pt idx="1085">
                  <c:v>0.57999999999999996</c:v>
                </c:pt>
                <c:pt idx="1086">
                  <c:v>0.39250000000000002</c:v>
                </c:pt>
                <c:pt idx="1087">
                  <c:v>0.45250000000000001</c:v>
                </c:pt>
                <c:pt idx="1088">
                  <c:v>0.41249999999999998</c:v>
                </c:pt>
                <c:pt idx="1089">
                  <c:v>0.48499999999999999</c:v>
                </c:pt>
                <c:pt idx="1090">
                  <c:v>0.62749999999999995</c:v>
                </c:pt>
                <c:pt idx="1091">
                  <c:v>0.375</c:v>
                </c:pt>
                <c:pt idx="1092">
                  <c:v>0.50249999999999995</c:v>
                </c:pt>
                <c:pt idx="1093">
                  <c:v>0.42</c:v>
                </c:pt>
                <c:pt idx="1094">
                  <c:v>0.52749999999999997</c:v>
                </c:pt>
                <c:pt idx="1095">
                  <c:v>0.40500000000000003</c:v>
                </c:pt>
                <c:pt idx="1096">
                  <c:v>0.42749999999999999</c:v>
                </c:pt>
                <c:pt idx="1097">
                  <c:v>0.42</c:v>
                </c:pt>
                <c:pt idx="1098">
                  <c:v>0.4375</c:v>
                </c:pt>
                <c:pt idx="1099">
                  <c:v>0.435</c:v>
                </c:pt>
                <c:pt idx="1100">
                  <c:v>0.49</c:v>
                </c:pt>
                <c:pt idx="1101">
                  <c:v>0.45</c:v>
                </c:pt>
                <c:pt idx="1102">
                  <c:v>0.48</c:v>
                </c:pt>
                <c:pt idx="1103">
                  <c:v>0.505</c:v>
                </c:pt>
                <c:pt idx="1104">
                  <c:v>0.45</c:v>
                </c:pt>
                <c:pt idx="1105">
                  <c:v>0.435</c:v>
                </c:pt>
                <c:pt idx="1106">
                  <c:v>0.47</c:v>
                </c:pt>
                <c:pt idx="1107">
                  <c:v>0.48249999999999998</c:v>
                </c:pt>
                <c:pt idx="1108">
                  <c:v>0.45250000000000001</c:v>
                </c:pt>
                <c:pt idx="1109">
                  <c:v>0.41249999999999998</c:v>
                </c:pt>
                <c:pt idx="1110">
                  <c:v>0.45750000000000002</c:v>
                </c:pt>
                <c:pt idx="1111">
                  <c:v>0.46500000000000002</c:v>
                </c:pt>
                <c:pt idx="1112">
                  <c:v>0.47499999999999998</c:v>
                </c:pt>
                <c:pt idx="1113">
                  <c:v>0.4425</c:v>
                </c:pt>
                <c:pt idx="1114">
                  <c:v>0.39500000000000002</c:v>
                </c:pt>
                <c:pt idx="1115">
                  <c:v>0.46500000000000002</c:v>
                </c:pt>
                <c:pt idx="1116">
                  <c:v>0.49249999999999999</c:v>
                </c:pt>
                <c:pt idx="1117">
                  <c:v>0.22</c:v>
                </c:pt>
                <c:pt idx="1118">
                  <c:v>0.54500000000000004</c:v>
                </c:pt>
                <c:pt idx="1119">
                  <c:v>0.4975</c:v>
                </c:pt>
                <c:pt idx="1120">
                  <c:v>0.44750000000000001</c:v>
                </c:pt>
                <c:pt idx="1121">
                  <c:v>0.50749999999999995</c:v>
                </c:pt>
                <c:pt idx="1122">
                  <c:v>0.44500000000000001</c:v>
                </c:pt>
                <c:pt idx="1123">
                  <c:v>0.47499999999999998</c:v>
                </c:pt>
                <c:pt idx="1124">
                  <c:v>0.40749999999999997</c:v>
                </c:pt>
                <c:pt idx="1125">
                  <c:v>0.39</c:v>
                </c:pt>
                <c:pt idx="1126">
                  <c:v>0.4975</c:v>
                </c:pt>
                <c:pt idx="1127">
                  <c:v>0.52</c:v>
                </c:pt>
                <c:pt idx="1128">
                  <c:v>0.48499999999999999</c:v>
                </c:pt>
                <c:pt idx="1129">
                  <c:v>0.4425</c:v>
                </c:pt>
                <c:pt idx="1130">
                  <c:v>0.46250000000000002</c:v>
                </c:pt>
                <c:pt idx="1131">
                  <c:v>0.79</c:v>
                </c:pt>
                <c:pt idx="1132">
                  <c:v>0.4375</c:v>
                </c:pt>
                <c:pt idx="1133">
                  <c:v>0.51249999999999996</c:v>
                </c:pt>
                <c:pt idx="1134">
                  <c:v>0.44</c:v>
                </c:pt>
                <c:pt idx="1135">
                  <c:v>0.43</c:v>
                </c:pt>
                <c:pt idx="1136">
                  <c:v>0.42499999999999999</c:v>
                </c:pt>
                <c:pt idx="1137">
                  <c:v>0.38</c:v>
                </c:pt>
                <c:pt idx="1138">
                  <c:v>0.45750000000000002</c:v>
                </c:pt>
                <c:pt idx="1139">
                  <c:v>0.47</c:v>
                </c:pt>
                <c:pt idx="1140">
                  <c:v>0.45</c:v>
                </c:pt>
                <c:pt idx="1141">
                  <c:v>0.4325</c:v>
                </c:pt>
                <c:pt idx="1142">
                  <c:v>0.42249999999999999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19-4D32-AACA-20935BD91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8716704"/>
        <c:axId val="2098724864"/>
      </c:scatterChart>
      <c:scatterChart>
        <c:scatterStyle val="lineMarker"/>
        <c:varyColors val="0"/>
        <c:ser>
          <c:idx val="1"/>
          <c:order val="1"/>
          <c:tx>
            <c:strRef>
              <c:f>Sheet1!$F$1</c:f>
              <c:strCache>
                <c:ptCount val="1"/>
                <c:pt idx="0">
                  <c:v>PUTME Score (%)(Over 50)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>
                <a:softEdge rad="0"/>
              </a:effectLst>
            </c:spPr>
          </c:marker>
          <c:yVal>
            <c:numRef>
              <c:f>Sheet1!$F$2:$F$1144</c:f>
              <c:numCache>
                <c:formatCode>0.00%</c:formatCode>
                <c:ptCount val="1143"/>
                <c:pt idx="0">
                  <c:v>0.76</c:v>
                </c:pt>
                <c:pt idx="1">
                  <c:v>0.86</c:v>
                </c:pt>
                <c:pt idx="2">
                  <c:v>0.76</c:v>
                </c:pt>
                <c:pt idx="3">
                  <c:v>0.7</c:v>
                </c:pt>
                <c:pt idx="4">
                  <c:v>0.76</c:v>
                </c:pt>
                <c:pt idx="5">
                  <c:v>0.86</c:v>
                </c:pt>
                <c:pt idx="6">
                  <c:v>0.76</c:v>
                </c:pt>
                <c:pt idx="7">
                  <c:v>0.76</c:v>
                </c:pt>
                <c:pt idx="8">
                  <c:v>0.88</c:v>
                </c:pt>
                <c:pt idx="9">
                  <c:v>0.74</c:v>
                </c:pt>
                <c:pt idx="10">
                  <c:v>0.84</c:v>
                </c:pt>
                <c:pt idx="11">
                  <c:v>0.78</c:v>
                </c:pt>
                <c:pt idx="12">
                  <c:v>0.74</c:v>
                </c:pt>
                <c:pt idx="13">
                  <c:v>0.7</c:v>
                </c:pt>
                <c:pt idx="14">
                  <c:v>0.7</c:v>
                </c:pt>
                <c:pt idx="15">
                  <c:v>0.78</c:v>
                </c:pt>
                <c:pt idx="16">
                  <c:v>0.57999999999999996</c:v>
                </c:pt>
                <c:pt idx="17">
                  <c:v>0.66</c:v>
                </c:pt>
                <c:pt idx="18">
                  <c:v>0.72</c:v>
                </c:pt>
                <c:pt idx="19">
                  <c:v>0.76</c:v>
                </c:pt>
                <c:pt idx="20">
                  <c:v>0.72</c:v>
                </c:pt>
                <c:pt idx="21">
                  <c:v>0.76</c:v>
                </c:pt>
                <c:pt idx="22">
                  <c:v>0.56000000000000005</c:v>
                </c:pt>
                <c:pt idx="23">
                  <c:v>0.68</c:v>
                </c:pt>
                <c:pt idx="24">
                  <c:v>0.7</c:v>
                </c:pt>
                <c:pt idx="25">
                  <c:v>0.62</c:v>
                </c:pt>
                <c:pt idx="26">
                  <c:v>0.74</c:v>
                </c:pt>
                <c:pt idx="27">
                  <c:v>0.72</c:v>
                </c:pt>
                <c:pt idx="28">
                  <c:v>0.64</c:v>
                </c:pt>
                <c:pt idx="29">
                  <c:v>0.66</c:v>
                </c:pt>
                <c:pt idx="30">
                  <c:v>0.68</c:v>
                </c:pt>
                <c:pt idx="31">
                  <c:v>0.66</c:v>
                </c:pt>
                <c:pt idx="32">
                  <c:v>0.66</c:v>
                </c:pt>
                <c:pt idx="33">
                  <c:v>0.57999999999999996</c:v>
                </c:pt>
                <c:pt idx="34">
                  <c:v>0.62</c:v>
                </c:pt>
                <c:pt idx="35">
                  <c:v>0.57999999999999996</c:v>
                </c:pt>
                <c:pt idx="36">
                  <c:v>0.57999999999999996</c:v>
                </c:pt>
                <c:pt idx="37">
                  <c:v>0.64</c:v>
                </c:pt>
                <c:pt idx="38">
                  <c:v>0.56000000000000005</c:v>
                </c:pt>
                <c:pt idx="39">
                  <c:v>0.62</c:v>
                </c:pt>
                <c:pt idx="40">
                  <c:v>0.64</c:v>
                </c:pt>
                <c:pt idx="41">
                  <c:v>0.62</c:v>
                </c:pt>
                <c:pt idx="42">
                  <c:v>0.68</c:v>
                </c:pt>
                <c:pt idx="43">
                  <c:v>0.57999999999999996</c:v>
                </c:pt>
                <c:pt idx="44">
                  <c:v>0.64</c:v>
                </c:pt>
                <c:pt idx="45">
                  <c:v>0.56000000000000005</c:v>
                </c:pt>
                <c:pt idx="46">
                  <c:v>0.56000000000000005</c:v>
                </c:pt>
                <c:pt idx="47">
                  <c:v>0.57999999999999996</c:v>
                </c:pt>
                <c:pt idx="48">
                  <c:v>0.54</c:v>
                </c:pt>
                <c:pt idx="49">
                  <c:v>0.66</c:v>
                </c:pt>
                <c:pt idx="50">
                  <c:v>0.54</c:v>
                </c:pt>
                <c:pt idx="51">
                  <c:v>0.52</c:v>
                </c:pt>
                <c:pt idx="52">
                  <c:v>0.6</c:v>
                </c:pt>
                <c:pt idx="53">
                  <c:v>0.56000000000000005</c:v>
                </c:pt>
                <c:pt idx="54">
                  <c:v>0.48</c:v>
                </c:pt>
                <c:pt idx="55">
                  <c:v>0.54</c:v>
                </c:pt>
                <c:pt idx="56">
                  <c:v>0.48</c:v>
                </c:pt>
                <c:pt idx="57">
                  <c:v>0.56000000000000005</c:v>
                </c:pt>
                <c:pt idx="58">
                  <c:v>0.56000000000000005</c:v>
                </c:pt>
                <c:pt idx="59">
                  <c:v>0.54</c:v>
                </c:pt>
                <c:pt idx="60">
                  <c:v>0.56000000000000005</c:v>
                </c:pt>
                <c:pt idx="61">
                  <c:v>0.48</c:v>
                </c:pt>
                <c:pt idx="62">
                  <c:v>0.52</c:v>
                </c:pt>
                <c:pt idx="63">
                  <c:v>0.48</c:v>
                </c:pt>
                <c:pt idx="64">
                  <c:v>0.5</c:v>
                </c:pt>
                <c:pt idx="65">
                  <c:v>0.48</c:v>
                </c:pt>
                <c:pt idx="66">
                  <c:v>0.52</c:v>
                </c:pt>
                <c:pt idx="67">
                  <c:v>0.46</c:v>
                </c:pt>
                <c:pt idx="68">
                  <c:v>0.5</c:v>
                </c:pt>
                <c:pt idx="69">
                  <c:v>0.52</c:v>
                </c:pt>
                <c:pt idx="70">
                  <c:v>0.52</c:v>
                </c:pt>
                <c:pt idx="71">
                  <c:v>0.56000000000000005</c:v>
                </c:pt>
                <c:pt idx="72">
                  <c:v>0.46</c:v>
                </c:pt>
                <c:pt idx="73">
                  <c:v>0.52</c:v>
                </c:pt>
                <c:pt idx="74">
                  <c:v>0.46</c:v>
                </c:pt>
                <c:pt idx="75">
                  <c:v>0.52</c:v>
                </c:pt>
                <c:pt idx="76">
                  <c:v>0.5</c:v>
                </c:pt>
                <c:pt idx="77">
                  <c:v>0.52</c:v>
                </c:pt>
                <c:pt idx="78">
                  <c:v>0.52</c:v>
                </c:pt>
                <c:pt idx="79">
                  <c:v>0.5</c:v>
                </c:pt>
                <c:pt idx="80">
                  <c:v>0.5</c:v>
                </c:pt>
                <c:pt idx="81">
                  <c:v>0.6</c:v>
                </c:pt>
                <c:pt idx="82">
                  <c:v>0.52</c:v>
                </c:pt>
                <c:pt idx="83">
                  <c:v>0.44</c:v>
                </c:pt>
                <c:pt idx="84">
                  <c:v>0.5</c:v>
                </c:pt>
                <c:pt idx="85">
                  <c:v>0.44</c:v>
                </c:pt>
                <c:pt idx="86">
                  <c:v>0.44</c:v>
                </c:pt>
                <c:pt idx="87">
                  <c:v>0.48</c:v>
                </c:pt>
                <c:pt idx="88">
                  <c:v>0.52</c:v>
                </c:pt>
                <c:pt idx="89">
                  <c:v>0.54</c:v>
                </c:pt>
                <c:pt idx="90">
                  <c:v>0.48</c:v>
                </c:pt>
                <c:pt idx="91">
                  <c:v>0.46</c:v>
                </c:pt>
                <c:pt idx="92">
                  <c:v>0.48</c:v>
                </c:pt>
                <c:pt idx="93">
                  <c:v>0.48</c:v>
                </c:pt>
                <c:pt idx="94">
                  <c:v>0.42</c:v>
                </c:pt>
                <c:pt idx="95">
                  <c:v>0.4</c:v>
                </c:pt>
                <c:pt idx="96">
                  <c:v>0.46</c:v>
                </c:pt>
                <c:pt idx="97">
                  <c:v>0.54</c:v>
                </c:pt>
                <c:pt idx="98">
                  <c:v>0.44</c:v>
                </c:pt>
                <c:pt idx="99">
                  <c:v>0.48</c:v>
                </c:pt>
                <c:pt idx="100">
                  <c:v>0.48</c:v>
                </c:pt>
                <c:pt idx="101">
                  <c:v>0.48</c:v>
                </c:pt>
                <c:pt idx="102">
                  <c:v>0.5</c:v>
                </c:pt>
                <c:pt idx="103">
                  <c:v>0.48</c:v>
                </c:pt>
                <c:pt idx="104">
                  <c:v>0.5</c:v>
                </c:pt>
                <c:pt idx="105">
                  <c:v>0.52</c:v>
                </c:pt>
                <c:pt idx="106">
                  <c:v>0.44</c:v>
                </c:pt>
                <c:pt idx="107">
                  <c:v>0.44</c:v>
                </c:pt>
                <c:pt idx="108">
                  <c:v>0.42</c:v>
                </c:pt>
                <c:pt idx="109">
                  <c:v>0.46</c:v>
                </c:pt>
                <c:pt idx="110">
                  <c:v>0.46</c:v>
                </c:pt>
                <c:pt idx="111">
                  <c:v>0.44</c:v>
                </c:pt>
                <c:pt idx="112">
                  <c:v>0.42</c:v>
                </c:pt>
                <c:pt idx="113">
                  <c:v>0.4</c:v>
                </c:pt>
                <c:pt idx="114">
                  <c:v>0.42</c:v>
                </c:pt>
                <c:pt idx="115">
                  <c:v>0.48</c:v>
                </c:pt>
                <c:pt idx="116">
                  <c:v>0.4</c:v>
                </c:pt>
                <c:pt idx="117">
                  <c:v>0.42</c:v>
                </c:pt>
                <c:pt idx="118">
                  <c:v>0.42</c:v>
                </c:pt>
                <c:pt idx="119">
                  <c:v>0.42</c:v>
                </c:pt>
                <c:pt idx="120">
                  <c:v>0.4</c:v>
                </c:pt>
                <c:pt idx="121">
                  <c:v>0.46</c:v>
                </c:pt>
                <c:pt idx="122">
                  <c:v>0.36</c:v>
                </c:pt>
                <c:pt idx="123">
                  <c:v>0.42</c:v>
                </c:pt>
                <c:pt idx="124">
                  <c:v>0.34</c:v>
                </c:pt>
                <c:pt idx="125">
                  <c:v>0.42</c:v>
                </c:pt>
                <c:pt idx="126">
                  <c:v>0.38</c:v>
                </c:pt>
                <c:pt idx="127">
                  <c:v>0.4</c:v>
                </c:pt>
                <c:pt idx="128">
                  <c:v>0.34</c:v>
                </c:pt>
                <c:pt idx="129">
                  <c:v>0.4</c:v>
                </c:pt>
                <c:pt idx="130">
                  <c:v>0.38</c:v>
                </c:pt>
                <c:pt idx="131">
                  <c:v>0.38</c:v>
                </c:pt>
                <c:pt idx="132">
                  <c:v>0.38</c:v>
                </c:pt>
                <c:pt idx="133">
                  <c:v>0.38</c:v>
                </c:pt>
                <c:pt idx="134">
                  <c:v>0.38</c:v>
                </c:pt>
                <c:pt idx="135">
                  <c:v>0.34</c:v>
                </c:pt>
                <c:pt idx="136">
                  <c:v>0.36</c:v>
                </c:pt>
                <c:pt idx="137">
                  <c:v>0.3</c:v>
                </c:pt>
                <c:pt idx="138">
                  <c:v>0.38</c:v>
                </c:pt>
                <c:pt idx="139">
                  <c:v>0.34</c:v>
                </c:pt>
                <c:pt idx="140">
                  <c:v>0.26</c:v>
                </c:pt>
                <c:pt idx="141">
                  <c:v>0.34</c:v>
                </c:pt>
                <c:pt idx="142">
                  <c:v>0.24</c:v>
                </c:pt>
                <c:pt idx="143">
                  <c:v>0.22</c:v>
                </c:pt>
                <c:pt idx="144">
                  <c:v>0.2</c:v>
                </c:pt>
                <c:pt idx="145">
                  <c:v>0.22</c:v>
                </c:pt>
                <c:pt idx="146">
                  <c:v>0.08</c:v>
                </c:pt>
                <c:pt idx="147">
                  <c:v>0.78</c:v>
                </c:pt>
                <c:pt idx="148">
                  <c:v>0.78</c:v>
                </c:pt>
                <c:pt idx="149">
                  <c:v>0.56000000000000005</c:v>
                </c:pt>
                <c:pt idx="150">
                  <c:v>0.68</c:v>
                </c:pt>
                <c:pt idx="151">
                  <c:v>0.8</c:v>
                </c:pt>
                <c:pt idx="152">
                  <c:v>0.78</c:v>
                </c:pt>
                <c:pt idx="153">
                  <c:v>0.78</c:v>
                </c:pt>
                <c:pt idx="154">
                  <c:v>0.56000000000000005</c:v>
                </c:pt>
                <c:pt idx="155">
                  <c:v>0.66</c:v>
                </c:pt>
                <c:pt idx="156">
                  <c:v>0.78</c:v>
                </c:pt>
                <c:pt idx="157">
                  <c:v>0.72</c:v>
                </c:pt>
                <c:pt idx="158">
                  <c:v>0.6</c:v>
                </c:pt>
                <c:pt idx="159">
                  <c:v>0.56000000000000005</c:v>
                </c:pt>
                <c:pt idx="160">
                  <c:v>0.78</c:v>
                </c:pt>
                <c:pt idx="161">
                  <c:v>0.72</c:v>
                </c:pt>
                <c:pt idx="162">
                  <c:v>0.62</c:v>
                </c:pt>
                <c:pt idx="163">
                  <c:v>0.62</c:v>
                </c:pt>
                <c:pt idx="164">
                  <c:v>0.7</c:v>
                </c:pt>
                <c:pt idx="165">
                  <c:v>0.56000000000000005</c:v>
                </c:pt>
                <c:pt idx="166">
                  <c:v>0.66</c:v>
                </c:pt>
                <c:pt idx="167">
                  <c:v>0.62</c:v>
                </c:pt>
                <c:pt idx="168">
                  <c:v>0.6</c:v>
                </c:pt>
                <c:pt idx="169">
                  <c:v>0.6</c:v>
                </c:pt>
                <c:pt idx="170">
                  <c:v>0.57999999999999996</c:v>
                </c:pt>
                <c:pt idx="171">
                  <c:v>0.54</c:v>
                </c:pt>
                <c:pt idx="172">
                  <c:v>0.64</c:v>
                </c:pt>
                <c:pt idx="173">
                  <c:v>0.54</c:v>
                </c:pt>
                <c:pt idx="174">
                  <c:v>0.62</c:v>
                </c:pt>
                <c:pt idx="175">
                  <c:v>0.64</c:v>
                </c:pt>
                <c:pt idx="176">
                  <c:v>0.56000000000000005</c:v>
                </c:pt>
                <c:pt idx="177">
                  <c:v>0.52</c:v>
                </c:pt>
                <c:pt idx="178">
                  <c:v>0.64</c:v>
                </c:pt>
                <c:pt idx="179">
                  <c:v>0.52</c:v>
                </c:pt>
                <c:pt idx="180">
                  <c:v>0.64</c:v>
                </c:pt>
                <c:pt idx="181">
                  <c:v>0.54</c:v>
                </c:pt>
                <c:pt idx="182">
                  <c:v>0.57999999999999996</c:v>
                </c:pt>
                <c:pt idx="183">
                  <c:v>0.54</c:v>
                </c:pt>
                <c:pt idx="184">
                  <c:v>0.52</c:v>
                </c:pt>
                <c:pt idx="185">
                  <c:v>0.5</c:v>
                </c:pt>
                <c:pt idx="186">
                  <c:v>0.56000000000000005</c:v>
                </c:pt>
                <c:pt idx="187">
                  <c:v>0.56000000000000005</c:v>
                </c:pt>
                <c:pt idx="188">
                  <c:v>0.5</c:v>
                </c:pt>
                <c:pt idx="189">
                  <c:v>0.5</c:v>
                </c:pt>
                <c:pt idx="190">
                  <c:v>0.44</c:v>
                </c:pt>
                <c:pt idx="191">
                  <c:v>0.44</c:v>
                </c:pt>
                <c:pt idx="192">
                  <c:v>0.46</c:v>
                </c:pt>
                <c:pt idx="193">
                  <c:v>0.5</c:v>
                </c:pt>
                <c:pt idx="194">
                  <c:v>0.46</c:v>
                </c:pt>
                <c:pt idx="195">
                  <c:v>0.48</c:v>
                </c:pt>
                <c:pt idx="196">
                  <c:v>0.46</c:v>
                </c:pt>
                <c:pt idx="197">
                  <c:v>0.54</c:v>
                </c:pt>
                <c:pt idx="198">
                  <c:v>0.46</c:v>
                </c:pt>
                <c:pt idx="199">
                  <c:v>0.42</c:v>
                </c:pt>
                <c:pt idx="200">
                  <c:v>0.44</c:v>
                </c:pt>
                <c:pt idx="201">
                  <c:v>0.42</c:v>
                </c:pt>
                <c:pt idx="202">
                  <c:v>0.44</c:v>
                </c:pt>
                <c:pt idx="203">
                  <c:v>0.44</c:v>
                </c:pt>
                <c:pt idx="204">
                  <c:v>0.42</c:v>
                </c:pt>
                <c:pt idx="205">
                  <c:v>0.46</c:v>
                </c:pt>
                <c:pt idx="206">
                  <c:v>0.38</c:v>
                </c:pt>
                <c:pt idx="207">
                  <c:v>0.36</c:v>
                </c:pt>
                <c:pt idx="208">
                  <c:v>0.38</c:v>
                </c:pt>
                <c:pt idx="209">
                  <c:v>0.38</c:v>
                </c:pt>
                <c:pt idx="210">
                  <c:v>0.38</c:v>
                </c:pt>
                <c:pt idx="211">
                  <c:v>0.34</c:v>
                </c:pt>
                <c:pt idx="212">
                  <c:v>0.32</c:v>
                </c:pt>
                <c:pt idx="213">
                  <c:v>0.28000000000000003</c:v>
                </c:pt>
                <c:pt idx="214">
                  <c:v>0.28000000000000003</c:v>
                </c:pt>
                <c:pt idx="215">
                  <c:v>0.26</c:v>
                </c:pt>
                <c:pt idx="216">
                  <c:v>0.28000000000000003</c:v>
                </c:pt>
                <c:pt idx="217">
                  <c:v>0.32</c:v>
                </c:pt>
                <c:pt idx="218">
                  <c:v>0.22</c:v>
                </c:pt>
                <c:pt idx="219">
                  <c:v>0.82</c:v>
                </c:pt>
                <c:pt idx="220">
                  <c:v>0.78</c:v>
                </c:pt>
                <c:pt idx="221">
                  <c:v>0.74</c:v>
                </c:pt>
                <c:pt idx="222">
                  <c:v>0.8</c:v>
                </c:pt>
                <c:pt idx="223">
                  <c:v>0.78</c:v>
                </c:pt>
                <c:pt idx="224">
                  <c:v>0.82</c:v>
                </c:pt>
                <c:pt idx="225">
                  <c:v>0.86</c:v>
                </c:pt>
                <c:pt idx="226">
                  <c:v>0.9</c:v>
                </c:pt>
                <c:pt idx="227">
                  <c:v>0.82</c:v>
                </c:pt>
                <c:pt idx="228">
                  <c:v>0.8</c:v>
                </c:pt>
                <c:pt idx="229">
                  <c:v>0.82</c:v>
                </c:pt>
                <c:pt idx="230">
                  <c:v>0.84</c:v>
                </c:pt>
                <c:pt idx="231">
                  <c:v>0.6</c:v>
                </c:pt>
                <c:pt idx="232">
                  <c:v>0.88</c:v>
                </c:pt>
                <c:pt idx="233">
                  <c:v>0.82</c:v>
                </c:pt>
                <c:pt idx="234">
                  <c:v>0.86</c:v>
                </c:pt>
                <c:pt idx="235">
                  <c:v>0.74</c:v>
                </c:pt>
                <c:pt idx="236">
                  <c:v>0.82</c:v>
                </c:pt>
                <c:pt idx="237">
                  <c:v>0.8</c:v>
                </c:pt>
                <c:pt idx="238">
                  <c:v>0.57999999999999996</c:v>
                </c:pt>
                <c:pt idx="239">
                  <c:v>0.8</c:v>
                </c:pt>
                <c:pt idx="240">
                  <c:v>0.76</c:v>
                </c:pt>
                <c:pt idx="241">
                  <c:v>0.62</c:v>
                </c:pt>
                <c:pt idx="242">
                  <c:v>0.8</c:v>
                </c:pt>
                <c:pt idx="243">
                  <c:v>0.72</c:v>
                </c:pt>
                <c:pt idx="244">
                  <c:v>0.74</c:v>
                </c:pt>
                <c:pt idx="245">
                  <c:v>0.64</c:v>
                </c:pt>
                <c:pt idx="246">
                  <c:v>0.68</c:v>
                </c:pt>
                <c:pt idx="247">
                  <c:v>0.78</c:v>
                </c:pt>
                <c:pt idx="248">
                  <c:v>0.66</c:v>
                </c:pt>
                <c:pt idx="249">
                  <c:v>0.76</c:v>
                </c:pt>
                <c:pt idx="250">
                  <c:v>0.72</c:v>
                </c:pt>
                <c:pt idx="251">
                  <c:v>0.72</c:v>
                </c:pt>
                <c:pt idx="252">
                  <c:v>0.74</c:v>
                </c:pt>
                <c:pt idx="253">
                  <c:v>0.7</c:v>
                </c:pt>
                <c:pt idx="254">
                  <c:v>0.7</c:v>
                </c:pt>
                <c:pt idx="255">
                  <c:v>0.76</c:v>
                </c:pt>
                <c:pt idx="256">
                  <c:v>0.7</c:v>
                </c:pt>
                <c:pt idx="257">
                  <c:v>0.74</c:v>
                </c:pt>
                <c:pt idx="258">
                  <c:v>0.74</c:v>
                </c:pt>
                <c:pt idx="259">
                  <c:v>0.66</c:v>
                </c:pt>
                <c:pt idx="260">
                  <c:v>0.76</c:v>
                </c:pt>
                <c:pt idx="261">
                  <c:v>0.74</c:v>
                </c:pt>
                <c:pt idx="262">
                  <c:v>0.76</c:v>
                </c:pt>
                <c:pt idx="263">
                  <c:v>0.74</c:v>
                </c:pt>
                <c:pt idx="264">
                  <c:v>0.62</c:v>
                </c:pt>
                <c:pt idx="265">
                  <c:v>0.74</c:v>
                </c:pt>
                <c:pt idx="266">
                  <c:v>0.74</c:v>
                </c:pt>
                <c:pt idx="267">
                  <c:v>0.72</c:v>
                </c:pt>
                <c:pt idx="268">
                  <c:v>0.68</c:v>
                </c:pt>
                <c:pt idx="269">
                  <c:v>0.74</c:v>
                </c:pt>
                <c:pt idx="270">
                  <c:v>0.72</c:v>
                </c:pt>
                <c:pt idx="271">
                  <c:v>0.72</c:v>
                </c:pt>
                <c:pt idx="272">
                  <c:v>0.62</c:v>
                </c:pt>
                <c:pt idx="273">
                  <c:v>0.64</c:v>
                </c:pt>
                <c:pt idx="274">
                  <c:v>0.74</c:v>
                </c:pt>
                <c:pt idx="275">
                  <c:v>0.64</c:v>
                </c:pt>
                <c:pt idx="276">
                  <c:v>0.7</c:v>
                </c:pt>
                <c:pt idx="277">
                  <c:v>0.72</c:v>
                </c:pt>
                <c:pt idx="278">
                  <c:v>0.72</c:v>
                </c:pt>
                <c:pt idx="279">
                  <c:v>0.64</c:v>
                </c:pt>
                <c:pt idx="280">
                  <c:v>0.66</c:v>
                </c:pt>
                <c:pt idx="281">
                  <c:v>0.66</c:v>
                </c:pt>
                <c:pt idx="282">
                  <c:v>0.7</c:v>
                </c:pt>
                <c:pt idx="283">
                  <c:v>0.62</c:v>
                </c:pt>
                <c:pt idx="284">
                  <c:v>0.64</c:v>
                </c:pt>
                <c:pt idx="285">
                  <c:v>0.62</c:v>
                </c:pt>
                <c:pt idx="286">
                  <c:v>0.7</c:v>
                </c:pt>
                <c:pt idx="287">
                  <c:v>0.64</c:v>
                </c:pt>
                <c:pt idx="288">
                  <c:v>0.74</c:v>
                </c:pt>
                <c:pt idx="289">
                  <c:v>0.6</c:v>
                </c:pt>
                <c:pt idx="290">
                  <c:v>0.64</c:v>
                </c:pt>
                <c:pt idx="291">
                  <c:v>0.72</c:v>
                </c:pt>
                <c:pt idx="292">
                  <c:v>0.64</c:v>
                </c:pt>
                <c:pt idx="293">
                  <c:v>0.64</c:v>
                </c:pt>
                <c:pt idx="294">
                  <c:v>0.57999999999999996</c:v>
                </c:pt>
                <c:pt idx="295">
                  <c:v>0.5</c:v>
                </c:pt>
                <c:pt idx="296">
                  <c:v>0.52</c:v>
                </c:pt>
                <c:pt idx="297">
                  <c:v>0.62</c:v>
                </c:pt>
                <c:pt idx="298">
                  <c:v>0.52</c:v>
                </c:pt>
                <c:pt idx="299">
                  <c:v>0.56000000000000005</c:v>
                </c:pt>
                <c:pt idx="300">
                  <c:v>0.62</c:v>
                </c:pt>
                <c:pt idx="301">
                  <c:v>0.62</c:v>
                </c:pt>
                <c:pt idx="302">
                  <c:v>0.52</c:v>
                </c:pt>
                <c:pt idx="303">
                  <c:v>0.54</c:v>
                </c:pt>
                <c:pt idx="304">
                  <c:v>0.62</c:v>
                </c:pt>
                <c:pt idx="305">
                  <c:v>0.6</c:v>
                </c:pt>
                <c:pt idx="306">
                  <c:v>0.54</c:v>
                </c:pt>
                <c:pt idx="307">
                  <c:v>0.56000000000000005</c:v>
                </c:pt>
                <c:pt idx="308">
                  <c:v>0.48</c:v>
                </c:pt>
                <c:pt idx="309">
                  <c:v>0.52</c:v>
                </c:pt>
                <c:pt idx="310">
                  <c:v>0.48</c:v>
                </c:pt>
                <c:pt idx="311">
                  <c:v>0.44</c:v>
                </c:pt>
                <c:pt idx="312">
                  <c:v>0.48</c:v>
                </c:pt>
                <c:pt idx="313">
                  <c:v>0.6</c:v>
                </c:pt>
                <c:pt idx="314">
                  <c:v>0.48</c:v>
                </c:pt>
                <c:pt idx="315">
                  <c:v>0.52</c:v>
                </c:pt>
                <c:pt idx="316">
                  <c:v>0.52</c:v>
                </c:pt>
                <c:pt idx="317">
                  <c:v>0.52</c:v>
                </c:pt>
                <c:pt idx="318">
                  <c:v>0.56000000000000005</c:v>
                </c:pt>
                <c:pt idx="319">
                  <c:v>0.57999999999999996</c:v>
                </c:pt>
                <c:pt idx="320">
                  <c:v>0.54</c:v>
                </c:pt>
                <c:pt idx="321">
                  <c:v>0.54</c:v>
                </c:pt>
                <c:pt idx="322">
                  <c:v>0.54</c:v>
                </c:pt>
                <c:pt idx="323">
                  <c:v>0.57999999999999996</c:v>
                </c:pt>
                <c:pt idx="324">
                  <c:v>0.6</c:v>
                </c:pt>
                <c:pt idx="325">
                  <c:v>0.54</c:v>
                </c:pt>
                <c:pt idx="326">
                  <c:v>0.57999999999999996</c:v>
                </c:pt>
                <c:pt idx="327">
                  <c:v>0.52</c:v>
                </c:pt>
                <c:pt idx="328">
                  <c:v>0.44</c:v>
                </c:pt>
                <c:pt idx="329">
                  <c:v>0.42</c:v>
                </c:pt>
                <c:pt idx="330">
                  <c:v>0.52</c:v>
                </c:pt>
                <c:pt idx="331">
                  <c:v>0.5</c:v>
                </c:pt>
                <c:pt idx="332">
                  <c:v>0.5</c:v>
                </c:pt>
                <c:pt idx="333">
                  <c:v>0.4</c:v>
                </c:pt>
                <c:pt idx="334">
                  <c:v>0.28000000000000003</c:v>
                </c:pt>
                <c:pt idx="335">
                  <c:v>0.54</c:v>
                </c:pt>
                <c:pt idx="336">
                  <c:v>0.44</c:v>
                </c:pt>
                <c:pt idx="337">
                  <c:v>0.48</c:v>
                </c:pt>
                <c:pt idx="338">
                  <c:v>0.42</c:v>
                </c:pt>
                <c:pt idx="339">
                  <c:v>0.38</c:v>
                </c:pt>
                <c:pt idx="340">
                  <c:v>0.48</c:v>
                </c:pt>
                <c:pt idx="341">
                  <c:v>0.46</c:v>
                </c:pt>
                <c:pt idx="342">
                  <c:v>0.54</c:v>
                </c:pt>
                <c:pt idx="343">
                  <c:v>0.44</c:v>
                </c:pt>
                <c:pt idx="344">
                  <c:v>0.5</c:v>
                </c:pt>
                <c:pt idx="345">
                  <c:v>0.5</c:v>
                </c:pt>
                <c:pt idx="346">
                  <c:v>0.54</c:v>
                </c:pt>
                <c:pt idx="347">
                  <c:v>0.4</c:v>
                </c:pt>
                <c:pt idx="348">
                  <c:v>0.48</c:v>
                </c:pt>
                <c:pt idx="349">
                  <c:v>0.46</c:v>
                </c:pt>
                <c:pt idx="350">
                  <c:v>0.44</c:v>
                </c:pt>
                <c:pt idx="351">
                  <c:v>0.44</c:v>
                </c:pt>
                <c:pt idx="352">
                  <c:v>0.46</c:v>
                </c:pt>
                <c:pt idx="353">
                  <c:v>0.5</c:v>
                </c:pt>
                <c:pt idx="354">
                  <c:v>0.38</c:v>
                </c:pt>
                <c:pt idx="355">
                  <c:v>0.42</c:v>
                </c:pt>
                <c:pt idx="356">
                  <c:v>0.36</c:v>
                </c:pt>
                <c:pt idx="357">
                  <c:v>0.46</c:v>
                </c:pt>
                <c:pt idx="358">
                  <c:v>0.38</c:v>
                </c:pt>
                <c:pt idx="359">
                  <c:v>0.44</c:v>
                </c:pt>
                <c:pt idx="360">
                  <c:v>0.42</c:v>
                </c:pt>
                <c:pt idx="361">
                  <c:v>0.4</c:v>
                </c:pt>
                <c:pt idx="362">
                  <c:v>0.38</c:v>
                </c:pt>
                <c:pt idx="363">
                  <c:v>0.38</c:v>
                </c:pt>
                <c:pt idx="364">
                  <c:v>0.38</c:v>
                </c:pt>
                <c:pt idx="365">
                  <c:v>0.3</c:v>
                </c:pt>
                <c:pt idx="366">
                  <c:v>0.4</c:v>
                </c:pt>
                <c:pt idx="367">
                  <c:v>0.36</c:v>
                </c:pt>
                <c:pt idx="368">
                  <c:v>0.4</c:v>
                </c:pt>
                <c:pt idx="369">
                  <c:v>0.34</c:v>
                </c:pt>
                <c:pt idx="370">
                  <c:v>0.34</c:v>
                </c:pt>
                <c:pt idx="371">
                  <c:v>0.36</c:v>
                </c:pt>
                <c:pt idx="372">
                  <c:v>0.42</c:v>
                </c:pt>
                <c:pt idx="373">
                  <c:v>0.36</c:v>
                </c:pt>
                <c:pt idx="374">
                  <c:v>0.26</c:v>
                </c:pt>
                <c:pt idx="375">
                  <c:v>0.3</c:v>
                </c:pt>
                <c:pt idx="376">
                  <c:v>0.3</c:v>
                </c:pt>
                <c:pt idx="377">
                  <c:v>0.3</c:v>
                </c:pt>
                <c:pt idx="378">
                  <c:v>0.3</c:v>
                </c:pt>
                <c:pt idx="379">
                  <c:v>0.32</c:v>
                </c:pt>
                <c:pt idx="380">
                  <c:v>0.32</c:v>
                </c:pt>
                <c:pt idx="381">
                  <c:v>0.28000000000000003</c:v>
                </c:pt>
                <c:pt idx="382">
                  <c:v>0.3</c:v>
                </c:pt>
                <c:pt idx="383">
                  <c:v>0.34</c:v>
                </c:pt>
                <c:pt idx="384">
                  <c:v>0.3</c:v>
                </c:pt>
                <c:pt idx="385">
                  <c:v>0.26</c:v>
                </c:pt>
                <c:pt idx="386">
                  <c:v>0.22</c:v>
                </c:pt>
                <c:pt idx="387">
                  <c:v>0.2</c:v>
                </c:pt>
                <c:pt idx="388">
                  <c:v>0.14000000000000001</c:v>
                </c:pt>
                <c:pt idx="389">
                  <c:v>0.8</c:v>
                </c:pt>
                <c:pt idx="390">
                  <c:v>0.82</c:v>
                </c:pt>
                <c:pt idx="391">
                  <c:v>0.78</c:v>
                </c:pt>
                <c:pt idx="392">
                  <c:v>0.76</c:v>
                </c:pt>
                <c:pt idx="393">
                  <c:v>0.78</c:v>
                </c:pt>
                <c:pt idx="394">
                  <c:v>0.86</c:v>
                </c:pt>
                <c:pt idx="395">
                  <c:v>0.72</c:v>
                </c:pt>
                <c:pt idx="396">
                  <c:v>0.57999999999999996</c:v>
                </c:pt>
                <c:pt idx="397">
                  <c:v>0.72</c:v>
                </c:pt>
                <c:pt idx="398">
                  <c:v>0.82</c:v>
                </c:pt>
                <c:pt idx="399">
                  <c:v>0.76</c:v>
                </c:pt>
                <c:pt idx="400">
                  <c:v>0.76</c:v>
                </c:pt>
                <c:pt idx="401">
                  <c:v>0.7</c:v>
                </c:pt>
                <c:pt idx="402">
                  <c:v>0.76</c:v>
                </c:pt>
                <c:pt idx="403">
                  <c:v>0.72</c:v>
                </c:pt>
                <c:pt idx="404">
                  <c:v>0.76</c:v>
                </c:pt>
                <c:pt idx="405">
                  <c:v>0.74</c:v>
                </c:pt>
                <c:pt idx="406">
                  <c:v>0.68</c:v>
                </c:pt>
                <c:pt idx="407">
                  <c:v>0.54</c:v>
                </c:pt>
                <c:pt idx="408">
                  <c:v>0.68</c:v>
                </c:pt>
                <c:pt idx="409">
                  <c:v>0.72</c:v>
                </c:pt>
                <c:pt idx="410">
                  <c:v>0.66</c:v>
                </c:pt>
                <c:pt idx="411">
                  <c:v>0.74</c:v>
                </c:pt>
                <c:pt idx="412">
                  <c:v>0.72</c:v>
                </c:pt>
                <c:pt idx="413">
                  <c:v>0.68</c:v>
                </c:pt>
                <c:pt idx="414">
                  <c:v>0.72</c:v>
                </c:pt>
                <c:pt idx="415">
                  <c:v>0.62</c:v>
                </c:pt>
                <c:pt idx="416">
                  <c:v>0.74</c:v>
                </c:pt>
                <c:pt idx="417">
                  <c:v>0.7</c:v>
                </c:pt>
                <c:pt idx="418">
                  <c:v>0.74</c:v>
                </c:pt>
                <c:pt idx="419">
                  <c:v>0.56000000000000005</c:v>
                </c:pt>
                <c:pt idx="420">
                  <c:v>0.64</c:v>
                </c:pt>
                <c:pt idx="421">
                  <c:v>0.62</c:v>
                </c:pt>
                <c:pt idx="422">
                  <c:v>0.76</c:v>
                </c:pt>
                <c:pt idx="423">
                  <c:v>0.68</c:v>
                </c:pt>
                <c:pt idx="424">
                  <c:v>0.57999999999999996</c:v>
                </c:pt>
                <c:pt idx="425">
                  <c:v>0.6</c:v>
                </c:pt>
                <c:pt idx="426">
                  <c:v>0.62</c:v>
                </c:pt>
                <c:pt idx="427">
                  <c:v>0.64</c:v>
                </c:pt>
                <c:pt idx="428">
                  <c:v>0.74</c:v>
                </c:pt>
                <c:pt idx="429">
                  <c:v>0.57999999999999996</c:v>
                </c:pt>
                <c:pt idx="430">
                  <c:v>0.57999999999999996</c:v>
                </c:pt>
                <c:pt idx="431">
                  <c:v>0.72</c:v>
                </c:pt>
                <c:pt idx="432">
                  <c:v>0.56000000000000005</c:v>
                </c:pt>
                <c:pt idx="433">
                  <c:v>0.48</c:v>
                </c:pt>
                <c:pt idx="434">
                  <c:v>0.56000000000000005</c:v>
                </c:pt>
                <c:pt idx="435">
                  <c:v>0.54</c:v>
                </c:pt>
                <c:pt idx="436">
                  <c:v>0.66</c:v>
                </c:pt>
                <c:pt idx="437">
                  <c:v>0.52</c:v>
                </c:pt>
                <c:pt idx="438">
                  <c:v>0.6</c:v>
                </c:pt>
                <c:pt idx="439">
                  <c:v>0.56000000000000005</c:v>
                </c:pt>
                <c:pt idx="440">
                  <c:v>0.54</c:v>
                </c:pt>
                <c:pt idx="441">
                  <c:v>0.46</c:v>
                </c:pt>
                <c:pt idx="442">
                  <c:v>0.56000000000000005</c:v>
                </c:pt>
                <c:pt idx="443">
                  <c:v>0.48</c:v>
                </c:pt>
                <c:pt idx="444">
                  <c:v>0.54</c:v>
                </c:pt>
                <c:pt idx="445">
                  <c:v>0.44</c:v>
                </c:pt>
                <c:pt idx="446">
                  <c:v>0.52</c:v>
                </c:pt>
                <c:pt idx="447">
                  <c:v>0.52</c:v>
                </c:pt>
                <c:pt idx="448">
                  <c:v>0.38</c:v>
                </c:pt>
                <c:pt idx="449">
                  <c:v>0.54</c:v>
                </c:pt>
                <c:pt idx="450">
                  <c:v>0.36</c:v>
                </c:pt>
                <c:pt idx="451">
                  <c:v>0.4</c:v>
                </c:pt>
                <c:pt idx="452">
                  <c:v>0.5</c:v>
                </c:pt>
                <c:pt idx="453">
                  <c:v>0.44</c:v>
                </c:pt>
                <c:pt idx="454">
                  <c:v>0.4</c:v>
                </c:pt>
                <c:pt idx="455">
                  <c:v>0.48</c:v>
                </c:pt>
                <c:pt idx="456">
                  <c:v>0.38</c:v>
                </c:pt>
                <c:pt idx="457">
                  <c:v>0.38</c:v>
                </c:pt>
                <c:pt idx="458">
                  <c:v>0.46</c:v>
                </c:pt>
                <c:pt idx="459">
                  <c:v>0.4</c:v>
                </c:pt>
                <c:pt idx="460">
                  <c:v>0.36</c:v>
                </c:pt>
                <c:pt idx="461">
                  <c:v>0.34</c:v>
                </c:pt>
                <c:pt idx="462">
                  <c:v>0.32</c:v>
                </c:pt>
                <c:pt idx="463">
                  <c:v>0.32</c:v>
                </c:pt>
                <c:pt idx="464">
                  <c:v>0.42</c:v>
                </c:pt>
                <c:pt idx="465">
                  <c:v>0.28000000000000003</c:v>
                </c:pt>
                <c:pt idx="466">
                  <c:v>0.36</c:v>
                </c:pt>
                <c:pt idx="467">
                  <c:v>0.3</c:v>
                </c:pt>
                <c:pt idx="468">
                  <c:v>0.36</c:v>
                </c:pt>
                <c:pt idx="469">
                  <c:v>0.3</c:v>
                </c:pt>
                <c:pt idx="470">
                  <c:v>0.34</c:v>
                </c:pt>
                <c:pt idx="471">
                  <c:v>0.3</c:v>
                </c:pt>
                <c:pt idx="472">
                  <c:v>0.3</c:v>
                </c:pt>
                <c:pt idx="473">
                  <c:v>0.26</c:v>
                </c:pt>
                <c:pt idx="474">
                  <c:v>0.22</c:v>
                </c:pt>
                <c:pt idx="475">
                  <c:v>0.2</c:v>
                </c:pt>
                <c:pt idx="476">
                  <c:v>0.24</c:v>
                </c:pt>
                <c:pt idx="477">
                  <c:v>0.52</c:v>
                </c:pt>
                <c:pt idx="478">
                  <c:v>0.8</c:v>
                </c:pt>
                <c:pt idx="479">
                  <c:v>0.32</c:v>
                </c:pt>
                <c:pt idx="480">
                  <c:v>0.42</c:v>
                </c:pt>
                <c:pt idx="481">
                  <c:v>0.84</c:v>
                </c:pt>
                <c:pt idx="482">
                  <c:v>0.46</c:v>
                </c:pt>
                <c:pt idx="483">
                  <c:v>0.5</c:v>
                </c:pt>
                <c:pt idx="484">
                  <c:v>0.57999999999999996</c:v>
                </c:pt>
                <c:pt idx="485">
                  <c:v>0.72</c:v>
                </c:pt>
                <c:pt idx="486">
                  <c:v>0.42</c:v>
                </c:pt>
                <c:pt idx="487">
                  <c:v>0.78</c:v>
                </c:pt>
                <c:pt idx="488">
                  <c:v>0.78</c:v>
                </c:pt>
                <c:pt idx="489">
                  <c:v>0.56000000000000005</c:v>
                </c:pt>
                <c:pt idx="490">
                  <c:v>0.72</c:v>
                </c:pt>
                <c:pt idx="491">
                  <c:v>0.8</c:v>
                </c:pt>
                <c:pt idx="492">
                  <c:v>0.6</c:v>
                </c:pt>
                <c:pt idx="493">
                  <c:v>0.78</c:v>
                </c:pt>
                <c:pt idx="494">
                  <c:v>0.72</c:v>
                </c:pt>
                <c:pt idx="495">
                  <c:v>0.57999999999999996</c:v>
                </c:pt>
                <c:pt idx="496">
                  <c:v>0.84</c:v>
                </c:pt>
                <c:pt idx="497">
                  <c:v>0.76</c:v>
                </c:pt>
                <c:pt idx="498">
                  <c:v>0.5</c:v>
                </c:pt>
                <c:pt idx="499">
                  <c:v>0.6</c:v>
                </c:pt>
                <c:pt idx="500">
                  <c:v>0.5</c:v>
                </c:pt>
                <c:pt idx="501">
                  <c:v>0.7</c:v>
                </c:pt>
                <c:pt idx="502">
                  <c:v>0.57999999999999996</c:v>
                </c:pt>
                <c:pt idx="503">
                  <c:v>0.82</c:v>
                </c:pt>
                <c:pt idx="504">
                  <c:v>0.62</c:v>
                </c:pt>
                <c:pt idx="505">
                  <c:v>0.2</c:v>
                </c:pt>
                <c:pt idx="506">
                  <c:v>0.72</c:v>
                </c:pt>
                <c:pt idx="507">
                  <c:v>0.82</c:v>
                </c:pt>
                <c:pt idx="508">
                  <c:v>0.68</c:v>
                </c:pt>
                <c:pt idx="509">
                  <c:v>0.84</c:v>
                </c:pt>
                <c:pt idx="510">
                  <c:v>0.68</c:v>
                </c:pt>
                <c:pt idx="511">
                  <c:v>0.62</c:v>
                </c:pt>
                <c:pt idx="512">
                  <c:v>0.62</c:v>
                </c:pt>
                <c:pt idx="513">
                  <c:v>0.48</c:v>
                </c:pt>
                <c:pt idx="514">
                  <c:v>0.84</c:v>
                </c:pt>
                <c:pt idx="515">
                  <c:v>0.84</c:v>
                </c:pt>
                <c:pt idx="516">
                  <c:v>0.24</c:v>
                </c:pt>
                <c:pt idx="517">
                  <c:v>0.28000000000000003</c:v>
                </c:pt>
                <c:pt idx="518">
                  <c:v>0.74</c:v>
                </c:pt>
                <c:pt idx="519">
                  <c:v>0.68</c:v>
                </c:pt>
                <c:pt idx="520">
                  <c:v>0.54</c:v>
                </c:pt>
                <c:pt idx="521">
                  <c:v>0.72</c:v>
                </c:pt>
                <c:pt idx="522">
                  <c:v>0.56000000000000005</c:v>
                </c:pt>
                <c:pt idx="523">
                  <c:v>0.66</c:v>
                </c:pt>
                <c:pt idx="524">
                  <c:v>0.86</c:v>
                </c:pt>
                <c:pt idx="525">
                  <c:v>0.64</c:v>
                </c:pt>
                <c:pt idx="526">
                  <c:v>0.5</c:v>
                </c:pt>
                <c:pt idx="527">
                  <c:v>0.54</c:v>
                </c:pt>
                <c:pt idx="528">
                  <c:v>0.8</c:v>
                </c:pt>
                <c:pt idx="529">
                  <c:v>0.66</c:v>
                </c:pt>
                <c:pt idx="530">
                  <c:v>0.72</c:v>
                </c:pt>
                <c:pt idx="531">
                  <c:v>0.6</c:v>
                </c:pt>
                <c:pt idx="532">
                  <c:v>0.52</c:v>
                </c:pt>
                <c:pt idx="533">
                  <c:v>0.76</c:v>
                </c:pt>
                <c:pt idx="534">
                  <c:v>0.62</c:v>
                </c:pt>
                <c:pt idx="535">
                  <c:v>0.48</c:v>
                </c:pt>
                <c:pt idx="536">
                  <c:v>0.48</c:v>
                </c:pt>
                <c:pt idx="537">
                  <c:v>0.42</c:v>
                </c:pt>
                <c:pt idx="538">
                  <c:v>0.74</c:v>
                </c:pt>
                <c:pt idx="539">
                  <c:v>0.74</c:v>
                </c:pt>
                <c:pt idx="540">
                  <c:v>0.56000000000000005</c:v>
                </c:pt>
                <c:pt idx="541">
                  <c:v>0.46</c:v>
                </c:pt>
                <c:pt idx="542">
                  <c:v>0.42</c:v>
                </c:pt>
                <c:pt idx="543">
                  <c:v>0.76</c:v>
                </c:pt>
                <c:pt idx="544">
                  <c:v>0.86</c:v>
                </c:pt>
                <c:pt idx="545">
                  <c:v>0.86</c:v>
                </c:pt>
                <c:pt idx="546">
                  <c:v>0.52</c:v>
                </c:pt>
                <c:pt idx="547">
                  <c:v>0.78</c:v>
                </c:pt>
                <c:pt idx="548">
                  <c:v>0.84</c:v>
                </c:pt>
                <c:pt idx="549">
                  <c:v>0.64</c:v>
                </c:pt>
                <c:pt idx="550">
                  <c:v>0.2</c:v>
                </c:pt>
                <c:pt idx="551">
                  <c:v>0.57999999999999996</c:v>
                </c:pt>
                <c:pt idx="552">
                  <c:v>0.82</c:v>
                </c:pt>
                <c:pt idx="553">
                  <c:v>0.4</c:v>
                </c:pt>
                <c:pt idx="554">
                  <c:v>0.5</c:v>
                </c:pt>
                <c:pt idx="555">
                  <c:v>0.54</c:v>
                </c:pt>
                <c:pt idx="556">
                  <c:v>0.5</c:v>
                </c:pt>
                <c:pt idx="557">
                  <c:v>0.68</c:v>
                </c:pt>
                <c:pt idx="558">
                  <c:v>0.6</c:v>
                </c:pt>
                <c:pt idx="559">
                  <c:v>0.62</c:v>
                </c:pt>
                <c:pt idx="560">
                  <c:v>0.84</c:v>
                </c:pt>
                <c:pt idx="561">
                  <c:v>0.76</c:v>
                </c:pt>
                <c:pt idx="562">
                  <c:v>0.57999999999999996</c:v>
                </c:pt>
                <c:pt idx="563">
                  <c:v>0.66</c:v>
                </c:pt>
                <c:pt idx="564">
                  <c:v>0.66</c:v>
                </c:pt>
                <c:pt idx="565">
                  <c:v>0.66</c:v>
                </c:pt>
                <c:pt idx="566">
                  <c:v>0.12</c:v>
                </c:pt>
                <c:pt idx="567">
                  <c:v>0.6</c:v>
                </c:pt>
                <c:pt idx="568">
                  <c:v>0.62</c:v>
                </c:pt>
                <c:pt idx="569">
                  <c:v>0.66</c:v>
                </c:pt>
                <c:pt idx="570">
                  <c:v>0.28000000000000003</c:v>
                </c:pt>
                <c:pt idx="571">
                  <c:v>0.72</c:v>
                </c:pt>
                <c:pt idx="572">
                  <c:v>0.86</c:v>
                </c:pt>
                <c:pt idx="573">
                  <c:v>0.46</c:v>
                </c:pt>
                <c:pt idx="574">
                  <c:v>0.76</c:v>
                </c:pt>
                <c:pt idx="575">
                  <c:v>0.57999999999999996</c:v>
                </c:pt>
                <c:pt idx="576">
                  <c:v>0.7</c:v>
                </c:pt>
                <c:pt idx="577">
                  <c:v>0.57999999999999996</c:v>
                </c:pt>
                <c:pt idx="578">
                  <c:v>0.54</c:v>
                </c:pt>
                <c:pt idx="579">
                  <c:v>0.4</c:v>
                </c:pt>
                <c:pt idx="580">
                  <c:v>0.82</c:v>
                </c:pt>
                <c:pt idx="581">
                  <c:v>0.44</c:v>
                </c:pt>
                <c:pt idx="582">
                  <c:v>0.88</c:v>
                </c:pt>
                <c:pt idx="583">
                  <c:v>0.66</c:v>
                </c:pt>
                <c:pt idx="584">
                  <c:v>0.64</c:v>
                </c:pt>
                <c:pt idx="585">
                  <c:v>0.66</c:v>
                </c:pt>
                <c:pt idx="586">
                  <c:v>0.78</c:v>
                </c:pt>
                <c:pt idx="587">
                  <c:v>0.4</c:v>
                </c:pt>
                <c:pt idx="588">
                  <c:v>0.78</c:v>
                </c:pt>
                <c:pt idx="589">
                  <c:v>0.82</c:v>
                </c:pt>
                <c:pt idx="590">
                  <c:v>0.72</c:v>
                </c:pt>
                <c:pt idx="591">
                  <c:v>0.74</c:v>
                </c:pt>
                <c:pt idx="592">
                  <c:v>0.54</c:v>
                </c:pt>
                <c:pt idx="593">
                  <c:v>0.66</c:v>
                </c:pt>
                <c:pt idx="594">
                  <c:v>0.26</c:v>
                </c:pt>
                <c:pt idx="595">
                  <c:v>0.66</c:v>
                </c:pt>
                <c:pt idx="596">
                  <c:v>0.62</c:v>
                </c:pt>
                <c:pt idx="597">
                  <c:v>0.5</c:v>
                </c:pt>
                <c:pt idx="598">
                  <c:v>0.26</c:v>
                </c:pt>
                <c:pt idx="599">
                  <c:v>0.52</c:v>
                </c:pt>
                <c:pt idx="600">
                  <c:v>0.42</c:v>
                </c:pt>
                <c:pt idx="601">
                  <c:v>0.78</c:v>
                </c:pt>
                <c:pt idx="602">
                  <c:v>0.74</c:v>
                </c:pt>
                <c:pt idx="603">
                  <c:v>0.57999999999999996</c:v>
                </c:pt>
                <c:pt idx="604">
                  <c:v>0.18</c:v>
                </c:pt>
                <c:pt idx="605">
                  <c:v>0.54</c:v>
                </c:pt>
                <c:pt idx="606">
                  <c:v>0.62</c:v>
                </c:pt>
                <c:pt idx="607">
                  <c:v>0.4</c:v>
                </c:pt>
                <c:pt idx="608">
                  <c:v>0.46</c:v>
                </c:pt>
                <c:pt idx="609">
                  <c:v>0.76</c:v>
                </c:pt>
                <c:pt idx="610">
                  <c:v>0.84</c:v>
                </c:pt>
                <c:pt idx="611">
                  <c:v>0.38</c:v>
                </c:pt>
                <c:pt idx="612">
                  <c:v>0.66</c:v>
                </c:pt>
                <c:pt idx="613">
                  <c:v>0.78</c:v>
                </c:pt>
                <c:pt idx="614">
                  <c:v>0.68</c:v>
                </c:pt>
                <c:pt idx="615">
                  <c:v>0.5</c:v>
                </c:pt>
                <c:pt idx="616">
                  <c:v>0.78</c:v>
                </c:pt>
                <c:pt idx="617">
                  <c:v>0.62</c:v>
                </c:pt>
                <c:pt idx="618">
                  <c:v>0.57999999999999996</c:v>
                </c:pt>
                <c:pt idx="619">
                  <c:v>0.56000000000000005</c:v>
                </c:pt>
                <c:pt idx="620">
                  <c:v>0.78</c:v>
                </c:pt>
                <c:pt idx="621">
                  <c:v>0.46</c:v>
                </c:pt>
                <c:pt idx="622">
                  <c:v>0.7</c:v>
                </c:pt>
                <c:pt idx="623">
                  <c:v>0.78</c:v>
                </c:pt>
                <c:pt idx="624">
                  <c:v>0.64</c:v>
                </c:pt>
                <c:pt idx="625">
                  <c:v>0.82</c:v>
                </c:pt>
                <c:pt idx="626">
                  <c:v>0.54</c:v>
                </c:pt>
                <c:pt idx="627">
                  <c:v>0.64</c:v>
                </c:pt>
                <c:pt idx="628">
                  <c:v>0.68</c:v>
                </c:pt>
                <c:pt idx="629">
                  <c:v>0.56000000000000005</c:v>
                </c:pt>
                <c:pt idx="630">
                  <c:v>0.4</c:v>
                </c:pt>
                <c:pt idx="631">
                  <c:v>0.78</c:v>
                </c:pt>
                <c:pt idx="632">
                  <c:v>0.57999999999999996</c:v>
                </c:pt>
                <c:pt idx="633">
                  <c:v>0.46</c:v>
                </c:pt>
                <c:pt idx="634">
                  <c:v>0.62</c:v>
                </c:pt>
                <c:pt idx="635">
                  <c:v>0.74</c:v>
                </c:pt>
                <c:pt idx="636">
                  <c:v>0.7</c:v>
                </c:pt>
                <c:pt idx="637">
                  <c:v>0.5</c:v>
                </c:pt>
                <c:pt idx="638">
                  <c:v>0.3</c:v>
                </c:pt>
                <c:pt idx="639">
                  <c:v>0.72</c:v>
                </c:pt>
                <c:pt idx="640">
                  <c:v>0.54</c:v>
                </c:pt>
                <c:pt idx="641">
                  <c:v>0.57999999999999996</c:v>
                </c:pt>
                <c:pt idx="642">
                  <c:v>0.78</c:v>
                </c:pt>
                <c:pt idx="643">
                  <c:v>0.86</c:v>
                </c:pt>
                <c:pt idx="644">
                  <c:v>0.36</c:v>
                </c:pt>
                <c:pt idx="645">
                  <c:v>0.66</c:v>
                </c:pt>
                <c:pt idx="646">
                  <c:v>0.46</c:v>
                </c:pt>
                <c:pt idx="647">
                  <c:v>0.86</c:v>
                </c:pt>
                <c:pt idx="648">
                  <c:v>0.62</c:v>
                </c:pt>
                <c:pt idx="649">
                  <c:v>0.64</c:v>
                </c:pt>
                <c:pt idx="650">
                  <c:v>0.82</c:v>
                </c:pt>
                <c:pt idx="651">
                  <c:v>0.52</c:v>
                </c:pt>
                <c:pt idx="652">
                  <c:v>0.66</c:v>
                </c:pt>
                <c:pt idx="653">
                  <c:v>0.64</c:v>
                </c:pt>
                <c:pt idx="654">
                  <c:v>0.34</c:v>
                </c:pt>
                <c:pt idx="655">
                  <c:v>0.54</c:v>
                </c:pt>
                <c:pt idx="656">
                  <c:v>0.76</c:v>
                </c:pt>
                <c:pt idx="657">
                  <c:v>0.86</c:v>
                </c:pt>
                <c:pt idx="658">
                  <c:v>0.54</c:v>
                </c:pt>
                <c:pt idx="659">
                  <c:v>0.7</c:v>
                </c:pt>
                <c:pt idx="660">
                  <c:v>0.46</c:v>
                </c:pt>
                <c:pt idx="661">
                  <c:v>0.76</c:v>
                </c:pt>
                <c:pt idx="662">
                  <c:v>0.78</c:v>
                </c:pt>
                <c:pt idx="663">
                  <c:v>0.6</c:v>
                </c:pt>
                <c:pt idx="664">
                  <c:v>0.86</c:v>
                </c:pt>
                <c:pt idx="665">
                  <c:v>0.44</c:v>
                </c:pt>
                <c:pt idx="666">
                  <c:v>0.8</c:v>
                </c:pt>
                <c:pt idx="667">
                  <c:v>0.82</c:v>
                </c:pt>
                <c:pt idx="668">
                  <c:v>0.84</c:v>
                </c:pt>
                <c:pt idx="669">
                  <c:v>0.42</c:v>
                </c:pt>
                <c:pt idx="670">
                  <c:v>0.82</c:v>
                </c:pt>
                <c:pt idx="671">
                  <c:v>0.88</c:v>
                </c:pt>
                <c:pt idx="672">
                  <c:v>0.74</c:v>
                </c:pt>
                <c:pt idx="673">
                  <c:v>0.76</c:v>
                </c:pt>
                <c:pt idx="674">
                  <c:v>0.84</c:v>
                </c:pt>
                <c:pt idx="675">
                  <c:v>0.62</c:v>
                </c:pt>
                <c:pt idx="676">
                  <c:v>0.62</c:v>
                </c:pt>
                <c:pt idx="677">
                  <c:v>0.8</c:v>
                </c:pt>
                <c:pt idx="678">
                  <c:v>0.8</c:v>
                </c:pt>
                <c:pt idx="679">
                  <c:v>0.6</c:v>
                </c:pt>
                <c:pt idx="680">
                  <c:v>0.42</c:v>
                </c:pt>
                <c:pt idx="681">
                  <c:v>0.72</c:v>
                </c:pt>
                <c:pt idx="682">
                  <c:v>0.56000000000000005</c:v>
                </c:pt>
                <c:pt idx="683">
                  <c:v>0.78</c:v>
                </c:pt>
                <c:pt idx="684">
                  <c:v>0.8</c:v>
                </c:pt>
                <c:pt idx="685">
                  <c:v>0.62</c:v>
                </c:pt>
                <c:pt idx="686">
                  <c:v>0.42</c:v>
                </c:pt>
                <c:pt idx="687">
                  <c:v>0.54</c:v>
                </c:pt>
                <c:pt idx="688">
                  <c:v>0.62</c:v>
                </c:pt>
                <c:pt idx="689">
                  <c:v>0.7</c:v>
                </c:pt>
                <c:pt idx="690">
                  <c:v>0.5</c:v>
                </c:pt>
                <c:pt idx="691">
                  <c:v>0.78</c:v>
                </c:pt>
                <c:pt idx="692">
                  <c:v>0.84</c:v>
                </c:pt>
                <c:pt idx="693">
                  <c:v>0.34</c:v>
                </c:pt>
                <c:pt idx="694">
                  <c:v>0.38</c:v>
                </c:pt>
                <c:pt idx="695">
                  <c:v>0.66</c:v>
                </c:pt>
                <c:pt idx="696">
                  <c:v>0.76</c:v>
                </c:pt>
                <c:pt idx="697">
                  <c:v>0.72</c:v>
                </c:pt>
                <c:pt idx="698">
                  <c:v>0.57999999999999996</c:v>
                </c:pt>
                <c:pt idx="699">
                  <c:v>0.66</c:v>
                </c:pt>
                <c:pt idx="700">
                  <c:v>0.4</c:v>
                </c:pt>
                <c:pt idx="701">
                  <c:v>0.42</c:v>
                </c:pt>
                <c:pt idx="702">
                  <c:v>0.8</c:v>
                </c:pt>
                <c:pt idx="703">
                  <c:v>0.44</c:v>
                </c:pt>
                <c:pt idx="704">
                  <c:v>0.66</c:v>
                </c:pt>
                <c:pt idx="705">
                  <c:v>0.64</c:v>
                </c:pt>
                <c:pt idx="706">
                  <c:v>0.74</c:v>
                </c:pt>
                <c:pt idx="707">
                  <c:v>0.57999999999999996</c:v>
                </c:pt>
                <c:pt idx="708">
                  <c:v>0.52</c:v>
                </c:pt>
                <c:pt idx="709">
                  <c:v>0.7</c:v>
                </c:pt>
                <c:pt idx="710">
                  <c:v>0.82</c:v>
                </c:pt>
                <c:pt idx="711">
                  <c:v>0.78</c:v>
                </c:pt>
                <c:pt idx="712">
                  <c:v>0.42</c:v>
                </c:pt>
                <c:pt idx="713">
                  <c:v>0.82</c:v>
                </c:pt>
                <c:pt idx="714">
                  <c:v>0.68</c:v>
                </c:pt>
                <c:pt idx="715">
                  <c:v>0.76</c:v>
                </c:pt>
                <c:pt idx="716">
                  <c:v>0.34</c:v>
                </c:pt>
                <c:pt idx="717">
                  <c:v>0.76</c:v>
                </c:pt>
                <c:pt idx="718">
                  <c:v>0.64</c:v>
                </c:pt>
                <c:pt idx="719">
                  <c:v>0.2</c:v>
                </c:pt>
                <c:pt idx="720">
                  <c:v>0.3</c:v>
                </c:pt>
                <c:pt idx="721">
                  <c:v>0.72</c:v>
                </c:pt>
                <c:pt idx="722">
                  <c:v>0.18</c:v>
                </c:pt>
                <c:pt idx="723">
                  <c:v>0.84</c:v>
                </c:pt>
                <c:pt idx="724">
                  <c:v>0.76</c:v>
                </c:pt>
                <c:pt idx="725">
                  <c:v>0.86</c:v>
                </c:pt>
                <c:pt idx="726">
                  <c:v>0.5</c:v>
                </c:pt>
                <c:pt idx="727">
                  <c:v>0.36</c:v>
                </c:pt>
                <c:pt idx="728">
                  <c:v>0.52</c:v>
                </c:pt>
                <c:pt idx="729">
                  <c:v>0.8</c:v>
                </c:pt>
                <c:pt idx="730">
                  <c:v>0.76</c:v>
                </c:pt>
                <c:pt idx="731">
                  <c:v>0.46</c:v>
                </c:pt>
                <c:pt idx="732">
                  <c:v>0.76</c:v>
                </c:pt>
                <c:pt idx="733">
                  <c:v>0.84</c:v>
                </c:pt>
                <c:pt idx="734">
                  <c:v>0.54</c:v>
                </c:pt>
                <c:pt idx="735">
                  <c:v>0.48</c:v>
                </c:pt>
                <c:pt idx="736">
                  <c:v>0.72</c:v>
                </c:pt>
                <c:pt idx="737">
                  <c:v>0.6</c:v>
                </c:pt>
                <c:pt idx="738">
                  <c:v>0.38</c:v>
                </c:pt>
                <c:pt idx="739">
                  <c:v>0.8</c:v>
                </c:pt>
                <c:pt idx="740">
                  <c:v>0.44</c:v>
                </c:pt>
                <c:pt idx="741">
                  <c:v>0.72</c:v>
                </c:pt>
                <c:pt idx="742">
                  <c:v>0.26</c:v>
                </c:pt>
                <c:pt idx="743">
                  <c:v>0.52</c:v>
                </c:pt>
                <c:pt idx="744">
                  <c:v>0.94</c:v>
                </c:pt>
                <c:pt idx="745">
                  <c:v>0.8</c:v>
                </c:pt>
                <c:pt idx="746">
                  <c:v>0.9</c:v>
                </c:pt>
                <c:pt idx="747">
                  <c:v>0.94</c:v>
                </c:pt>
                <c:pt idx="748">
                  <c:v>0.9</c:v>
                </c:pt>
                <c:pt idx="749">
                  <c:v>0.9</c:v>
                </c:pt>
                <c:pt idx="750">
                  <c:v>0.84</c:v>
                </c:pt>
                <c:pt idx="751">
                  <c:v>0.9</c:v>
                </c:pt>
                <c:pt idx="752">
                  <c:v>0.88</c:v>
                </c:pt>
                <c:pt idx="753">
                  <c:v>0.88</c:v>
                </c:pt>
                <c:pt idx="754">
                  <c:v>0.88</c:v>
                </c:pt>
                <c:pt idx="755">
                  <c:v>0.88</c:v>
                </c:pt>
                <c:pt idx="756">
                  <c:v>0.8</c:v>
                </c:pt>
                <c:pt idx="757">
                  <c:v>0.9</c:v>
                </c:pt>
                <c:pt idx="758">
                  <c:v>0.88</c:v>
                </c:pt>
                <c:pt idx="759">
                  <c:v>0.92</c:v>
                </c:pt>
                <c:pt idx="760">
                  <c:v>0.86</c:v>
                </c:pt>
                <c:pt idx="761">
                  <c:v>0.88</c:v>
                </c:pt>
                <c:pt idx="762">
                  <c:v>0.92</c:v>
                </c:pt>
                <c:pt idx="763">
                  <c:v>0.76</c:v>
                </c:pt>
                <c:pt idx="764">
                  <c:v>0.86</c:v>
                </c:pt>
                <c:pt idx="765">
                  <c:v>0.88</c:v>
                </c:pt>
                <c:pt idx="766">
                  <c:v>0.86</c:v>
                </c:pt>
                <c:pt idx="767">
                  <c:v>0.88</c:v>
                </c:pt>
                <c:pt idx="768">
                  <c:v>0.84</c:v>
                </c:pt>
                <c:pt idx="769">
                  <c:v>0.86</c:v>
                </c:pt>
                <c:pt idx="770">
                  <c:v>0.8</c:v>
                </c:pt>
                <c:pt idx="771">
                  <c:v>0.88</c:v>
                </c:pt>
                <c:pt idx="772">
                  <c:v>0.88</c:v>
                </c:pt>
                <c:pt idx="773">
                  <c:v>0.86</c:v>
                </c:pt>
                <c:pt idx="774">
                  <c:v>0.66</c:v>
                </c:pt>
                <c:pt idx="775">
                  <c:v>0.84</c:v>
                </c:pt>
                <c:pt idx="776">
                  <c:v>0.84</c:v>
                </c:pt>
                <c:pt idx="777">
                  <c:v>0.9</c:v>
                </c:pt>
                <c:pt idx="778">
                  <c:v>0.82</c:v>
                </c:pt>
                <c:pt idx="779">
                  <c:v>0.86</c:v>
                </c:pt>
                <c:pt idx="780">
                  <c:v>0.84</c:v>
                </c:pt>
                <c:pt idx="781">
                  <c:v>0.82</c:v>
                </c:pt>
                <c:pt idx="782">
                  <c:v>0.76</c:v>
                </c:pt>
                <c:pt idx="783">
                  <c:v>0.86</c:v>
                </c:pt>
                <c:pt idx="784">
                  <c:v>0.84</c:v>
                </c:pt>
                <c:pt idx="785">
                  <c:v>0.86</c:v>
                </c:pt>
                <c:pt idx="786">
                  <c:v>0.86</c:v>
                </c:pt>
                <c:pt idx="787">
                  <c:v>0.84</c:v>
                </c:pt>
                <c:pt idx="788">
                  <c:v>0.88</c:v>
                </c:pt>
                <c:pt idx="789">
                  <c:v>0.78</c:v>
                </c:pt>
                <c:pt idx="790">
                  <c:v>0.8</c:v>
                </c:pt>
                <c:pt idx="791">
                  <c:v>0.84</c:v>
                </c:pt>
                <c:pt idx="792">
                  <c:v>0.86</c:v>
                </c:pt>
                <c:pt idx="793">
                  <c:v>0.84</c:v>
                </c:pt>
                <c:pt idx="794">
                  <c:v>0.84</c:v>
                </c:pt>
                <c:pt idx="795">
                  <c:v>0.78</c:v>
                </c:pt>
                <c:pt idx="796">
                  <c:v>0.84</c:v>
                </c:pt>
                <c:pt idx="797">
                  <c:v>0.78</c:v>
                </c:pt>
                <c:pt idx="798">
                  <c:v>0.8</c:v>
                </c:pt>
                <c:pt idx="799">
                  <c:v>0.78</c:v>
                </c:pt>
                <c:pt idx="800">
                  <c:v>0.78</c:v>
                </c:pt>
                <c:pt idx="801">
                  <c:v>0.74</c:v>
                </c:pt>
                <c:pt idx="802">
                  <c:v>0.8</c:v>
                </c:pt>
                <c:pt idx="803">
                  <c:v>0.76</c:v>
                </c:pt>
                <c:pt idx="804">
                  <c:v>0.68</c:v>
                </c:pt>
                <c:pt idx="805">
                  <c:v>0.76</c:v>
                </c:pt>
                <c:pt idx="806">
                  <c:v>0.8</c:v>
                </c:pt>
                <c:pt idx="807">
                  <c:v>0.76</c:v>
                </c:pt>
                <c:pt idx="808">
                  <c:v>0.8</c:v>
                </c:pt>
                <c:pt idx="809">
                  <c:v>0.78</c:v>
                </c:pt>
                <c:pt idx="810">
                  <c:v>0.7</c:v>
                </c:pt>
                <c:pt idx="811">
                  <c:v>0.84</c:v>
                </c:pt>
                <c:pt idx="812">
                  <c:v>0.76</c:v>
                </c:pt>
                <c:pt idx="813">
                  <c:v>0.84</c:v>
                </c:pt>
                <c:pt idx="814">
                  <c:v>0.8</c:v>
                </c:pt>
                <c:pt idx="815">
                  <c:v>0.72</c:v>
                </c:pt>
                <c:pt idx="816">
                  <c:v>0.84</c:v>
                </c:pt>
                <c:pt idx="817">
                  <c:v>0.78</c:v>
                </c:pt>
                <c:pt idx="818">
                  <c:v>0.78</c:v>
                </c:pt>
                <c:pt idx="819">
                  <c:v>0.66</c:v>
                </c:pt>
                <c:pt idx="820">
                  <c:v>0.76</c:v>
                </c:pt>
                <c:pt idx="821">
                  <c:v>0.76</c:v>
                </c:pt>
                <c:pt idx="822">
                  <c:v>0.72</c:v>
                </c:pt>
                <c:pt idx="823">
                  <c:v>0.68</c:v>
                </c:pt>
                <c:pt idx="824">
                  <c:v>0.74</c:v>
                </c:pt>
                <c:pt idx="825">
                  <c:v>0.64</c:v>
                </c:pt>
                <c:pt idx="826">
                  <c:v>0.54</c:v>
                </c:pt>
                <c:pt idx="827">
                  <c:v>0.72</c:v>
                </c:pt>
                <c:pt idx="828">
                  <c:v>0.66</c:v>
                </c:pt>
                <c:pt idx="829">
                  <c:v>0.64</c:v>
                </c:pt>
                <c:pt idx="830">
                  <c:v>0.64</c:v>
                </c:pt>
                <c:pt idx="831">
                  <c:v>0.7</c:v>
                </c:pt>
                <c:pt idx="832">
                  <c:v>0.76</c:v>
                </c:pt>
                <c:pt idx="833">
                  <c:v>0.68</c:v>
                </c:pt>
                <c:pt idx="834">
                  <c:v>0.57999999999999996</c:v>
                </c:pt>
                <c:pt idx="835">
                  <c:v>0.62</c:v>
                </c:pt>
                <c:pt idx="836">
                  <c:v>0.57999999999999996</c:v>
                </c:pt>
                <c:pt idx="837">
                  <c:v>0.68</c:v>
                </c:pt>
                <c:pt idx="838">
                  <c:v>0.68</c:v>
                </c:pt>
                <c:pt idx="839">
                  <c:v>0.57999999999999996</c:v>
                </c:pt>
                <c:pt idx="840">
                  <c:v>0.56000000000000005</c:v>
                </c:pt>
                <c:pt idx="841">
                  <c:v>0.68</c:v>
                </c:pt>
                <c:pt idx="842">
                  <c:v>0.57999999999999996</c:v>
                </c:pt>
                <c:pt idx="843">
                  <c:v>0.46</c:v>
                </c:pt>
                <c:pt idx="844">
                  <c:v>0.54</c:v>
                </c:pt>
                <c:pt idx="845">
                  <c:v>0.52</c:v>
                </c:pt>
                <c:pt idx="846">
                  <c:v>0.52</c:v>
                </c:pt>
                <c:pt idx="847">
                  <c:v>0.5</c:v>
                </c:pt>
                <c:pt idx="848">
                  <c:v>0.54</c:v>
                </c:pt>
                <c:pt idx="849">
                  <c:v>0.56000000000000005</c:v>
                </c:pt>
                <c:pt idx="850">
                  <c:v>0.5</c:v>
                </c:pt>
                <c:pt idx="851">
                  <c:v>0.48</c:v>
                </c:pt>
                <c:pt idx="852">
                  <c:v>0.48</c:v>
                </c:pt>
                <c:pt idx="853">
                  <c:v>0.48</c:v>
                </c:pt>
                <c:pt idx="854">
                  <c:v>0.44</c:v>
                </c:pt>
                <c:pt idx="855">
                  <c:v>0.4</c:v>
                </c:pt>
                <c:pt idx="856">
                  <c:v>0.44</c:v>
                </c:pt>
                <c:pt idx="857">
                  <c:v>0.42</c:v>
                </c:pt>
                <c:pt idx="858">
                  <c:v>0.4</c:v>
                </c:pt>
                <c:pt idx="859">
                  <c:v>0.34</c:v>
                </c:pt>
                <c:pt idx="860">
                  <c:v>0.34</c:v>
                </c:pt>
                <c:pt idx="861">
                  <c:v>0.38</c:v>
                </c:pt>
                <c:pt idx="862">
                  <c:v>0.32</c:v>
                </c:pt>
                <c:pt idx="863">
                  <c:v>0.28000000000000003</c:v>
                </c:pt>
                <c:pt idx="864">
                  <c:v>0.34</c:v>
                </c:pt>
                <c:pt idx="865">
                  <c:v>0.7</c:v>
                </c:pt>
                <c:pt idx="866">
                  <c:v>0.86</c:v>
                </c:pt>
                <c:pt idx="867">
                  <c:v>0.88</c:v>
                </c:pt>
                <c:pt idx="868">
                  <c:v>0.64</c:v>
                </c:pt>
                <c:pt idx="869">
                  <c:v>0.54</c:v>
                </c:pt>
                <c:pt idx="870">
                  <c:v>0.32</c:v>
                </c:pt>
                <c:pt idx="871">
                  <c:v>0.86</c:v>
                </c:pt>
                <c:pt idx="872">
                  <c:v>0.66</c:v>
                </c:pt>
                <c:pt idx="873">
                  <c:v>0.84</c:v>
                </c:pt>
                <c:pt idx="874">
                  <c:v>0.44</c:v>
                </c:pt>
                <c:pt idx="875">
                  <c:v>0.9</c:v>
                </c:pt>
                <c:pt idx="876">
                  <c:v>0.86</c:v>
                </c:pt>
                <c:pt idx="877">
                  <c:v>0.74</c:v>
                </c:pt>
                <c:pt idx="878">
                  <c:v>0.9</c:v>
                </c:pt>
                <c:pt idx="879">
                  <c:v>0.76</c:v>
                </c:pt>
                <c:pt idx="880">
                  <c:v>0.9</c:v>
                </c:pt>
                <c:pt idx="881">
                  <c:v>0.88</c:v>
                </c:pt>
                <c:pt idx="882">
                  <c:v>0.88</c:v>
                </c:pt>
                <c:pt idx="883">
                  <c:v>0.82</c:v>
                </c:pt>
                <c:pt idx="884">
                  <c:v>0.82</c:v>
                </c:pt>
                <c:pt idx="885">
                  <c:v>0.84</c:v>
                </c:pt>
                <c:pt idx="886">
                  <c:v>0.84</c:v>
                </c:pt>
                <c:pt idx="887">
                  <c:v>0.78</c:v>
                </c:pt>
                <c:pt idx="888">
                  <c:v>0.78</c:v>
                </c:pt>
                <c:pt idx="889">
                  <c:v>0.8</c:v>
                </c:pt>
                <c:pt idx="890">
                  <c:v>0.66</c:v>
                </c:pt>
                <c:pt idx="891">
                  <c:v>0.7</c:v>
                </c:pt>
                <c:pt idx="892">
                  <c:v>0.6</c:v>
                </c:pt>
                <c:pt idx="893">
                  <c:v>0.76</c:v>
                </c:pt>
                <c:pt idx="894">
                  <c:v>0.62</c:v>
                </c:pt>
                <c:pt idx="895">
                  <c:v>0.68</c:v>
                </c:pt>
                <c:pt idx="896">
                  <c:v>0.72</c:v>
                </c:pt>
                <c:pt idx="897">
                  <c:v>0.56000000000000005</c:v>
                </c:pt>
                <c:pt idx="898">
                  <c:v>0.66</c:v>
                </c:pt>
                <c:pt idx="899">
                  <c:v>0.68</c:v>
                </c:pt>
                <c:pt idx="900">
                  <c:v>0.6</c:v>
                </c:pt>
                <c:pt idx="901">
                  <c:v>0.68</c:v>
                </c:pt>
                <c:pt idx="902">
                  <c:v>0.48</c:v>
                </c:pt>
                <c:pt idx="903">
                  <c:v>0.66</c:v>
                </c:pt>
                <c:pt idx="904">
                  <c:v>0.54</c:v>
                </c:pt>
                <c:pt idx="905">
                  <c:v>0.6</c:v>
                </c:pt>
                <c:pt idx="906">
                  <c:v>0.54</c:v>
                </c:pt>
                <c:pt idx="907">
                  <c:v>0.6</c:v>
                </c:pt>
                <c:pt idx="908">
                  <c:v>0.52</c:v>
                </c:pt>
                <c:pt idx="909">
                  <c:v>0.52</c:v>
                </c:pt>
                <c:pt idx="910">
                  <c:v>0.64</c:v>
                </c:pt>
                <c:pt idx="911">
                  <c:v>0.46</c:v>
                </c:pt>
                <c:pt idx="912">
                  <c:v>0.46</c:v>
                </c:pt>
                <c:pt idx="913">
                  <c:v>0.5</c:v>
                </c:pt>
                <c:pt idx="914">
                  <c:v>0.46</c:v>
                </c:pt>
                <c:pt idx="915">
                  <c:v>0.38</c:v>
                </c:pt>
                <c:pt idx="916">
                  <c:v>0.4</c:v>
                </c:pt>
                <c:pt idx="917">
                  <c:v>0.36</c:v>
                </c:pt>
                <c:pt idx="918">
                  <c:v>0.22</c:v>
                </c:pt>
                <c:pt idx="919">
                  <c:v>0.3</c:v>
                </c:pt>
                <c:pt idx="920">
                  <c:v>0.86</c:v>
                </c:pt>
                <c:pt idx="921">
                  <c:v>0.84</c:v>
                </c:pt>
                <c:pt idx="922">
                  <c:v>0.64</c:v>
                </c:pt>
                <c:pt idx="923">
                  <c:v>0.86</c:v>
                </c:pt>
                <c:pt idx="924">
                  <c:v>0.9</c:v>
                </c:pt>
                <c:pt idx="925">
                  <c:v>0.86</c:v>
                </c:pt>
                <c:pt idx="926">
                  <c:v>0.78</c:v>
                </c:pt>
                <c:pt idx="927">
                  <c:v>0.64</c:v>
                </c:pt>
                <c:pt idx="928">
                  <c:v>0.7</c:v>
                </c:pt>
                <c:pt idx="929">
                  <c:v>0.22</c:v>
                </c:pt>
                <c:pt idx="930">
                  <c:v>0.34</c:v>
                </c:pt>
                <c:pt idx="931">
                  <c:v>0.9</c:v>
                </c:pt>
                <c:pt idx="932">
                  <c:v>0.82</c:v>
                </c:pt>
                <c:pt idx="933">
                  <c:v>0.86</c:v>
                </c:pt>
                <c:pt idx="934">
                  <c:v>0.88</c:v>
                </c:pt>
                <c:pt idx="935">
                  <c:v>0.86</c:v>
                </c:pt>
                <c:pt idx="936">
                  <c:v>0.84</c:v>
                </c:pt>
                <c:pt idx="937">
                  <c:v>0.88</c:v>
                </c:pt>
                <c:pt idx="938">
                  <c:v>0.78</c:v>
                </c:pt>
                <c:pt idx="939">
                  <c:v>0.82</c:v>
                </c:pt>
                <c:pt idx="940">
                  <c:v>0.86</c:v>
                </c:pt>
                <c:pt idx="941">
                  <c:v>0.8</c:v>
                </c:pt>
                <c:pt idx="942">
                  <c:v>0.57999999999999996</c:v>
                </c:pt>
                <c:pt idx="943">
                  <c:v>0.56000000000000005</c:v>
                </c:pt>
                <c:pt idx="944">
                  <c:v>0.36</c:v>
                </c:pt>
                <c:pt idx="945">
                  <c:v>0.32</c:v>
                </c:pt>
                <c:pt idx="946">
                  <c:v>0.8</c:v>
                </c:pt>
                <c:pt idx="947">
                  <c:v>0.8</c:v>
                </c:pt>
                <c:pt idx="948">
                  <c:v>0.84</c:v>
                </c:pt>
                <c:pt idx="949">
                  <c:v>0.82</c:v>
                </c:pt>
                <c:pt idx="950">
                  <c:v>0.74</c:v>
                </c:pt>
                <c:pt idx="951">
                  <c:v>0.82</c:v>
                </c:pt>
                <c:pt idx="952">
                  <c:v>0.84</c:v>
                </c:pt>
                <c:pt idx="953">
                  <c:v>0.84</c:v>
                </c:pt>
                <c:pt idx="954">
                  <c:v>0.76</c:v>
                </c:pt>
                <c:pt idx="955">
                  <c:v>0.82</c:v>
                </c:pt>
                <c:pt idx="956">
                  <c:v>0.78</c:v>
                </c:pt>
                <c:pt idx="957">
                  <c:v>0.84</c:v>
                </c:pt>
                <c:pt idx="958">
                  <c:v>0.8</c:v>
                </c:pt>
                <c:pt idx="959">
                  <c:v>0.8</c:v>
                </c:pt>
                <c:pt idx="960">
                  <c:v>0.86</c:v>
                </c:pt>
                <c:pt idx="961">
                  <c:v>0.74</c:v>
                </c:pt>
                <c:pt idx="962">
                  <c:v>0.76</c:v>
                </c:pt>
                <c:pt idx="963">
                  <c:v>0.76</c:v>
                </c:pt>
                <c:pt idx="964">
                  <c:v>0.82</c:v>
                </c:pt>
                <c:pt idx="965">
                  <c:v>0.8</c:v>
                </c:pt>
                <c:pt idx="966">
                  <c:v>0.8</c:v>
                </c:pt>
                <c:pt idx="967">
                  <c:v>0.6</c:v>
                </c:pt>
                <c:pt idx="968">
                  <c:v>0.8</c:v>
                </c:pt>
                <c:pt idx="969">
                  <c:v>0.78</c:v>
                </c:pt>
                <c:pt idx="970">
                  <c:v>0.66</c:v>
                </c:pt>
                <c:pt idx="971">
                  <c:v>0.72</c:v>
                </c:pt>
                <c:pt idx="972">
                  <c:v>0.74</c:v>
                </c:pt>
                <c:pt idx="973">
                  <c:v>0.76</c:v>
                </c:pt>
                <c:pt idx="974">
                  <c:v>0.62</c:v>
                </c:pt>
                <c:pt idx="975">
                  <c:v>0.8</c:v>
                </c:pt>
                <c:pt idx="976">
                  <c:v>0.76</c:v>
                </c:pt>
                <c:pt idx="977">
                  <c:v>0.82</c:v>
                </c:pt>
                <c:pt idx="978">
                  <c:v>0.82</c:v>
                </c:pt>
                <c:pt idx="979">
                  <c:v>0.8</c:v>
                </c:pt>
                <c:pt idx="980">
                  <c:v>0.8</c:v>
                </c:pt>
                <c:pt idx="981">
                  <c:v>0.74</c:v>
                </c:pt>
                <c:pt idx="982">
                  <c:v>0.78</c:v>
                </c:pt>
                <c:pt idx="983">
                  <c:v>0.7</c:v>
                </c:pt>
                <c:pt idx="984">
                  <c:v>0.76</c:v>
                </c:pt>
                <c:pt idx="985">
                  <c:v>0.66</c:v>
                </c:pt>
                <c:pt idx="986">
                  <c:v>0.82</c:v>
                </c:pt>
                <c:pt idx="987">
                  <c:v>0.78</c:v>
                </c:pt>
                <c:pt idx="988">
                  <c:v>0.8</c:v>
                </c:pt>
                <c:pt idx="989">
                  <c:v>0.72</c:v>
                </c:pt>
                <c:pt idx="990">
                  <c:v>0.82</c:v>
                </c:pt>
                <c:pt idx="991">
                  <c:v>0.7</c:v>
                </c:pt>
                <c:pt idx="992">
                  <c:v>0.78</c:v>
                </c:pt>
                <c:pt idx="993">
                  <c:v>0.82</c:v>
                </c:pt>
                <c:pt idx="994">
                  <c:v>0.8</c:v>
                </c:pt>
                <c:pt idx="995">
                  <c:v>0.78</c:v>
                </c:pt>
                <c:pt idx="996">
                  <c:v>0.78</c:v>
                </c:pt>
                <c:pt idx="997">
                  <c:v>0.7</c:v>
                </c:pt>
                <c:pt idx="998">
                  <c:v>0.74</c:v>
                </c:pt>
                <c:pt idx="999">
                  <c:v>0.68</c:v>
                </c:pt>
                <c:pt idx="1000">
                  <c:v>0.76</c:v>
                </c:pt>
                <c:pt idx="1001">
                  <c:v>0.78</c:v>
                </c:pt>
                <c:pt idx="1002">
                  <c:v>0.78</c:v>
                </c:pt>
                <c:pt idx="1003">
                  <c:v>0.74</c:v>
                </c:pt>
                <c:pt idx="1004">
                  <c:v>0.78</c:v>
                </c:pt>
                <c:pt idx="1005">
                  <c:v>0.82</c:v>
                </c:pt>
                <c:pt idx="1006">
                  <c:v>0.78</c:v>
                </c:pt>
                <c:pt idx="1007">
                  <c:v>0.8</c:v>
                </c:pt>
                <c:pt idx="1008">
                  <c:v>0.78</c:v>
                </c:pt>
                <c:pt idx="1009">
                  <c:v>0.78</c:v>
                </c:pt>
                <c:pt idx="1010">
                  <c:v>0.8</c:v>
                </c:pt>
                <c:pt idx="1011">
                  <c:v>0.78</c:v>
                </c:pt>
                <c:pt idx="1012">
                  <c:v>0.74</c:v>
                </c:pt>
                <c:pt idx="1013">
                  <c:v>0.8</c:v>
                </c:pt>
                <c:pt idx="1014">
                  <c:v>0.64</c:v>
                </c:pt>
                <c:pt idx="1015">
                  <c:v>0.72</c:v>
                </c:pt>
                <c:pt idx="1016">
                  <c:v>0.72</c:v>
                </c:pt>
                <c:pt idx="1017">
                  <c:v>0.68</c:v>
                </c:pt>
                <c:pt idx="1018">
                  <c:v>0.8</c:v>
                </c:pt>
                <c:pt idx="1019">
                  <c:v>0.78</c:v>
                </c:pt>
                <c:pt idx="1020">
                  <c:v>0.74</c:v>
                </c:pt>
                <c:pt idx="1021">
                  <c:v>0.76</c:v>
                </c:pt>
                <c:pt idx="1022">
                  <c:v>0.72</c:v>
                </c:pt>
                <c:pt idx="1023">
                  <c:v>0.68</c:v>
                </c:pt>
                <c:pt idx="1024">
                  <c:v>0.74</c:v>
                </c:pt>
                <c:pt idx="1025">
                  <c:v>0.74</c:v>
                </c:pt>
                <c:pt idx="1026">
                  <c:v>0.68</c:v>
                </c:pt>
                <c:pt idx="1027">
                  <c:v>0.7</c:v>
                </c:pt>
                <c:pt idx="1028">
                  <c:v>0.64</c:v>
                </c:pt>
                <c:pt idx="1029">
                  <c:v>0.7</c:v>
                </c:pt>
                <c:pt idx="1030">
                  <c:v>0.78</c:v>
                </c:pt>
                <c:pt idx="1031">
                  <c:v>0.72</c:v>
                </c:pt>
                <c:pt idx="1032">
                  <c:v>0.7</c:v>
                </c:pt>
                <c:pt idx="1033">
                  <c:v>0.68</c:v>
                </c:pt>
                <c:pt idx="1034">
                  <c:v>0.68</c:v>
                </c:pt>
                <c:pt idx="1035">
                  <c:v>0.68</c:v>
                </c:pt>
                <c:pt idx="1036">
                  <c:v>0.74</c:v>
                </c:pt>
                <c:pt idx="1037">
                  <c:v>0.72</c:v>
                </c:pt>
                <c:pt idx="1038">
                  <c:v>0.68</c:v>
                </c:pt>
                <c:pt idx="1039">
                  <c:v>0.56000000000000005</c:v>
                </c:pt>
                <c:pt idx="1040">
                  <c:v>0.68</c:v>
                </c:pt>
                <c:pt idx="1041">
                  <c:v>0.64</c:v>
                </c:pt>
                <c:pt idx="1042">
                  <c:v>0.68</c:v>
                </c:pt>
                <c:pt idx="1043">
                  <c:v>0.62</c:v>
                </c:pt>
                <c:pt idx="1044">
                  <c:v>0.52</c:v>
                </c:pt>
                <c:pt idx="1045">
                  <c:v>0.72</c:v>
                </c:pt>
                <c:pt idx="1046">
                  <c:v>0.72</c:v>
                </c:pt>
                <c:pt idx="1047">
                  <c:v>0.66</c:v>
                </c:pt>
                <c:pt idx="1048">
                  <c:v>0.52</c:v>
                </c:pt>
                <c:pt idx="1049">
                  <c:v>0.54</c:v>
                </c:pt>
                <c:pt idx="1050">
                  <c:v>0.5</c:v>
                </c:pt>
                <c:pt idx="1051">
                  <c:v>0.56000000000000005</c:v>
                </c:pt>
                <c:pt idx="1052">
                  <c:v>0.57999999999999996</c:v>
                </c:pt>
                <c:pt idx="1053">
                  <c:v>0.5</c:v>
                </c:pt>
                <c:pt idx="1054">
                  <c:v>0.56000000000000005</c:v>
                </c:pt>
                <c:pt idx="1055">
                  <c:v>0.56000000000000005</c:v>
                </c:pt>
                <c:pt idx="1056">
                  <c:v>0.46</c:v>
                </c:pt>
                <c:pt idx="1057">
                  <c:v>0.42</c:v>
                </c:pt>
                <c:pt idx="1058">
                  <c:v>0.56000000000000005</c:v>
                </c:pt>
                <c:pt idx="1059">
                  <c:v>0.44</c:v>
                </c:pt>
                <c:pt idx="1060">
                  <c:v>0.42</c:v>
                </c:pt>
                <c:pt idx="1061">
                  <c:v>0.38</c:v>
                </c:pt>
                <c:pt idx="1062">
                  <c:v>0.36</c:v>
                </c:pt>
                <c:pt idx="1063">
                  <c:v>0.46</c:v>
                </c:pt>
                <c:pt idx="1064">
                  <c:v>0.4</c:v>
                </c:pt>
                <c:pt idx="1065">
                  <c:v>0.36</c:v>
                </c:pt>
                <c:pt idx="1066">
                  <c:v>0.36</c:v>
                </c:pt>
                <c:pt idx="1067">
                  <c:v>0.32</c:v>
                </c:pt>
                <c:pt idx="1068">
                  <c:v>0.3</c:v>
                </c:pt>
                <c:pt idx="1069">
                  <c:v>0.28000000000000003</c:v>
                </c:pt>
                <c:pt idx="1070">
                  <c:v>0.2</c:v>
                </c:pt>
                <c:pt idx="1071">
                  <c:v>0.78</c:v>
                </c:pt>
                <c:pt idx="1072">
                  <c:v>0.82</c:v>
                </c:pt>
                <c:pt idx="1073">
                  <c:v>0.8</c:v>
                </c:pt>
                <c:pt idx="1074">
                  <c:v>0.78</c:v>
                </c:pt>
                <c:pt idx="1075">
                  <c:v>0.68</c:v>
                </c:pt>
                <c:pt idx="1076">
                  <c:v>0.8</c:v>
                </c:pt>
                <c:pt idx="1077">
                  <c:v>0.78</c:v>
                </c:pt>
                <c:pt idx="1078">
                  <c:v>0.76</c:v>
                </c:pt>
                <c:pt idx="1079">
                  <c:v>0.78</c:v>
                </c:pt>
                <c:pt idx="1080">
                  <c:v>0.78</c:v>
                </c:pt>
                <c:pt idx="1081">
                  <c:v>0.74</c:v>
                </c:pt>
                <c:pt idx="1082">
                  <c:v>0.74</c:v>
                </c:pt>
                <c:pt idx="1083">
                  <c:v>0.8</c:v>
                </c:pt>
                <c:pt idx="1084">
                  <c:v>0.82</c:v>
                </c:pt>
                <c:pt idx="1085">
                  <c:v>0.62</c:v>
                </c:pt>
                <c:pt idx="1086">
                  <c:v>0.8</c:v>
                </c:pt>
                <c:pt idx="1087">
                  <c:v>0.74</c:v>
                </c:pt>
                <c:pt idx="1088">
                  <c:v>0.78</c:v>
                </c:pt>
                <c:pt idx="1089">
                  <c:v>0.7</c:v>
                </c:pt>
                <c:pt idx="1090">
                  <c:v>0.54</c:v>
                </c:pt>
                <c:pt idx="1091">
                  <c:v>0.78</c:v>
                </c:pt>
                <c:pt idx="1092">
                  <c:v>0.64</c:v>
                </c:pt>
                <c:pt idx="1093">
                  <c:v>0.72</c:v>
                </c:pt>
                <c:pt idx="1094">
                  <c:v>0.6</c:v>
                </c:pt>
                <c:pt idx="1095">
                  <c:v>0.72</c:v>
                </c:pt>
                <c:pt idx="1096">
                  <c:v>0.68</c:v>
                </c:pt>
                <c:pt idx="1097">
                  <c:v>0.66</c:v>
                </c:pt>
                <c:pt idx="1098">
                  <c:v>0.64</c:v>
                </c:pt>
                <c:pt idx="1099">
                  <c:v>0.62</c:v>
                </c:pt>
                <c:pt idx="1100">
                  <c:v>0.54</c:v>
                </c:pt>
                <c:pt idx="1101">
                  <c:v>0.57999999999999996</c:v>
                </c:pt>
                <c:pt idx="1102">
                  <c:v>0.5</c:v>
                </c:pt>
                <c:pt idx="1103">
                  <c:v>0.34</c:v>
                </c:pt>
                <c:pt idx="1104">
                  <c:v>0.24</c:v>
                </c:pt>
                <c:pt idx="1105">
                  <c:v>0.7</c:v>
                </c:pt>
                <c:pt idx="1106">
                  <c:v>0.84</c:v>
                </c:pt>
                <c:pt idx="1107">
                  <c:v>0.72</c:v>
                </c:pt>
                <c:pt idx="1108">
                  <c:v>0.82</c:v>
                </c:pt>
                <c:pt idx="1109">
                  <c:v>0.76</c:v>
                </c:pt>
                <c:pt idx="1110">
                  <c:v>0.74</c:v>
                </c:pt>
                <c:pt idx="1111">
                  <c:v>0.72</c:v>
                </c:pt>
                <c:pt idx="1112">
                  <c:v>0.32</c:v>
                </c:pt>
                <c:pt idx="1113">
                  <c:v>0.78</c:v>
                </c:pt>
                <c:pt idx="1114">
                  <c:v>0.76</c:v>
                </c:pt>
                <c:pt idx="1115">
                  <c:v>0.42</c:v>
                </c:pt>
                <c:pt idx="1116">
                  <c:v>0.72</c:v>
                </c:pt>
                <c:pt idx="1117">
                  <c:v>0.84</c:v>
                </c:pt>
                <c:pt idx="1118">
                  <c:v>0.72</c:v>
                </c:pt>
                <c:pt idx="1119">
                  <c:v>0.76</c:v>
                </c:pt>
                <c:pt idx="1120">
                  <c:v>0.78</c:v>
                </c:pt>
                <c:pt idx="1121">
                  <c:v>0.72</c:v>
                </c:pt>
                <c:pt idx="1122">
                  <c:v>0.74</c:v>
                </c:pt>
                <c:pt idx="1123">
                  <c:v>0.7</c:v>
                </c:pt>
                <c:pt idx="1124">
                  <c:v>0.76</c:v>
                </c:pt>
                <c:pt idx="1125">
                  <c:v>0.76</c:v>
                </c:pt>
                <c:pt idx="1126">
                  <c:v>0.6</c:v>
                </c:pt>
                <c:pt idx="1127">
                  <c:v>0.5</c:v>
                </c:pt>
                <c:pt idx="1128">
                  <c:v>0.44</c:v>
                </c:pt>
                <c:pt idx="1129">
                  <c:v>0.34</c:v>
                </c:pt>
                <c:pt idx="1130">
                  <c:v>0.3</c:v>
                </c:pt>
                <c:pt idx="1131">
                  <c:v>0.78</c:v>
                </c:pt>
                <c:pt idx="1132">
                  <c:v>0.8</c:v>
                </c:pt>
                <c:pt idx="1133">
                  <c:v>0.72</c:v>
                </c:pt>
                <c:pt idx="1134">
                  <c:v>0.78</c:v>
                </c:pt>
                <c:pt idx="1135">
                  <c:v>0.78</c:v>
                </c:pt>
                <c:pt idx="1136">
                  <c:v>0.74</c:v>
                </c:pt>
                <c:pt idx="1137">
                  <c:v>0.78</c:v>
                </c:pt>
                <c:pt idx="1138">
                  <c:v>0.64</c:v>
                </c:pt>
                <c:pt idx="1139">
                  <c:v>0.56000000000000005</c:v>
                </c:pt>
                <c:pt idx="1140">
                  <c:v>0.46</c:v>
                </c:pt>
                <c:pt idx="1141">
                  <c:v>0.4</c:v>
                </c:pt>
                <c:pt idx="1142">
                  <c:v>0.38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D19-4D32-AACA-20935BD91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8705664"/>
        <c:axId val="2098697984"/>
      </c:scatterChart>
      <c:valAx>
        <c:axId val="2098716704"/>
        <c:scaling>
          <c:orientation val="minMax"/>
          <c:max val="12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STUDENT </a:t>
                </a:r>
              </a:p>
            </c:rich>
          </c:tx>
          <c:layout>
            <c:manualLayout>
              <c:xMode val="edge"/>
              <c:yMode val="edge"/>
              <c:x val="0.47608278057984099"/>
              <c:y val="0.950605221825550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724864"/>
        <c:crosses val="autoZero"/>
        <c:crossBetween val="midCat"/>
        <c:majorUnit val="100"/>
      </c:valAx>
      <c:valAx>
        <c:axId val="209872486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716704"/>
        <c:crosses val="autoZero"/>
        <c:crossBetween val="midCat"/>
      </c:valAx>
      <c:valAx>
        <c:axId val="209869798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705664"/>
        <c:crosses val="max"/>
        <c:crossBetween val="midCat"/>
      </c:valAx>
      <c:valAx>
        <c:axId val="2098705664"/>
        <c:scaling>
          <c:orientation val="minMax"/>
        </c:scaling>
        <c:delete val="1"/>
        <c:axPos val="b"/>
        <c:majorTickMark val="out"/>
        <c:minorTickMark val="none"/>
        <c:tickLblPos val="nextTo"/>
        <c:crossAx val="2098697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4541188528325047"/>
          <c:y val="0.10128733798763004"/>
          <c:w val="0.50917614466032879"/>
          <c:h val="3.87933679440007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  <a:scene3d>
        <a:camera prst="orthographicFront"/>
        <a:lightRig rig="threePt" dir="t"/>
      </a:scene3d>
      <a:sp3d prstMaterial="translucentPowder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  <a:ln>
        <a:solidFill>
          <a:schemeClr val="phClr">
            <a:lumMod val="7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391584</xdr:colOff>
      <xdr:row>5</xdr:row>
      <xdr:rowOff>31750</xdr:rowOff>
    </xdr:from>
    <xdr:to>
      <xdr:col>30</xdr:col>
      <xdr:colOff>204108</xdr:colOff>
      <xdr:row>21</xdr:row>
      <xdr:rowOff>147145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AFC684-6A65-4164-9792-454070E37E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0</xdr:colOff>
      <xdr:row>8</xdr:row>
      <xdr:rowOff>0</xdr:rowOff>
    </xdr:from>
    <xdr:to>
      <xdr:col>45</xdr:col>
      <xdr:colOff>88899</xdr:colOff>
      <xdr:row>22</xdr:row>
      <xdr:rowOff>41428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2AAF183-FF6A-46CF-AFAE-ACA641F589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1126066</xdr:colOff>
      <xdr:row>27</xdr:row>
      <xdr:rowOff>129117</xdr:rowOff>
    </xdr:from>
    <xdr:to>
      <xdr:col>41</xdr:col>
      <xdr:colOff>169334</xdr:colOff>
      <xdr:row>55</xdr:row>
      <xdr:rowOff>23285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E50162-6C13-475B-9E78-A4B81FD7AD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0.09901</cdr:x>
      <cdr:y>0.34224</cdr:y>
    </cdr:from>
    <cdr:to>
      <cdr:x>0.24223</cdr:x>
      <cdr:y>0.38709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B4B765C-7D71-8BF9-F320-9048396F0E51}"/>
            </a:ext>
          </a:extLst>
        </cdr:cNvPr>
        <cdr:cNvSpPr txBox="1"/>
      </cdr:nvSpPr>
      <cdr:spPr>
        <a:xfrm xmlns:a="http://schemas.openxmlformats.org/drawingml/2006/main">
          <a:off x="949325" y="1938338"/>
          <a:ext cx="1373187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0.16359</cdr:x>
      <cdr:y>0.5861</cdr:y>
    </cdr:from>
    <cdr:to>
      <cdr:x>0.25895</cdr:x>
      <cdr:y>0.6814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788D2108-5D76-6104-4E70-392D6BD6745B}"/>
            </a:ext>
          </a:extLst>
        </cdr:cNvPr>
        <cdr:cNvSpPr txBox="1"/>
      </cdr:nvSpPr>
      <cdr:spPr>
        <a:xfrm xmlns:a="http://schemas.openxmlformats.org/drawingml/2006/main">
          <a:off x="1568450" y="3319462"/>
          <a:ext cx="914400" cy="539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0.20498</cdr:x>
      <cdr:y>0.60291</cdr:y>
    </cdr:from>
    <cdr:to>
      <cdr:x>0.277</cdr:x>
      <cdr:y>0.66318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2FA09185-61F8-22BB-F688-09B4F0F27C77}"/>
            </a:ext>
          </a:extLst>
        </cdr:cNvPr>
        <cdr:cNvSpPr txBox="1"/>
      </cdr:nvSpPr>
      <cdr:spPr>
        <a:xfrm xmlns:a="http://schemas.openxmlformats.org/drawingml/2006/main">
          <a:off x="1965325" y="3414712"/>
          <a:ext cx="690562" cy="3413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kern="1200"/>
            <a:t>LOW UTME</a:t>
          </a:r>
        </a:p>
      </cdr:txBody>
    </cdr:sp>
  </cdr:relSizeAnchor>
  <cdr:relSizeAnchor xmlns:cdr="http://schemas.openxmlformats.org/drawingml/2006/chartDrawing">
    <cdr:from>
      <cdr:x>0.44108</cdr:x>
      <cdr:y>0.29487</cdr:y>
    </cdr:from>
    <cdr:to>
      <cdr:x>0.51874</cdr:x>
      <cdr:y>0.35513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118CEE77-7C12-B50D-494E-405B22F1757B}"/>
            </a:ext>
          </a:extLst>
        </cdr:cNvPr>
        <cdr:cNvSpPr txBox="1"/>
      </cdr:nvSpPr>
      <cdr:spPr>
        <a:xfrm xmlns:a="http://schemas.openxmlformats.org/drawingml/2006/main">
          <a:off x="4229100" y="1670049"/>
          <a:ext cx="744537" cy="3413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kern="1200"/>
            <a:t>HIGH PUTME</a:t>
          </a:r>
        </a:p>
      </cdr:txBody>
    </cdr:sp>
  </cdr:relSizeAnchor>
  <cdr:relSizeAnchor xmlns:cdr="http://schemas.openxmlformats.org/drawingml/2006/chartDrawing">
    <cdr:from>
      <cdr:x>0.22352</cdr:x>
      <cdr:y>0.26292</cdr:y>
    </cdr:from>
    <cdr:to>
      <cdr:x>0.31889</cdr:x>
      <cdr:y>0.32318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35B72AEF-F5AD-D6AC-1F82-A149653172E5}"/>
            </a:ext>
          </a:extLst>
        </cdr:cNvPr>
        <cdr:cNvSpPr txBox="1"/>
      </cdr:nvSpPr>
      <cdr:spPr>
        <a:xfrm xmlns:a="http://schemas.openxmlformats.org/drawingml/2006/main">
          <a:off x="2618704" y="1467528"/>
          <a:ext cx="1117332" cy="3363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kern="1200"/>
            <a:t>HIGH PUTME</a:t>
          </a:r>
        </a:p>
      </cdr:txBody>
    </cdr:sp>
  </cdr:relSizeAnchor>
  <cdr:relSizeAnchor xmlns:cdr="http://schemas.openxmlformats.org/drawingml/2006/chartDrawing">
    <cdr:from>
      <cdr:x>0.44456</cdr:x>
      <cdr:y>0.63291</cdr:y>
    </cdr:from>
    <cdr:to>
      <cdr:x>0.53993</cdr:x>
      <cdr:y>0.69317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74212D62-96BC-9E57-8F09-601933B2A46F}"/>
            </a:ext>
          </a:extLst>
        </cdr:cNvPr>
        <cdr:cNvSpPr txBox="1"/>
      </cdr:nvSpPr>
      <cdr:spPr>
        <a:xfrm xmlns:a="http://schemas.openxmlformats.org/drawingml/2006/main">
          <a:off x="4262438" y="3584574"/>
          <a:ext cx="914400" cy="3413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kern="1200"/>
            <a:t>LOW UTME</a:t>
          </a:r>
        </a:p>
      </cdr:txBody>
    </cdr:sp>
  </cdr:relSizeAnchor>
  <cdr:relSizeAnchor xmlns:cdr="http://schemas.openxmlformats.org/drawingml/2006/chartDrawing">
    <cdr:from>
      <cdr:x>0.34393</cdr:x>
      <cdr:y>0.66408</cdr:y>
    </cdr:from>
    <cdr:to>
      <cdr:x>0.4393</cdr:x>
      <cdr:y>0.72434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731DE4BF-4329-27CA-C79B-6711C5D210AD}"/>
            </a:ext>
          </a:extLst>
        </cdr:cNvPr>
        <cdr:cNvSpPr txBox="1"/>
      </cdr:nvSpPr>
      <cdr:spPr>
        <a:xfrm xmlns:a="http://schemas.openxmlformats.org/drawingml/2006/main">
          <a:off x="4057080" y="3668732"/>
          <a:ext cx="1125002" cy="3329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kern="1200"/>
            <a:t>LOW UTME</a:t>
          </a:r>
        </a:p>
      </cdr:txBody>
    </cdr:sp>
  </cdr:relSizeAnchor>
  <cdr:relSizeAnchor xmlns:cdr="http://schemas.openxmlformats.org/drawingml/2006/chartDrawing">
    <cdr:from>
      <cdr:x>0.33307</cdr:x>
      <cdr:y>0.24212</cdr:y>
    </cdr:from>
    <cdr:to>
      <cdr:x>0.42844</cdr:x>
      <cdr:y>0.30238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CBE1B639-6C55-A440-C1A6-EFF1925E22B0}"/>
            </a:ext>
          </a:extLst>
        </cdr:cNvPr>
        <cdr:cNvSpPr txBox="1"/>
      </cdr:nvSpPr>
      <cdr:spPr>
        <a:xfrm xmlns:a="http://schemas.openxmlformats.org/drawingml/2006/main">
          <a:off x="3928985" y="1337593"/>
          <a:ext cx="1125002" cy="3329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kern="1200"/>
            <a:t>HIGH PUTME</a:t>
          </a:r>
        </a:p>
      </cdr:txBody>
    </cdr:sp>
  </cdr:relSizeAnchor>
  <cdr:relSizeAnchor xmlns:cdr="http://schemas.openxmlformats.org/drawingml/2006/chartDrawing">
    <cdr:from>
      <cdr:x>0.0667</cdr:x>
      <cdr:y>0.17456</cdr:y>
    </cdr:from>
    <cdr:to>
      <cdr:x>0.16207</cdr:x>
      <cdr:y>0.23482</cdr:y>
    </cdr:to>
    <cdr:sp macro="" textlink="">
      <cdr:nvSpPr>
        <cdr:cNvPr id="10" name="TextBox 9">
          <a:extLst xmlns:a="http://schemas.openxmlformats.org/drawingml/2006/main">
            <a:ext uri="{FF2B5EF4-FFF2-40B4-BE49-F238E27FC236}">
              <a16:creationId xmlns:a16="http://schemas.microsoft.com/office/drawing/2014/main" id="{9565D23B-361B-B237-CC8C-071A6E6923F3}"/>
            </a:ext>
          </a:extLst>
        </cdr:cNvPr>
        <cdr:cNvSpPr txBox="1"/>
      </cdr:nvSpPr>
      <cdr:spPr>
        <a:xfrm xmlns:a="http://schemas.openxmlformats.org/drawingml/2006/main">
          <a:off x="781438" y="974344"/>
          <a:ext cx="1117332" cy="3363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kern="1200"/>
            <a:t>HIGH PUTME</a:t>
          </a:r>
        </a:p>
      </cdr:txBody>
    </cdr:sp>
  </cdr:relSizeAnchor>
  <cdr:relSizeAnchor xmlns:cdr="http://schemas.openxmlformats.org/drawingml/2006/chartDrawing">
    <cdr:from>
      <cdr:x>0.06623</cdr:x>
      <cdr:y>0.58281</cdr:y>
    </cdr:from>
    <cdr:to>
      <cdr:x>0.13825</cdr:x>
      <cdr:y>0.64308</cdr:y>
    </cdr:to>
    <cdr:sp macro="" textlink="">
      <cdr:nvSpPr>
        <cdr:cNvPr id="11" name="TextBox 10">
          <a:extLst xmlns:a="http://schemas.openxmlformats.org/drawingml/2006/main">
            <a:ext uri="{FF2B5EF4-FFF2-40B4-BE49-F238E27FC236}">
              <a16:creationId xmlns:a16="http://schemas.microsoft.com/office/drawing/2014/main" id="{1BA582E9-9612-2298-200B-C1BDFEE9EF59}"/>
            </a:ext>
          </a:extLst>
        </cdr:cNvPr>
        <cdr:cNvSpPr txBox="1"/>
      </cdr:nvSpPr>
      <cdr:spPr>
        <a:xfrm xmlns:a="http://schemas.openxmlformats.org/drawingml/2006/main">
          <a:off x="775894" y="3253049"/>
          <a:ext cx="843769" cy="3364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kern="1200"/>
            <a:t>LOW UTME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502DA-6BA8-408A-9722-6D508686C329}">
  <dimension ref="A1:AU53160"/>
  <sheetViews>
    <sheetView tabSelected="1" zoomScale="40" zoomScaleNormal="40" workbookViewId="0">
      <selection activeCell="X5" sqref="X5"/>
    </sheetView>
  </sheetViews>
  <sheetFormatPr defaultRowHeight="15.5" x14ac:dyDescent="0.35"/>
  <cols>
    <col min="2" max="2" width="18.7265625" style="12" customWidth="1"/>
    <col min="3" max="4" width="24.26953125" style="12" customWidth="1"/>
    <col min="5" max="5" width="28" customWidth="1"/>
    <col min="6" max="6" width="30.1796875" customWidth="1"/>
    <col min="7" max="7" width="18.453125" customWidth="1"/>
    <col min="8" max="8" width="23.1796875" bestFit="1" customWidth="1"/>
    <col min="9" max="9" width="21.90625" customWidth="1"/>
    <col min="10" max="10" width="15.36328125" customWidth="1"/>
    <col min="11" max="11" width="23.453125" customWidth="1"/>
    <col min="12" max="12" width="21.453125" customWidth="1"/>
    <col min="13" max="13" width="23.26953125" customWidth="1"/>
    <col min="14" max="14" width="27.36328125" customWidth="1"/>
    <col min="15" max="15" width="50.90625" customWidth="1"/>
    <col min="16" max="16" width="18.1796875" customWidth="1"/>
    <col min="17" max="17" width="18.90625" customWidth="1"/>
    <col min="18" max="18" width="82.36328125" customWidth="1"/>
    <col min="20" max="20" width="24.90625" customWidth="1"/>
    <col min="24" max="24" width="28.54296875" customWidth="1"/>
    <col min="25" max="25" width="13.453125" customWidth="1"/>
  </cols>
  <sheetData>
    <row r="1" spans="1:47" x14ac:dyDescent="0.35">
      <c r="A1" s="28" t="s">
        <v>4</v>
      </c>
      <c r="B1" s="13" t="s">
        <v>14</v>
      </c>
      <c r="C1" s="14" t="s">
        <v>0</v>
      </c>
      <c r="D1" s="29" t="s">
        <v>13</v>
      </c>
      <c r="E1" s="28" t="s">
        <v>9</v>
      </c>
      <c r="F1" s="28" t="s">
        <v>8</v>
      </c>
      <c r="G1" s="28" t="s">
        <v>1</v>
      </c>
      <c r="H1" s="28" t="s">
        <v>15</v>
      </c>
      <c r="I1" s="28" t="s">
        <v>16</v>
      </c>
      <c r="J1" s="28" t="s">
        <v>17</v>
      </c>
      <c r="K1" s="28" t="s">
        <v>18</v>
      </c>
      <c r="L1" s="28" t="s">
        <v>19</v>
      </c>
      <c r="M1" s="28" t="s">
        <v>20</v>
      </c>
      <c r="N1" s="28" t="s">
        <v>25</v>
      </c>
      <c r="O1" s="32" t="s">
        <v>35</v>
      </c>
      <c r="P1" s="32" t="s">
        <v>36</v>
      </c>
      <c r="Q1" s="32" t="s">
        <v>37</v>
      </c>
      <c r="R1" s="32" t="s">
        <v>38</v>
      </c>
      <c r="S1" s="31"/>
      <c r="T1" s="31"/>
      <c r="U1" s="31"/>
      <c r="V1" s="31"/>
      <c r="W1" s="31"/>
      <c r="X1" s="31"/>
      <c r="Y1" s="31" t="s">
        <v>21</v>
      </c>
      <c r="Z1" s="31"/>
      <c r="AA1" s="31"/>
      <c r="AB1" s="31"/>
    </row>
    <row r="2" spans="1:47" ht="21" x14ac:dyDescent="0.5">
      <c r="A2">
        <v>2021</v>
      </c>
      <c r="B2" s="15">
        <v>278</v>
      </c>
      <c r="C2" s="15">
        <v>38</v>
      </c>
      <c r="D2" s="12">
        <f>B2/8</f>
        <v>34.75</v>
      </c>
      <c r="E2" s="27">
        <f>B2/400</f>
        <v>0.69499999999999995</v>
      </c>
      <c r="F2" s="27">
        <f>C2/50</f>
        <v>0.76</v>
      </c>
      <c r="G2">
        <f>SUM(C2+D2)</f>
        <v>72.75</v>
      </c>
      <c r="H2">
        <f>IF(G2&gt;=50,1,0)</f>
        <v>1</v>
      </c>
      <c r="I2">
        <f xml:space="preserve"> (D:D - AVERAGE(D:D)) / STDEV(D:D)</f>
        <v>3.4369550793486607</v>
      </c>
      <c r="J2">
        <f xml:space="preserve"> (C:C - AVERAGE(C:C)) / STDEV(C:C)</f>
        <v>0.83070826225106287</v>
      </c>
      <c r="K2">
        <f>1/(1+EXP(-($AD$25 +$AD$26 * I2 +$AD$27 * J2 )))</f>
        <v>0.99999999999587619</v>
      </c>
      <c r="L2">
        <f>IF(K2=0, -1000, IF(K2=1, -1000, H2 * LN(K2) + (1 - H2) * LN(1 - K2)))</f>
        <v>-4.1238124026761843E-12</v>
      </c>
      <c r="M2">
        <f>IF(G2=0, 0,  C2  / G2 )</f>
        <v>0.5223367697594502</v>
      </c>
      <c r="N2">
        <f>IF(G2=0, 0,  D2  / G2 )</f>
        <v>0.47766323024054985</v>
      </c>
      <c r="O2">
        <f>CORREL(B2:B1144, C2:C1144)</f>
        <v>0.13027328595698923</v>
      </c>
      <c r="P2">
        <f>_xlfn.RANK.AVG(B2,$B$2:$B$1144)</f>
        <v>12.5</v>
      </c>
      <c r="Q2">
        <f>_xlfn.RANK.AVG(C2,$C$2:$C$1144)</f>
        <v>297.5</v>
      </c>
      <c r="R2">
        <f>CORREL(P2:P1144, Q2:Q1144)</f>
        <v>0.11807620901648017</v>
      </c>
      <c r="X2" s="33" t="s">
        <v>22</v>
      </c>
      <c r="Y2" s="33"/>
      <c r="Z2" s="33"/>
      <c r="AA2" s="33"/>
      <c r="AB2" s="33"/>
      <c r="AJ2" s="35" t="s">
        <v>26</v>
      </c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</row>
    <row r="3" spans="1:47" x14ac:dyDescent="0.35">
      <c r="A3">
        <v>2021</v>
      </c>
      <c r="B3" s="15">
        <v>217</v>
      </c>
      <c r="C3" s="15">
        <v>43</v>
      </c>
      <c r="D3" s="12">
        <f t="shared" ref="D3:D66" si="0">B3/8</f>
        <v>27.125</v>
      </c>
      <c r="E3" s="27">
        <f t="shared" ref="E3:E66" si="1">B3/400</f>
        <v>0.54249999999999998</v>
      </c>
      <c r="F3" s="27">
        <f t="shared" ref="F3:F66" si="2">C3/50</f>
        <v>0.86</v>
      </c>
      <c r="G3">
        <f t="shared" ref="G3:G66" si="3">SUM(C3+D3)</f>
        <v>70.125</v>
      </c>
      <c r="H3">
        <f t="shared" ref="H3:H66" si="4">IF(G3&gt;=50,1,0)</f>
        <v>1</v>
      </c>
      <c r="I3">
        <f t="shared" ref="I3:I66" si="5" xml:space="preserve"> (D:D - AVERAGE(D:D)) / STDEV(D:D)</f>
        <v>1.2683730589743116</v>
      </c>
      <c r="J3">
        <f t="shared" ref="J3:J66" si="6" xml:space="preserve"> (C:C - AVERAGE(C:C)) / STDEV(C:C)</f>
        <v>1.4084032876544244</v>
      </c>
      <c r="K3">
        <f t="shared" ref="K3:K66" si="7">1/(1+EXP(-($AD$25 +$AD$26 * I3 +$AD$27 * J3 )))</f>
        <v>0.99999999970324049</v>
      </c>
      <c r="L3">
        <f t="shared" ref="L3:L66" si="8">IF(K3=0, -1000, IF(K3=1, -1000, H3 * LN(K3) + (1 - H3) * LN(1 - K3)))</f>
        <v>-2.9675950590186849E-10</v>
      </c>
      <c r="M3">
        <f t="shared" ref="M3:M24" si="9">IF(G3=0, 0,  C3  / G3 )</f>
        <v>0.61319073083778963</v>
      </c>
      <c r="N3">
        <f t="shared" ref="N3:N66" si="10">IF(G3=0, 0,  D3  / G3 )</f>
        <v>0.38680926916221031</v>
      </c>
      <c r="P3">
        <f t="shared" ref="P3:P66" si="11">_xlfn.RANK.AVG(B3,$B$2:$B$1144)</f>
        <v>93.5</v>
      </c>
      <c r="Q3">
        <f t="shared" ref="Q3:Q66" si="12">_xlfn.RANK.AVG(C3,$C$2:$C$1144)</f>
        <v>53.5</v>
      </c>
      <c r="X3" s="30" t="s">
        <v>23</v>
      </c>
      <c r="Y3" s="34" t="s">
        <v>24</v>
      </c>
      <c r="Z3" s="34"/>
      <c r="AA3" s="34"/>
      <c r="AB3" s="34"/>
      <c r="AJ3" s="6" t="s">
        <v>27</v>
      </c>
      <c r="AK3" s="6" t="s">
        <v>28</v>
      </c>
      <c r="AL3" s="6"/>
    </row>
    <row r="4" spans="1:47" x14ac:dyDescent="0.35">
      <c r="A4">
        <v>2021</v>
      </c>
      <c r="B4" s="15">
        <v>250</v>
      </c>
      <c r="C4" s="15">
        <v>38</v>
      </c>
      <c r="D4" s="12">
        <f t="shared" si="0"/>
        <v>31.25</v>
      </c>
      <c r="E4" s="27">
        <f t="shared" si="1"/>
        <v>0.625</v>
      </c>
      <c r="F4" s="27">
        <f t="shared" si="2"/>
        <v>0.76</v>
      </c>
      <c r="G4">
        <f t="shared" si="3"/>
        <v>69.25</v>
      </c>
      <c r="H4">
        <f t="shared" si="4"/>
        <v>1</v>
      </c>
      <c r="I4">
        <f t="shared" si="5"/>
        <v>2.4415403814719103</v>
      </c>
      <c r="J4">
        <f t="shared" si="6"/>
        <v>0.83070826225106287</v>
      </c>
      <c r="K4">
        <f t="shared" si="7"/>
        <v>0.99999999967899234</v>
      </c>
      <c r="L4">
        <f t="shared" si="8"/>
        <v>-3.2100766494559147E-10</v>
      </c>
      <c r="M4">
        <f t="shared" si="9"/>
        <v>0.54873646209386284</v>
      </c>
      <c r="N4">
        <f t="shared" si="10"/>
        <v>0.45126353790613716</v>
      </c>
      <c r="P4">
        <f t="shared" si="11"/>
        <v>34</v>
      </c>
      <c r="Q4">
        <f t="shared" si="12"/>
        <v>297.5</v>
      </c>
      <c r="X4" s="30">
        <f xml:space="preserve"> AVERAGE(M:M)</f>
        <v>0.56588091560750997</v>
      </c>
      <c r="Y4" s="30">
        <f xml:space="preserve"> AVERAGE(N:N)</f>
        <v>0.43411908439249058</v>
      </c>
      <c r="Z4" s="34"/>
      <c r="AA4" s="34"/>
      <c r="AB4" s="34"/>
      <c r="AJ4" t="s">
        <v>29</v>
      </c>
      <c r="AK4" s="2">
        <f>AD26</f>
        <v>4.3747583395611365</v>
      </c>
    </row>
    <row r="5" spans="1:47" x14ac:dyDescent="0.35">
      <c r="A5">
        <v>2021</v>
      </c>
      <c r="B5" s="15">
        <v>228</v>
      </c>
      <c r="C5" s="15">
        <v>35</v>
      </c>
      <c r="D5" s="12">
        <f t="shared" si="0"/>
        <v>28.5</v>
      </c>
      <c r="E5" s="27">
        <f t="shared" si="1"/>
        <v>0.56999999999999995</v>
      </c>
      <c r="F5" s="27">
        <f t="shared" si="2"/>
        <v>0.7</v>
      </c>
      <c r="G5">
        <f t="shared" si="3"/>
        <v>63.5</v>
      </c>
      <c r="H5">
        <f t="shared" si="4"/>
        <v>1</v>
      </c>
      <c r="I5">
        <f t="shared" si="5"/>
        <v>1.6594288331401779</v>
      </c>
      <c r="J5">
        <f t="shared" si="6"/>
        <v>0.48409124700904599</v>
      </c>
      <c r="K5">
        <f t="shared" si="7"/>
        <v>0.99999977597031631</v>
      </c>
      <c r="L5">
        <f t="shared" si="8"/>
        <v>-2.2402970878771441E-7</v>
      </c>
      <c r="M5">
        <f t="shared" si="9"/>
        <v>0.55118110236220474</v>
      </c>
      <c r="N5">
        <f t="shared" si="10"/>
        <v>0.44881889763779526</v>
      </c>
      <c r="P5">
        <f t="shared" si="11"/>
        <v>66.5</v>
      </c>
      <c r="Q5">
        <f t="shared" si="12"/>
        <v>448.5</v>
      </c>
      <c r="AJ5" t="s">
        <v>30</v>
      </c>
      <c r="AK5" s="2">
        <f>AD27</f>
        <v>9.0200997037808648</v>
      </c>
    </row>
    <row r="6" spans="1:47" x14ac:dyDescent="0.35">
      <c r="A6">
        <v>2021</v>
      </c>
      <c r="B6" s="15">
        <v>197</v>
      </c>
      <c r="C6" s="15">
        <v>38</v>
      </c>
      <c r="D6" s="12">
        <f t="shared" si="0"/>
        <v>24.625</v>
      </c>
      <c r="E6" s="27">
        <f t="shared" si="1"/>
        <v>0.49249999999999999</v>
      </c>
      <c r="F6" s="27">
        <f t="shared" si="2"/>
        <v>0.76</v>
      </c>
      <c r="G6">
        <f t="shared" si="3"/>
        <v>62.625</v>
      </c>
      <c r="H6">
        <f t="shared" si="4"/>
        <v>1</v>
      </c>
      <c r="I6">
        <f t="shared" si="5"/>
        <v>0.55736256049091848</v>
      </c>
      <c r="J6">
        <f t="shared" si="6"/>
        <v>0.83070826225106287</v>
      </c>
      <c r="K6">
        <f t="shared" si="7"/>
        <v>0.99999878009148935</v>
      </c>
      <c r="L6">
        <f t="shared" si="8"/>
        <v>-1.2199092547413379E-6</v>
      </c>
      <c r="M6">
        <f t="shared" si="9"/>
        <v>0.60678642714570863</v>
      </c>
      <c r="N6">
        <f t="shared" si="10"/>
        <v>0.39321357285429143</v>
      </c>
      <c r="P6">
        <f t="shared" si="11"/>
        <v>260</v>
      </c>
      <c r="Q6">
        <f t="shared" si="12"/>
        <v>297.5</v>
      </c>
    </row>
    <row r="7" spans="1:47" ht="21" customHeight="1" x14ac:dyDescent="0.35">
      <c r="A7">
        <v>2021</v>
      </c>
      <c r="B7" s="15">
        <v>156</v>
      </c>
      <c r="C7" s="15">
        <v>43</v>
      </c>
      <c r="D7" s="12">
        <f t="shared" si="0"/>
        <v>19.5</v>
      </c>
      <c r="E7" s="27">
        <f t="shared" si="1"/>
        <v>0.39</v>
      </c>
      <c r="F7" s="27">
        <f t="shared" si="2"/>
        <v>0.86</v>
      </c>
      <c r="G7">
        <f t="shared" si="3"/>
        <v>62.5</v>
      </c>
      <c r="H7">
        <f t="shared" si="4"/>
        <v>1</v>
      </c>
      <c r="I7">
        <f t="shared" si="5"/>
        <v>-0.90020896140003748</v>
      </c>
      <c r="J7">
        <f t="shared" si="6"/>
        <v>1.4084032876544244</v>
      </c>
      <c r="K7">
        <f t="shared" si="7"/>
        <v>0.99999608650978267</v>
      </c>
      <c r="L7">
        <f t="shared" si="8"/>
        <v>-3.9134978750560464E-6</v>
      </c>
      <c r="M7">
        <f t="shared" si="9"/>
        <v>0.68799999999999994</v>
      </c>
      <c r="N7">
        <f t="shared" si="10"/>
        <v>0.312</v>
      </c>
      <c r="P7">
        <f t="shared" si="11"/>
        <v>968</v>
      </c>
      <c r="Q7">
        <f t="shared" si="12"/>
        <v>53.5</v>
      </c>
      <c r="Y7" t="s">
        <v>3</v>
      </c>
    </row>
    <row r="8" spans="1:47" x14ac:dyDescent="0.35">
      <c r="A8">
        <v>2021</v>
      </c>
      <c r="B8" s="15">
        <v>189</v>
      </c>
      <c r="C8" s="15">
        <v>38</v>
      </c>
      <c r="D8" s="12">
        <f t="shared" si="0"/>
        <v>23.625</v>
      </c>
      <c r="E8" s="27">
        <f t="shared" si="1"/>
        <v>0.47249999999999998</v>
      </c>
      <c r="F8" s="27">
        <f t="shared" si="2"/>
        <v>0.76</v>
      </c>
      <c r="G8">
        <f t="shared" si="3"/>
        <v>61.625</v>
      </c>
      <c r="H8">
        <f t="shared" si="4"/>
        <v>1</v>
      </c>
      <c r="I8">
        <f t="shared" si="5"/>
        <v>0.27295836109756116</v>
      </c>
      <c r="J8">
        <f t="shared" si="6"/>
        <v>0.83070826225106287</v>
      </c>
      <c r="K8">
        <f t="shared" si="7"/>
        <v>0.99999576673952317</v>
      </c>
      <c r="L8">
        <f t="shared" si="8"/>
        <v>-4.2332694370993474E-6</v>
      </c>
      <c r="M8">
        <f t="shared" si="9"/>
        <v>0.61663286004056794</v>
      </c>
      <c r="N8">
        <f t="shared" si="10"/>
        <v>0.38336713995943206</v>
      </c>
      <c r="P8">
        <f t="shared" si="11"/>
        <v>357.5</v>
      </c>
      <c r="Q8">
        <f t="shared" si="12"/>
        <v>297.5</v>
      </c>
    </row>
    <row r="9" spans="1:47" x14ac:dyDescent="0.35">
      <c r="A9">
        <v>2021</v>
      </c>
      <c r="B9" s="15">
        <v>180</v>
      </c>
      <c r="C9" s="15">
        <v>38</v>
      </c>
      <c r="D9" s="12">
        <f t="shared" si="0"/>
        <v>22.5</v>
      </c>
      <c r="E9" s="27">
        <f t="shared" si="1"/>
        <v>0.45</v>
      </c>
      <c r="F9" s="27">
        <f t="shared" si="2"/>
        <v>0.76</v>
      </c>
      <c r="G9">
        <f t="shared" si="3"/>
        <v>60.5</v>
      </c>
      <c r="H9">
        <f t="shared" si="4"/>
        <v>1</v>
      </c>
      <c r="I9">
        <f t="shared" si="5"/>
        <v>-4.6996363219965739E-2</v>
      </c>
      <c r="J9">
        <f t="shared" si="6"/>
        <v>0.83070826225106287</v>
      </c>
      <c r="K9">
        <f t="shared" si="7"/>
        <v>0.99998283823122358</v>
      </c>
      <c r="L9">
        <f t="shared" si="8"/>
        <v>-1.7161916041257826E-5</v>
      </c>
      <c r="M9">
        <f t="shared" si="9"/>
        <v>0.62809917355371903</v>
      </c>
      <c r="N9">
        <f t="shared" si="10"/>
        <v>0.37190082644628097</v>
      </c>
      <c r="P9">
        <f t="shared" si="11"/>
        <v>528</v>
      </c>
      <c r="Q9">
        <f t="shared" si="12"/>
        <v>297.5</v>
      </c>
    </row>
    <row r="10" spans="1:47" x14ac:dyDescent="0.35">
      <c r="A10">
        <v>2021</v>
      </c>
      <c r="B10" s="15">
        <v>129</v>
      </c>
      <c r="C10" s="15">
        <v>44</v>
      </c>
      <c r="D10" s="12">
        <f t="shared" si="0"/>
        <v>16.125</v>
      </c>
      <c r="E10" s="27">
        <f t="shared" si="1"/>
        <v>0.32250000000000001</v>
      </c>
      <c r="F10" s="27">
        <f t="shared" si="2"/>
        <v>0.88</v>
      </c>
      <c r="G10">
        <f t="shared" si="3"/>
        <v>60.125</v>
      </c>
      <c r="H10">
        <f t="shared" si="4"/>
        <v>1</v>
      </c>
      <c r="I10">
        <f t="shared" si="5"/>
        <v>-1.8600731343526182</v>
      </c>
      <c r="J10">
        <f t="shared" si="6"/>
        <v>1.5239422927350967</v>
      </c>
      <c r="K10">
        <f t="shared" si="7"/>
        <v>0.99990804107455322</v>
      </c>
      <c r="L10">
        <f t="shared" si="8"/>
        <v>-9.1963153927995567E-5</v>
      </c>
      <c r="M10">
        <f t="shared" si="9"/>
        <v>0.73180873180873185</v>
      </c>
      <c r="N10">
        <f t="shared" si="10"/>
        <v>0.26819126819126821</v>
      </c>
      <c r="P10">
        <f t="shared" si="11"/>
        <v>1132</v>
      </c>
      <c r="Q10">
        <f t="shared" si="12"/>
        <v>26.5</v>
      </c>
    </row>
    <row r="11" spans="1:47" x14ac:dyDescent="0.35">
      <c r="A11">
        <v>2021</v>
      </c>
      <c r="B11" s="15">
        <v>184</v>
      </c>
      <c r="C11" s="15">
        <v>37</v>
      </c>
      <c r="D11" s="12">
        <f t="shared" si="0"/>
        <v>23</v>
      </c>
      <c r="E11" s="27">
        <f t="shared" si="1"/>
        <v>0.46</v>
      </c>
      <c r="F11" s="27">
        <f t="shared" si="2"/>
        <v>0.74</v>
      </c>
      <c r="G11">
        <f t="shared" si="3"/>
        <v>60</v>
      </c>
      <c r="H11">
        <f t="shared" si="4"/>
        <v>1</v>
      </c>
      <c r="I11">
        <f t="shared" si="5"/>
        <v>9.5205736476712891E-2</v>
      </c>
      <c r="J11">
        <f t="shared" si="6"/>
        <v>0.71516925717039059</v>
      </c>
      <c r="K11">
        <f t="shared" si="7"/>
        <v>0.99997387876125099</v>
      </c>
      <c r="L11">
        <f t="shared" si="8"/>
        <v>-2.6121579914508635E-5</v>
      </c>
      <c r="M11">
        <f t="shared" si="9"/>
        <v>0.6166666666666667</v>
      </c>
      <c r="N11">
        <f t="shared" si="10"/>
        <v>0.38333333333333336</v>
      </c>
      <c r="P11">
        <f t="shared" si="11"/>
        <v>445</v>
      </c>
      <c r="Q11">
        <f t="shared" si="12"/>
        <v>351</v>
      </c>
    </row>
    <row r="12" spans="1:47" x14ac:dyDescent="0.35">
      <c r="A12">
        <v>2021</v>
      </c>
      <c r="B12" s="15">
        <v>137</v>
      </c>
      <c r="C12" s="15">
        <v>42</v>
      </c>
      <c r="D12" s="12">
        <f t="shared" si="0"/>
        <v>17.125</v>
      </c>
      <c r="E12" s="27">
        <f t="shared" si="1"/>
        <v>0.34250000000000003</v>
      </c>
      <c r="F12" s="27">
        <f t="shared" si="2"/>
        <v>0.84</v>
      </c>
      <c r="G12">
        <f t="shared" si="3"/>
        <v>59.125</v>
      </c>
      <c r="H12">
        <f t="shared" si="4"/>
        <v>1</v>
      </c>
      <c r="I12">
        <f t="shared" si="5"/>
        <v>-1.575668934959261</v>
      </c>
      <c r="J12">
        <f t="shared" si="6"/>
        <v>1.2928642825737522</v>
      </c>
      <c r="K12">
        <f t="shared" si="7"/>
        <v>0.99978698384944487</v>
      </c>
      <c r="L12">
        <f t="shared" si="8"/>
        <v>-2.1303884171777952E-4</v>
      </c>
      <c r="M12">
        <f t="shared" si="9"/>
        <v>0.71035940803382669</v>
      </c>
      <c r="N12">
        <f t="shared" si="10"/>
        <v>0.28964059196617337</v>
      </c>
      <c r="P12">
        <f t="shared" si="11"/>
        <v>1116.5</v>
      </c>
      <c r="Q12">
        <f t="shared" si="12"/>
        <v>90.5</v>
      </c>
    </row>
    <row r="13" spans="1:47" x14ac:dyDescent="0.35">
      <c r="A13">
        <v>2021</v>
      </c>
      <c r="B13" s="15">
        <v>159</v>
      </c>
      <c r="C13" s="15">
        <v>39</v>
      </c>
      <c r="D13" s="12">
        <f t="shared" si="0"/>
        <v>19.875</v>
      </c>
      <c r="E13" s="27">
        <f t="shared" si="1"/>
        <v>0.39750000000000002</v>
      </c>
      <c r="F13" s="27">
        <f t="shared" si="2"/>
        <v>0.78</v>
      </c>
      <c r="G13">
        <f t="shared" si="3"/>
        <v>58.875</v>
      </c>
      <c r="H13">
        <f t="shared" si="4"/>
        <v>1</v>
      </c>
      <c r="I13">
        <f t="shared" si="5"/>
        <v>-0.7935573866275285</v>
      </c>
      <c r="J13">
        <f t="shared" si="6"/>
        <v>0.94624726733173525</v>
      </c>
      <c r="K13">
        <f t="shared" si="7"/>
        <v>0.99984139871203737</v>
      </c>
      <c r="L13">
        <f t="shared" si="8"/>
        <v>-1.5861386647690251E-4</v>
      </c>
      <c r="M13">
        <f t="shared" si="9"/>
        <v>0.66242038216560506</v>
      </c>
      <c r="N13">
        <f t="shared" si="10"/>
        <v>0.33757961783439489</v>
      </c>
      <c r="P13">
        <f t="shared" si="11"/>
        <v>923</v>
      </c>
      <c r="Q13">
        <f t="shared" si="12"/>
        <v>233</v>
      </c>
    </row>
    <row r="14" spans="1:47" x14ac:dyDescent="0.35">
      <c r="A14">
        <v>2021</v>
      </c>
      <c r="B14" s="15">
        <v>175</v>
      </c>
      <c r="C14" s="15">
        <v>37</v>
      </c>
      <c r="D14" s="12">
        <f t="shared" si="0"/>
        <v>21.875</v>
      </c>
      <c r="E14" s="27">
        <f t="shared" si="1"/>
        <v>0.4375</v>
      </c>
      <c r="F14" s="27">
        <f t="shared" si="2"/>
        <v>0.74</v>
      </c>
      <c r="G14">
        <f t="shared" si="3"/>
        <v>58.875</v>
      </c>
      <c r="H14">
        <f t="shared" si="4"/>
        <v>1</v>
      </c>
      <c r="I14">
        <f t="shared" si="5"/>
        <v>-0.22474898784081401</v>
      </c>
      <c r="J14">
        <f t="shared" si="6"/>
        <v>0.71516925717039059</v>
      </c>
      <c r="K14">
        <f t="shared" si="7"/>
        <v>0.99989411076935375</v>
      </c>
      <c r="L14">
        <f t="shared" si="8"/>
        <v>-1.0589483730662689E-4</v>
      </c>
      <c r="M14">
        <f t="shared" si="9"/>
        <v>0.6284501061571125</v>
      </c>
      <c r="N14">
        <f t="shared" si="10"/>
        <v>0.37154989384288745</v>
      </c>
      <c r="P14">
        <f t="shared" si="11"/>
        <v>631.5</v>
      </c>
      <c r="Q14">
        <f t="shared" si="12"/>
        <v>351</v>
      </c>
    </row>
    <row r="15" spans="1:47" x14ac:dyDescent="0.35">
      <c r="A15">
        <v>2021</v>
      </c>
      <c r="B15" s="15">
        <v>189</v>
      </c>
      <c r="C15" s="15">
        <v>35</v>
      </c>
      <c r="D15" s="12">
        <f t="shared" si="0"/>
        <v>23.625</v>
      </c>
      <c r="E15" s="27">
        <f t="shared" si="1"/>
        <v>0.47249999999999998</v>
      </c>
      <c r="F15" s="27">
        <f t="shared" si="2"/>
        <v>0.7</v>
      </c>
      <c r="G15">
        <f t="shared" si="3"/>
        <v>58.625</v>
      </c>
      <c r="H15">
        <f t="shared" si="4"/>
        <v>1</v>
      </c>
      <c r="I15">
        <f t="shared" si="5"/>
        <v>0.27295836109756116</v>
      </c>
      <c r="J15">
        <f t="shared" si="6"/>
        <v>0.48409124700904599</v>
      </c>
      <c r="K15">
        <f t="shared" si="7"/>
        <v>0.99990351377294351</v>
      </c>
      <c r="L15">
        <f t="shared" si="8"/>
        <v>-9.6490882151934731E-5</v>
      </c>
      <c r="M15">
        <f t="shared" si="9"/>
        <v>0.59701492537313428</v>
      </c>
      <c r="N15">
        <f t="shared" si="10"/>
        <v>0.40298507462686567</v>
      </c>
      <c r="P15">
        <f t="shared" si="11"/>
        <v>357.5</v>
      </c>
      <c r="Q15">
        <f t="shared" si="12"/>
        <v>448.5</v>
      </c>
    </row>
    <row r="16" spans="1:47" x14ac:dyDescent="0.35">
      <c r="A16">
        <v>2021</v>
      </c>
      <c r="B16" s="15">
        <v>189</v>
      </c>
      <c r="C16" s="15">
        <v>35</v>
      </c>
      <c r="D16" s="12">
        <f t="shared" si="0"/>
        <v>23.625</v>
      </c>
      <c r="E16" s="27">
        <f t="shared" si="1"/>
        <v>0.47249999999999998</v>
      </c>
      <c r="F16" s="27">
        <f t="shared" si="2"/>
        <v>0.7</v>
      </c>
      <c r="G16">
        <f t="shared" si="3"/>
        <v>58.625</v>
      </c>
      <c r="H16">
        <f t="shared" si="4"/>
        <v>1</v>
      </c>
      <c r="I16">
        <f t="shared" si="5"/>
        <v>0.27295836109756116</v>
      </c>
      <c r="J16">
        <f t="shared" si="6"/>
        <v>0.48409124700904599</v>
      </c>
      <c r="K16">
        <f t="shared" si="7"/>
        <v>0.99990351377294351</v>
      </c>
      <c r="L16">
        <f t="shared" si="8"/>
        <v>-9.6490882151934731E-5</v>
      </c>
      <c r="M16">
        <f t="shared" si="9"/>
        <v>0.59701492537313428</v>
      </c>
      <c r="N16">
        <f t="shared" si="10"/>
        <v>0.40298507462686567</v>
      </c>
      <c r="P16">
        <f t="shared" si="11"/>
        <v>357.5</v>
      </c>
      <c r="Q16">
        <f t="shared" si="12"/>
        <v>448.5</v>
      </c>
    </row>
    <row r="17" spans="1:30" x14ac:dyDescent="0.35">
      <c r="A17">
        <v>2021</v>
      </c>
      <c r="B17" s="15">
        <v>151</v>
      </c>
      <c r="C17" s="15">
        <v>39</v>
      </c>
      <c r="D17" s="12">
        <f t="shared" si="0"/>
        <v>18.875</v>
      </c>
      <c r="E17" s="27">
        <f t="shared" si="1"/>
        <v>0.3775</v>
      </c>
      <c r="F17" s="27">
        <f t="shared" si="2"/>
        <v>0.78</v>
      </c>
      <c r="G17">
        <f t="shared" si="3"/>
        <v>57.875</v>
      </c>
      <c r="H17">
        <f t="shared" si="4"/>
        <v>1</v>
      </c>
      <c r="I17">
        <f t="shared" si="5"/>
        <v>-1.0779615860208858</v>
      </c>
      <c r="J17">
        <f t="shared" si="6"/>
        <v>0.94624726733173525</v>
      </c>
      <c r="K17">
        <f t="shared" si="7"/>
        <v>0.99944984427206962</v>
      </c>
      <c r="L17">
        <f t="shared" si="8"/>
        <v>-5.5030711912123348E-4</v>
      </c>
      <c r="M17">
        <f t="shared" si="9"/>
        <v>0.67386609071274295</v>
      </c>
      <c r="N17">
        <f t="shared" si="10"/>
        <v>0.326133909287257</v>
      </c>
      <c r="P17">
        <f t="shared" si="11"/>
        <v>1029</v>
      </c>
      <c r="Q17">
        <f t="shared" si="12"/>
        <v>233</v>
      </c>
    </row>
    <row r="18" spans="1:30" x14ac:dyDescent="0.35">
      <c r="A18">
        <v>2021</v>
      </c>
      <c r="B18" s="15">
        <v>226</v>
      </c>
      <c r="C18" s="15">
        <v>29</v>
      </c>
      <c r="D18" s="12">
        <f t="shared" si="0"/>
        <v>28.25</v>
      </c>
      <c r="E18" s="27">
        <f t="shared" si="1"/>
        <v>0.56499999999999995</v>
      </c>
      <c r="F18" s="27">
        <f t="shared" si="2"/>
        <v>0.57999999999999996</v>
      </c>
      <c r="G18">
        <f t="shared" si="3"/>
        <v>57.25</v>
      </c>
      <c r="H18">
        <f t="shared" si="4"/>
        <v>1</v>
      </c>
      <c r="I18">
        <f t="shared" si="5"/>
        <v>1.5883277832918385</v>
      </c>
      <c r="J18">
        <f t="shared" si="6"/>
        <v>-0.2091427834749878</v>
      </c>
      <c r="K18">
        <f t="shared" si="7"/>
        <v>0.99984115091092485</v>
      </c>
      <c r="L18">
        <f t="shared" si="8"/>
        <v>-1.5886170692794324E-4</v>
      </c>
      <c r="M18">
        <f t="shared" si="9"/>
        <v>0.50655021834061131</v>
      </c>
      <c r="N18">
        <f t="shared" si="10"/>
        <v>0.49344978165938863</v>
      </c>
      <c r="P18">
        <f t="shared" si="11"/>
        <v>71</v>
      </c>
      <c r="Q18">
        <f t="shared" si="12"/>
        <v>671</v>
      </c>
    </row>
    <row r="19" spans="1:30" x14ac:dyDescent="0.35">
      <c r="A19">
        <v>2021</v>
      </c>
      <c r="B19" s="15">
        <v>194</v>
      </c>
      <c r="C19" s="15">
        <v>33</v>
      </c>
      <c r="D19" s="12">
        <f t="shared" si="0"/>
        <v>24.25</v>
      </c>
      <c r="E19" s="27">
        <f t="shared" si="1"/>
        <v>0.48499999999999999</v>
      </c>
      <c r="F19" s="27">
        <f t="shared" si="2"/>
        <v>0.66</v>
      </c>
      <c r="G19">
        <f t="shared" si="3"/>
        <v>57.25</v>
      </c>
      <c r="H19">
        <f t="shared" si="4"/>
        <v>1</v>
      </c>
      <c r="I19">
        <f t="shared" si="5"/>
        <v>0.45071098571840945</v>
      </c>
      <c r="J19">
        <f t="shared" si="6"/>
        <v>0.25301323684770138</v>
      </c>
      <c r="K19">
        <f t="shared" si="7"/>
        <v>0.99964366821291484</v>
      </c>
      <c r="L19">
        <f t="shared" si="8"/>
        <v>-3.5639528834186489E-4</v>
      </c>
      <c r="M19">
        <f t="shared" si="9"/>
        <v>0.57641921397379914</v>
      </c>
      <c r="N19">
        <f t="shared" si="10"/>
        <v>0.42358078602620086</v>
      </c>
      <c r="P19">
        <f t="shared" si="11"/>
        <v>293.5</v>
      </c>
      <c r="Q19">
        <f t="shared" si="12"/>
        <v>523.5</v>
      </c>
    </row>
    <row r="20" spans="1:30" x14ac:dyDescent="0.35">
      <c r="A20">
        <v>2021</v>
      </c>
      <c r="B20" s="15">
        <v>169</v>
      </c>
      <c r="C20" s="15">
        <v>36</v>
      </c>
      <c r="D20" s="12">
        <f t="shared" si="0"/>
        <v>21.125</v>
      </c>
      <c r="E20" s="27">
        <f t="shared" si="1"/>
        <v>0.42249999999999999</v>
      </c>
      <c r="F20" s="27">
        <f t="shared" si="2"/>
        <v>0.72</v>
      </c>
      <c r="G20">
        <f t="shared" si="3"/>
        <v>57.125</v>
      </c>
      <c r="H20">
        <f t="shared" si="4"/>
        <v>1</v>
      </c>
      <c r="I20">
        <f t="shared" si="5"/>
        <v>-0.43805213738583199</v>
      </c>
      <c r="J20">
        <f t="shared" si="6"/>
        <v>0.59963025208971832</v>
      </c>
      <c r="K20">
        <f t="shared" si="7"/>
        <v>0.99923715155059445</v>
      </c>
      <c r="L20">
        <f t="shared" si="8"/>
        <v>-7.6313956634541753E-4</v>
      </c>
      <c r="M20">
        <f t="shared" si="9"/>
        <v>0.63019693654266962</v>
      </c>
      <c r="N20">
        <f t="shared" si="10"/>
        <v>0.36980306345733044</v>
      </c>
      <c r="P20">
        <f t="shared" si="11"/>
        <v>744.5</v>
      </c>
      <c r="Q20">
        <f t="shared" si="12"/>
        <v>403.5</v>
      </c>
    </row>
    <row r="21" spans="1:30" x14ac:dyDescent="0.35">
      <c r="A21">
        <v>2021</v>
      </c>
      <c r="B21" s="15">
        <v>153</v>
      </c>
      <c r="C21" s="15">
        <v>38</v>
      </c>
      <c r="D21" s="12">
        <f t="shared" si="0"/>
        <v>19.125</v>
      </c>
      <c r="E21" s="27">
        <f t="shared" si="1"/>
        <v>0.38250000000000001</v>
      </c>
      <c r="F21" s="27">
        <f t="shared" si="2"/>
        <v>0.76</v>
      </c>
      <c r="G21">
        <f t="shared" si="3"/>
        <v>57.125</v>
      </c>
      <c r="H21">
        <f t="shared" si="4"/>
        <v>1</v>
      </c>
      <c r="I21">
        <f t="shared" si="5"/>
        <v>-1.0068605361725464</v>
      </c>
      <c r="J21">
        <f t="shared" si="6"/>
        <v>0.83070826225106287</v>
      </c>
      <c r="K21">
        <f t="shared" si="7"/>
        <v>0.99885777631174355</v>
      </c>
      <c r="L21">
        <f t="shared" si="8"/>
        <v>-1.1428765229029361E-3</v>
      </c>
      <c r="M21">
        <f t="shared" si="9"/>
        <v>0.66520787746170673</v>
      </c>
      <c r="N21">
        <f t="shared" si="10"/>
        <v>0.33479212253829321</v>
      </c>
      <c r="P21">
        <f t="shared" si="11"/>
        <v>1004.5</v>
      </c>
      <c r="Q21">
        <f t="shared" si="12"/>
        <v>297.5</v>
      </c>
    </row>
    <row r="22" spans="1:30" x14ac:dyDescent="0.35">
      <c r="A22">
        <v>2021</v>
      </c>
      <c r="B22" s="15">
        <v>167</v>
      </c>
      <c r="C22" s="15">
        <v>36</v>
      </c>
      <c r="D22" s="12">
        <f t="shared" si="0"/>
        <v>20.875</v>
      </c>
      <c r="E22" s="27">
        <f t="shared" si="1"/>
        <v>0.41749999999999998</v>
      </c>
      <c r="F22" s="27">
        <f t="shared" si="2"/>
        <v>0.72</v>
      </c>
      <c r="G22">
        <f t="shared" si="3"/>
        <v>56.875</v>
      </c>
      <c r="H22">
        <f t="shared" si="4"/>
        <v>1</v>
      </c>
      <c r="I22">
        <f t="shared" si="5"/>
        <v>-0.50915318723417125</v>
      </c>
      <c r="J22">
        <f t="shared" si="6"/>
        <v>0.59963025208971832</v>
      </c>
      <c r="K22">
        <f t="shared" si="7"/>
        <v>0.99895911040577534</v>
      </c>
      <c r="L22">
        <f t="shared" si="8"/>
        <v>-1.0414316960097275E-3</v>
      </c>
      <c r="M22">
        <f t="shared" si="9"/>
        <v>0.63296703296703294</v>
      </c>
      <c r="N22">
        <f t="shared" si="10"/>
        <v>0.36703296703296701</v>
      </c>
      <c r="P22">
        <f t="shared" si="11"/>
        <v>789.5</v>
      </c>
      <c r="Q22">
        <f t="shared" si="12"/>
        <v>403.5</v>
      </c>
    </row>
    <row r="23" spans="1:30" x14ac:dyDescent="0.35">
      <c r="A23">
        <v>2021</v>
      </c>
      <c r="B23" s="15">
        <v>149</v>
      </c>
      <c r="C23" s="15">
        <v>38</v>
      </c>
      <c r="D23" s="12">
        <f t="shared" si="0"/>
        <v>18.625</v>
      </c>
      <c r="E23" s="27">
        <f t="shared" si="1"/>
        <v>0.3725</v>
      </c>
      <c r="F23" s="27">
        <f t="shared" si="2"/>
        <v>0.76</v>
      </c>
      <c r="G23">
        <f t="shared" si="3"/>
        <v>56.625</v>
      </c>
      <c r="H23">
        <f t="shared" si="4"/>
        <v>1</v>
      </c>
      <c r="I23">
        <f t="shared" si="5"/>
        <v>-1.1490626358692251</v>
      </c>
      <c r="J23">
        <f t="shared" si="6"/>
        <v>0.83070826225106287</v>
      </c>
      <c r="K23">
        <f t="shared" si="7"/>
        <v>0.99787432006235122</v>
      </c>
      <c r="L23">
        <f t="shared" si="8"/>
        <v>-2.1279424019994193E-3</v>
      </c>
      <c r="M23">
        <f t="shared" si="9"/>
        <v>0.67108167770419425</v>
      </c>
      <c r="N23">
        <f t="shared" si="10"/>
        <v>0.32891832229580575</v>
      </c>
      <c r="P23">
        <f t="shared" si="11"/>
        <v>1051.5</v>
      </c>
      <c r="Q23">
        <f t="shared" si="12"/>
        <v>297.5</v>
      </c>
    </row>
    <row r="24" spans="1:30" x14ac:dyDescent="0.35">
      <c r="A24">
        <v>2021</v>
      </c>
      <c r="B24" s="15">
        <v>219</v>
      </c>
      <c r="C24" s="15">
        <v>28</v>
      </c>
      <c r="D24" s="12">
        <f t="shared" si="0"/>
        <v>27.375</v>
      </c>
      <c r="E24" s="27">
        <f t="shared" si="1"/>
        <v>0.54749999999999999</v>
      </c>
      <c r="F24" s="27">
        <f t="shared" si="2"/>
        <v>0.56000000000000005</v>
      </c>
      <c r="G24">
        <f t="shared" si="3"/>
        <v>55.375</v>
      </c>
      <c r="H24">
        <f t="shared" si="4"/>
        <v>1</v>
      </c>
      <c r="I24">
        <f t="shared" si="5"/>
        <v>1.3394741088226509</v>
      </c>
      <c r="J24">
        <f t="shared" si="6"/>
        <v>-0.3246817885556601</v>
      </c>
      <c r="K24">
        <f t="shared" si="7"/>
        <v>0.99866374744421849</v>
      </c>
      <c r="L24">
        <f t="shared" si="8"/>
        <v>-1.3371461373504058E-3</v>
      </c>
      <c r="M24">
        <f t="shared" si="9"/>
        <v>0.50564334085778784</v>
      </c>
      <c r="N24">
        <f t="shared" si="10"/>
        <v>0.49435665914221216</v>
      </c>
      <c r="P24">
        <f t="shared" si="11"/>
        <v>87.5</v>
      </c>
      <c r="Q24">
        <f t="shared" si="12"/>
        <v>709.5</v>
      </c>
      <c r="AC24" t="s">
        <v>31</v>
      </c>
      <c r="AD24" t="s">
        <v>32</v>
      </c>
    </row>
    <row r="25" spans="1:30" x14ac:dyDescent="0.35">
      <c r="A25">
        <v>2021</v>
      </c>
      <c r="B25" s="15">
        <v>170</v>
      </c>
      <c r="C25" s="15">
        <v>34</v>
      </c>
      <c r="D25" s="12">
        <f t="shared" si="0"/>
        <v>21.25</v>
      </c>
      <c r="E25" s="27">
        <f t="shared" si="1"/>
        <v>0.42499999999999999</v>
      </c>
      <c r="F25" s="27">
        <f t="shared" si="2"/>
        <v>0.68</v>
      </c>
      <c r="G25">
        <f t="shared" si="3"/>
        <v>55.25</v>
      </c>
      <c r="H25">
        <f t="shared" si="4"/>
        <v>1</v>
      </c>
      <c r="I25">
        <f t="shared" si="5"/>
        <v>-0.40250161246166233</v>
      </c>
      <c r="J25">
        <f t="shared" si="6"/>
        <v>0.36855224192837371</v>
      </c>
      <c r="K25">
        <f t="shared" si="7"/>
        <v>0.99477398381787552</v>
      </c>
      <c r="L25">
        <f t="shared" si="8"/>
        <v>-5.2397195682878E-3</v>
      </c>
      <c r="M25">
        <f t="shared" ref="M25:M66" si="13">IF(G25=0, 0,  C25  / G25 )</f>
        <v>0.61538461538461542</v>
      </c>
      <c r="N25">
        <f t="shared" si="10"/>
        <v>0.38461538461538464</v>
      </c>
      <c r="P25">
        <f t="shared" si="11"/>
        <v>720</v>
      </c>
      <c r="Q25">
        <f t="shared" si="12"/>
        <v>484.5</v>
      </c>
      <c r="AC25" t="s">
        <v>33</v>
      </c>
      <c r="AD25">
        <v>3.6853356134130713</v>
      </c>
    </row>
    <row r="26" spans="1:30" x14ac:dyDescent="0.35">
      <c r="A26">
        <v>2021</v>
      </c>
      <c r="B26" s="15">
        <v>161</v>
      </c>
      <c r="C26" s="15">
        <v>35</v>
      </c>
      <c r="D26" s="12">
        <f t="shared" si="0"/>
        <v>20.125</v>
      </c>
      <c r="E26" s="27">
        <f t="shared" si="1"/>
        <v>0.40250000000000002</v>
      </c>
      <c r="F26" s="27">
        <f t="shared" si="2"/>
        <v>0.7</v>
      </c>
      <c r="G26">
        <f t="shared" si="3"/>
        <v>55.125</v>
      </c>
      <c r="H26">
        <f t="shared" si="4"/>
        <v>1</v>
      </c>
      <c r="I26">
        <f t="shared" si="5"/>
        <v>-0.72245633677918919</v>
      </c>
      <c r="J26">
        <f t="shared" si="6"/>
        <v>0.48409124700904599</v>
      </c>
      <c r="K26">
        <f t="shared" si="7"/>
        <v>0.99254446455498169</v>
      </c>
      <c r="L26">
        <f t="shared" si="8"/>
        <v>-7.4834668651311501E-3</v>
      </c>
      <c r="M26">
        <f t="shared" si="13"/>
        <v>0.63492063492063489</v>
      </c>
      <c r="N26">
        <f t="shared" si="10"/>
        <v>0.36507936507936506</v>
      </c>
      <c r="P26">
        <f t="shared" si="11"/>
        <v>892.5</v>
      </c>
      <c r="Q26">
        <f t="shared" si="12"/>
        <v>448.5</v>
      </c>
      <c r="AC26" t="s">
        <v>29</v>
      </c>
      <c r="AD26">
        <v>4.3747583395611365</v>
      </c>
    </row>
    <row r="27" spans="1:30" x14ac:dyDescent="0.35">
      <c r="A27">
        <v>2021</v>
      </c>
      <c r="B27" s="15">
        <v>191</v>
      </c>
      <c r="C27" s="15">
        <v>31</v>
      </c>
      <c r="D27" s="12">
        <f t="shared" si="0"/>
        <v>23.875</v>
      </c>
      <c r="E27" s="27">
        <f t="shared" si="1"/>
        <v>0.47749999999999998</v>
      </c>
      <c r="F27" s="27">
        <f t="shared" si="2"/>
        <v>0.62</v>
      </c>
      <c r="G27">
        <f t="shared" si="3"/>
        <v>54.875</v>
      </c>
      <c r="H27">
        <f t="shared" si="4"/>
        <v>1</v>
      </c>
      <c r="I27">
        <f t="shared" si="5"/>
        <v>0.34405941094590048</v>
      </c>
      <c r="J27">
        <f t="shared" si="6"/>
        <v>2.1935226686356796E-2</v>
      </c>
      <c r="K27">
        <f t="shared" si="7"/>
        <v>0.99545137062813671</v>
      </c>
      <c r="L27">
        <f t="shared" si="8"/>
        <v>-4.5590058642796033E-3</v>
      </c>
      <c r="M27">
        <f t="shared" si="13"/>
        <v>0.56492027334851935</v>
      </c>
      <c r="N27">
        <f t="shared" si="10"/>
        <v>0.43507972665148065</v>
      </c>
      <c r="P27">
        <f t="shared" si="11"/>
        <v>327</v>
      </c>
      <c r="Q27">
        <f t="shared" si="12"/>
        <v>605</v>
      </c>
      <c r="AC27" t="s">
        <v>34</v>
      </c>
      <c r="AD27">
        <v>9.0200997037808648</v>
      </c>
    </row>
    <row r="28" spans="1:30" x14ac:dyDescent="0.35">
      <c r="A28">
        <v>2021</v>
      </c>
      <c r="B28" s="15">
        <v>143</v>
      </c>
      <c r="C28" s="15">
        <v>37</v>
      </c>
      <c r="D28" s="12">
        <f t="shared" si="0"/>
        <v>17.875</v>
      </c>
      <c r="E28" s="27">
        <f t="shared" si="1"/>
        <v>0.35749999999999998</v>
      </c>
      <c r="F28" s="27">
        <f t="shared" si="2"/>
        <v>0.74</v>
      </c>
      <c r="G28">
        <f t="shared" si="3"/>
        <v>54.875</v>
      </c>
      <c r="H28">
        <f t="shared" si="4"/>
        <v>1</v>
      </c>
      <c r="I28">
        <f t="shared" si="5"/>
        <v>-1.362365785414243</v>
      </c>
      <c r="J28">
        <f t="shared" si="6"/>
        <v>0.71516925717039059</v>
      </c>
      <c r="K28">
        <f t="shared" si="7"/>
        <v>0.98487569729546809</v>
      </c>
      <c r="L28">
        <f t="shared" si="8"/>
        <v>-1.5239841412506495E-2</v>
      </c>
      <c r="M28">
        <f t="shared" si="13"/>
        <v>0.67425968109339407</v>
      </c>
      <c r="N28">
        <f t="shared" si="10"/>
        <v>0.32574031890660593</v>
      </c>
      <c r="P28">
        <f t="shared" si="11"/>
        <v>1094</v>
      </c>
      <c r="Q28">
        <f t="shared" si="12"/>
        <v>351</v>
      </c>
    </row>
    <row r="29" spans="1:30" x14ac:dyDescent="0.35">
      <c r="A29">
        <v>2021</v>
      </c>
      <c r="B29" s="15">
        <v>147</v>
      </c>
      <c r="C29" s="15">
        <v>36</v>
      </c>
      <c r="D29" s="12">
        <f t="shared" si="0"/>
        <v>18.375</v>
      </c>
      <c r="E29" s="27">
        <f t="shared" si="1"/>
        <v>0.36749999999999999</v>
      </c>
      <c r="F29" s="27">
        <f t="shared" si="2"/>
        <v>0.72</v>
      </c>
      <c r="G29">
        <f t="shared" si="3"/>
        <v>54.375</v>
      </c>
      <c r="H29">
        <f t="shared" si="4"/>
        <v>1</v>
      </c>
      <c r="I29">
        <f t="shared" si="5"/>
        <v>-1.2201636857175644</v>
      </c>
      <c r="J29">
        <f t="shared" si="6"/>
        <v>0.59963025208971832</v>
      </c>
      <c r="K29">
        <f t="shared" si="7"/>
        <v>0.97716004446843074</v>
      </c>
      <c r="L29">
        <f t="shared" si="8"/>
        <v>-2.3104828207268259E-2</v>
      </c>
      <c r="M29">
        <f t="shared" si="13"/>
        <v>0.66206896551724137</v>
      </c>
      <c r="N29">
        <f t="shared" si="10"/>
        <v>0.33793103448275863</v>
      </c>
      <c r="P29">
        <f t="shared" si="11"/>
        <v>1069.5</v>
      </c>
      <c r="Q29">
        <f t="shared" si="12"/>
        <v>403.5</v>
      </c>
    </row>
    <row r="30" spans="1:30" x14ac:dyDescent="0.35">
      <c r="A30">
        <v>2021</v>
      </c>
      <c r="B30" s="15">
        <v>179</v>
      </c>
      <c r="C30" s="15">
        <v>32</v>
      </c>
      <c r="D30" s="12">
        <f t="shared" si="0"/>
        <v>22.375</v>
      </c>
      <c r="E30" s="27">
        <f t="shared" si="1"/>
        <v>0.44750000000000001</v>
      </c>
      <c r="F30" s="27">
        <f t="shared" si="2"/>
        <v>0.64</v>
      </c>
      <c r="G30">
        <f t="shared" si="3"/>
        <v>54.375</v>
      </c>
      <c r="H30">
        <f t="shared" si="4"/>
        <v>1</v>
      </c>
      <c r="I30">
        <f t="shared" si="5"/>
        <v>-8.2546888144135397E-2</v>
      </c>
      <c r="J30">
        <f t="shared" si="6"/>
        <v>0.13747423176702911</v>
      </c>
      <c r="K30">
        <f t="shared" si="7"/>
        <v>0.98968966060487451</v>
      </c>
      <c r="L30">
        <f t="shared" si="8"/>
        <v>-1.0363859133279326E-2</v>
      </c>
      <c r="M30">
        <f t="shared" si="13"/>
        <v>0.58850574712643677</v>
      </c>
      <c r="N30">
        <f t="shared" si="10"/>
        <v>0.41149425287356323</v>
      </c>
      <c r="P30">
        <f t="shared" si="11"/>
        <v>547</v>
      </c>
      <c r="Q30">
        <f t="shared" si="12"/>
        <v>564</v>
      </c>
    </row>
    <row r="31" spans="1:30" x14ac:dyDescent="0.35">
      <c r="A31">
        <v>2021</v>
      </c>
      <c r="B31" s="15">
        <v>169</v>
      </c>
      <c r="C31" s="15">
        <v>33</v>
      </c>
      <c r="D31" s="12">
        <f t="shared" si="0"/>
        <v>21.125</v>
      </c>
      <c r="E31" s="27">
        <f t="shared" si="1"/>
        <v>0.42249999999999999</v>
      </c>
      <c r="F31" s="27">
        <f t="shared" si="2"/>
        <v>0.66</v>
      </c>
      <c r="G31">
        <f t="shared" si="3"/>
        <v>54.125</v>
      </c>
      <c r="H31">
        <f t="shared" si="4"/>
        <v>1</v>
      </c>
      <c r="I31">
        <f t="shared" si="5"/>
        <v>-0.43805213738583199</v>
      </c>
      <c r="J31">
        <f t="shared" si="6"/>
        <v>0.25301323684770138</v>
      </c>
      <c r="K31">
        <f t="shared" si="7"/>
        <v>0.98289561389165858</v>
      </c>
      <c r="L31">
        <f t="shared" si="8"/>
        <v>-1.7252355835159012E-2</v>
      </c>
      <c r="M31">
        <f t="shared" si="13"/>
        <v>0.60969976905311773</v>
      </c>
      <c r="N31">
        <f t="shared" si="10"/>
        <v>0.39030023094688221</v>
      </c>
      <c r="P31">
        <f t="shared" si="11"/>
        <v>744.5</v>
      </c>
      <c r="Q31">
        <f t="shared" si="12"/>
        <v>523.5</v>
      </c>
    </row>
    <row r="32" spans="1:30" x14ac:dyDescent="0.35">
      <c r="A32">
        <v>2021</v>
      </c>
      <c r="B32" s="15">
        <v>156</v>
      </c>
      <c r="C32" s="15">
        <v>34</v>
      </c>
      <c r="D32" s="12">
        <f t="shared" si="0"/>
        <v>19.5</v>
      </c>
      <c r="E32" s="27">
        <f t="shared" si="1"/>
        <v>0.39</v>
      </c>
      <c r="F32" s="27">
        <f t="shared" si="2"/>
        <v>0.68</v>
      </c>
      <c r="G32">
        <f t="shared" si="3"/>
        <v>53.5</v>
      </c>
      <c r="H32">
        <f t="shared" si="4"/>
        <v>1</v>
      </c>
      <c r="I32">
        <f t="shared" si="5"/>
        <v>-0.90020896140003748</v>
      </c>
      <c r="J32">
        <f t="shared" si="6"/>
        <v>0.36855224192837371</v>
      </c>
      <c r="K32">
        <f t="shared" si="7"/>
        <v>0.95570243608748207</v>
      </c>
      <c r="L32">
        <f t="shared" si="8"/>
        <v>-4.5308673704690453E-2</v>
      </c>
      <c r="M32">
        <f t="shared" si="13"/>
        <v>0.63551401869158874</v>
      </c>
      <c r="N32">
        <f t="shared" si="10"/>
        <v>0.3644859813084112</v>
      </c>
      <c r="P32">
        <f t="shared" si="11"/>
        <v>968</v>
      </c>
      <c r="Q32">
        <f t="shared" si="12"/>
        <v>484.5</v>
      </c>
    </row>
    <row r="33" spans="1:17" x14ac:dyDescent="0.35">
      <c r="A33">
        <v>2021</v>
      </c>
      <c r="B33" s="15">
        <v>162</v>
      </c>
      <c r="C33" s="15">
        <v>33</v>
      </c>
      <c r="D33" s="12">
        <f t="shared" si="0"/>
        <v>20.25</v>
      </c>
      <c r="E33" s="27">
        <f t="shared" si="1"/>
        <v>0.40500000000000003</v>
      </c>
      <c r="F33" s="27">
        <f t="shared" si="2"/>
        <v>0.66</v>
      </c>
      <c r="G33">
        <f t="shared" si="3"/>
        <v>53.25</v>
      </c>
      <c r="H33">
        <f t="shared" si="4"/>
        <v>1</v>
      </c>
      <c r="I33">
        <f t="shared" si="5"/>
        <v>-0.68690581185501953</v>
      </c>
      <c r="J33">
        <f t="shared" si="6"/>
        <v>0.25301323684770138</v>
      </c>
      <c r="K33">
        <f t="shared" si="7"/>
        <v>0.95085064644528183</v>
      </c>
      <c r="L33">
        <f t="shared" si="8"/>
        <v>-5.0398277723661518E-2</v>
      </c>
      <c r="M33">
        <f t="shared" si="13"/>
        <v>0.61971830985915488</v>
      </c>
      <c r="N33">
        <f t="shared" si="10"/>
        <v>0.38028169014084506</v>
      </c>
      <c r="P33">
        <f t="shared" si="11"/>
        <v>876</v>
      </c>
      <c r="Q33">
        <f t="shared" si="12"/>
        <v>523.5</v>
      </c>
    </row>
    <row r="34" spans="1:17" x14ac:dyDescent="0.35">
      <c r="A34">
        <v>2021</v>
      </c>
      <c r="B34" s="15">
        <v>158</v>
      </c>
      <c r="C34" s="15">
        <v>33</v>
      </c>
      <c r="D34" s="12">
        <f t="shared" si="0"/>
        <v>19.75</v>
      </c>
      <c r="E34" s="27">
        <f t="shared" si="1"/>
        <v>0.39500000000000002</v>
      </c>
      <c r="F34" s="27">
        <f t="shared" si="2"/>
        <v>0.66</v>
      </c>
      <c r="G34">
        <f t="shared" si="3"/>
        <v>52.75</v>
      </c>
      <c r="H34">
        <f t="shared" si="4"/>
        <v>1</v>
      </c>
      <c r="I34">
        <f t="shared" si="5"/>
        <v>-0.82910791155169816</v>
      </c>
      <c r="J34">
        <f t="shared" si="6"/>
        <v>0.25301323684770138</v>
      </c>
      <c r="K34">
        <f t="shared" si="7"/>
        <v>0.91216761551478254</v>
      </c>
      <c r="L34">
        <f t="shared" si="8"/>
        <v>-9.1931516853276607E-2</v>
      </c>
      <c r="M34">
        <f t="shared" si="13"/>
        <v>0.62559241706161139</v>
      </c>
      <c r="N34">
        <f t="shared" si="10"/>
        <v>0.37440758293838861</v>
      </c>
      <c r="P34">
        <f t="shared" si="11"/>
        <v>940.5</v>
      </c>
      <c r="Q34">
        <f t="shared" si="12"/>
        <v>523.5</v>
      </c>
    </row>
    <row r="35" spans="1:17" x14ac:dyDescent="0.35">
      <c r="A35">
        <v>2021</v>
      </c>
      <c r="B35" s="15">
        <v>187</v>
      </c>
      <c r="C35" s="15">
        <v>29</v>
      </c>
      <c r="D35" s="12">
        <f t="shared" si="0"/>
        <v>23.375</v>
      </c>
      <c r="E35" s="27">
        <f t="shared" si="1"/>
        <v>0.46750000000000003</v>
      </c>
      <c r="F35" s="27">
        <f t="shared" si="2"/>
        <v>0.57999999999999996</v>
      </c>
      <c r="G35">
        <f t="shared" si="3"/>
        <v>52.375</v>
      </c>
      <c r="H35">
        <f t="shared" si="4"/>
        <v>1</v>
      </c>
      <c r="I35">
        <f t="shared" si="5"/>
        <v>0.20185731124922185</v>
      </c>
      <c r="J35">
        <f t="shared" si="6"/>
        <v>-0.2091427834749878</v>
      </c>
      <c r="K35">
        <f t="shared" si="7"/>
        <v>0.93595154555319116</v>
      </c>
      <c r="L35">
        <f t="shared" si="8"/>
        <v>-6.6191571415908951E-2</v>
      </c>
      <c r="M35">
        <f t="shared" si="13"/>
        <v>0.55369928400954649</v>
      </c>
      <c r="N35">
        <f t="shared" si="10"/>
        <v>0.44630071599045346</v>
      </c>
      <c r="P35">
        <f t="shared" si="11"/>
        <v>393</v>
      </c>
      <c r="Q35">
        <f t="shared" si="12"/>
        <v>671</v>
      </c>
    </row>
    <row r="36" spans="1:17" x14ac:dyDescent="0.35">
      <c r="A36">
        <v>2021</v>
      </c>
      <c r="B36" s="15">
        <v>168</v>
      </c>
      <c r="C36" s="15">
        <v>31</v>
      </c>
      <c r="D36" s="12">
        <f t="shared" si="0"/>
        <v>21</v>
      </c>
      <c r="E36" s="27">
        <f t="shared" si="1"/>
        <v>0.42</v>
      </c>
      <c r="F36" s="27">
        <f t="shared" si="2"/>
        <v>0.62</v>
      </c>
      <c r="G36">
        <f t="shared" si="3"/>
        <v>52</v>
      </c>
      <c r="H36">
        <f t="shared" si="4"/>
        <v>1</v>
      </c>
      <c r="I36">
        <f t="shared" si="5"/>
        <v>-0.47360266231000164</v>
      </c>
      <c r="J36">
        <f t="shared" si="6"/>
        <v>2.1935226686356796E-2</v>
      </c>
      <c r="K36">
        <f t="shared" si="7"/>
        <v>0.85951847673736692</v>
      </c>
      <c r="L36">
        <f t="shared" si="8"/>
        <v>-0.15138295731365795</v>
      </c>
      <c r="M36">
        <f t="shared" si="13"/>
        <v>0.59615384615384615</v>
      </c>
      <c r="N36">
        <f t="shared" si="10"/>
        <v>0.40384615384615385</v>
      </c>
      <c r="P36">
        <f t="shared" si="11"/>
        <v>767</v>
      </c>
      <c r="Q36">
        <f t="shared" si="12"/>
        <v>605</v>
      </c>
    </row>
    <row r="37" spans="1:17" x14ac:dyDescent="0.35">
      <c r="A37">
        <v>2021</v>
      </c>
      <c r="B37" s="15">
        <v>181</v>
      </c>
      <c r="C37" s="15">
        <v>29</v>
      </c>
      <c r="D37" s="12">
        <f t="shared" si="0"/>
        <v>22.625</v>
      </c>
      <c r="E37" s="27">
        <f t="shared" si="1"/>
        <v>0.45250000000000001</v>
      </c>
      <c r="F37" s="27">
        <f t="shared" si="2"/>
        <v>0.57999999999999996</v>
      </c>
      <c r="G37">
        <f t="shared" si="3"/>
        <v>51.625</v>
      </c>
      <c r="H37">
        <f t="shared" si="4"/>
        <v>1</v>
      </c>
      <c r="I37">
        <f t="shared" si="5"/>
        <v>-1.1445838295796084E-2</v>
      </c>
      <c r="J37">
        <f t="shared" si="6"/>
        <v>-0.2091427834749878</v>
      </c>
      <c r="K37">
        <f t="shared" si="7"/>
        <v>0.85179811060162436</v>
      </c>
      <c r="L37">
        <f t="shared" si="8"/>
        <v>-0.16040573961989774</v>
      </c>
      <c r="M37">
        <f t="shared" si="13"/>
        <v>0.56174334140435833</v>
      </c>
      <c r="N37">
        <f t="shared" si="10"/>
        <v>0.43825665859564167</v>
      </c>
      <c r="P37">
        <f t="shared" si="11"/>
        <v>505</v>
      </c>
      <c r="Q37">
        <f t="shared" si="12"/>
        <v>671</v>
      </c>
    </row>
    <row r="38" spans="1:17" x14ac:dyDescent="0.35">
      <c r="A38">
        <v>2021</v>
      </c>
      <c r="B38" s="15">
        <v>180</v>
      </c>
      <c r="C38" s="15">
        <v>29</v>
      </c>
      <c r="D38" s="12">
        <f t="shared" si="0"/>
        <v>22.5</v>
      </c>
      <c r="E38" s="27">
        <f t="shared" si="1"/>
        <v>0.45</v>
      </c>
      <c r="F38" s="27">
        <f t="shared" si="2"/>
        <v>0.57999999999999996</v>
      </c>
      <c r="G38">
        <f t="shared" si="3"/>
        <v>51.5</v>
      </c>
      <c r="H38">
        <f t="shared" si="4"/>
        <v>1</v>
      </c>
      <c r="I38">
        <f t="shared" si="5"/>
        <v>-4.6996363219965739E-2</v>
      </c>
      <c r="J38">
        <f t="shared" si="6"/>
        <v>-0.2091427834749878</v>
      </c>
      <c r="K38">
        <f t="shared" si="7"/>
        <v>0.83107274086573957</v>
      </c>
      <c r="L38">
        <f t="shared" si="8"/>
        <v>-0.18503795382311367</v>
      </c>
      <c r="M38">
        <f t="shared" si="13"/>
        <v>0.56310679611650483</v>
      </c>
      <c r="N38">
        <f t="shared" si="10"/>
        <v>0.43689320388349512</v>
      </c>
      <c r="P38">
        <f t="shared" si="11"/>
        <v>528</v>
      </c>
      <c r="Q38">
        <f t="shared" si="12"/>
        <v>671</v>
      </c>
    </row>
    <row r="39" spans="1:17" x14ac:dyDescent="0.35">
      <c r="A39">
        <v>2021</v>
      </c>
      <c r="B39" s="15">
        <v>156</v>
      </c>
      <c r="C39" s="15">
        <v>32</v>
      </c>
      <c r="D39" s="12">
        <f t="shared" si="0"/>
        <v>19.5</v>
      </c>
      <c r="E39" s="27">
        <f t="shared" si="1"/>
        <v>0.39</v>
      </c>
      <c r="F39" s="27">
        <f t="shared" si="2"/>
        <v>0.64</v>
      </c>
      <c r="G39">
        <f t="shared" si="3"/>
        <v>51.5</v>
      </c>
      <c r="H39">
        <f t="shared" si="4"/>
        <v>1</v>
      </c>
      <c r="I39">
        <f t="shared" si="5"/>
        <v>-0.90020896140003748</v>
      </c>
      <c r="J39">
        <f t="shared" si="6"/>
        <v>0.13747423176702911</v>
      </c>
      <c r="K39">
        <f t="shared" si="7"/>
        <v>0.72852862747679759</v>
      </c>
      <c r="L39">
        <f t="shared" si="8"/>
        <v>-0.31672835765115626</v>
      </c>
      <c r="M39">
        <f t="shared" si="13"/>
        <v>0.62135922330097082</v>
      </c>
      <c r="N39">
        <f t="shared" si="10"/>
        <v>0.37864077669902912</v>
      </c>
      <c r="P39">
        <f t="shared" si="11"/>
        <v>968</v>
      </c>
      <c r="Q39">
        <f t="shared" si="12"/>
        <v>564</v>
      </c>
    </row>
    <row r="40" spans="1:17" x14ac:dyDescent="0.35">
      <c r="A40">
        <v>2021</v>
      </c>
      <c r="B40" s="15">
        <v>187</v>
      </c>
      <c r="C40" s="15">
        <v>28</v>
      </c>
      <c r="D40" s="12">
        <f t="shared" si="0"/>
        <v>23.375</v>
      </c>
      <c r="E40" s="27">
        <f t="shared" si="1"/>
        <v>0.46750000000000003</v>
      </c>
      <c r="F40" s="27">
        <f t="shared" si="2"/>
        <v>0.56000000000000005</v>
      </c>
      <c r="G40">
        <f t="shared" si="3"/>
        <v>51.375</v>
      </c>
      <c r="H40">
        <f t="shared" si="4"/>
        <v>1</v>
      </c>
      <c r="I40">
        <f t="shared" si="5"/>
        <v>0.20185731124922185</v>
      </c>
      <c r="J40">
        <f t="shared" si="6"/>
        <v>-0.3246817885556601</v>
      </c>
      <c r="K40">
        <f t="shared" si="7"/>
        <v>0.83750098021266284</v>
      </c>
      <c r="L40">
        <f t="shared" si="8"/>
        <v>-0.17733284488042098</v>
      </c>
      <c r="M40">
        <f t="shared" si="13"/>
        <v>0.54501216545012166</v>
      </c>
      <c r="N40">
        <f t="shared" si="10"/>
        <v>0.45498783454987834</v>
      </c>
      <c r="P40">
        <f t="shared" si="11"/>
        <v>393</v>
      </c>
      <c r="Q40">
        <f t="shared" si="12"/>
        <v>709.5</v>
      </c>
    </row>
    <row r="41" spans="1:17" x14ac:dyDescent="0.35">
      <c r="A41">
        <v>2021</v>
      </c>
      <c r="B41" s="15">
        <v>163</v>
      </c>
      <c r="C41" s="15">
        <v>31</v>
      </c>
      <c r="D41" s="12">
        <f t="shared" si="0"/>
        <v>20.375</v>
      </c>
      <c r="E41" s="27">
        <f t="shared" si="1"/>
        <v>0.40749999999999997</v>
      </c>
      <c r="F41" s="27">
        <f t="shared" si="2"/>
        <v>0.62</v>
      </c>
      <c r="G41">
        <f t="shared" si="3"/>
        <v>51.375</v>
      </c>
      <c r="H41">
        <f t="shared" si="4"/>
        <v>1</v>
      </c>
      <c r="I41">
        <f t="shared" si="5"/>
        <v>-0.65135528693084987</v>
      </c>
      <c r="J41">
        <f t="shared" si="6"/>
        <v>2.1935226686356796E-2</v>
      </c>
      <c r="K41">
        <f t="shared" si="7"/>
        <v>0.73762708714553915</v>
      </c>
      <c r="L41">
        <f t="shared" si="8"/>
        <v>-0.30431688406054214</v>
      </c>
      <c r="M41">
        <f t="shared" si="13"/>
        <v>0.6034063260340633</v>
      </c>
      <c r="N41">
        <f t="shared" si="10"/>
        <v>0.39659367396593675</v>
      </c>
      <c r="P41">
        <f t="shared" si="11"/>
        <v>860.5</v>
      </c>
      <c r="Q41">
        <f t="shared" si="12"/>
        <v>605</v>
      </c>
    </row>
    <row r="42" spans="1:17" x14ac:dyDescent="0.35">
      <c r="A42">
        <v>2021</v>
      </c>
      <c r="B42" s="15">
        <v>154</v>
      </c>
      <c r="C42" s="15">
        <v>32</v>
      </c>
      <c r="D42" s="12">
        <f t="shared" si="0"/>
        <v>19.25</v>
      </c>
      <c r="E42" s="27">
        <f t="shared" si="1"/>
        <v>0.38500000000000001</v>
      </c>
      <c r="F42" s="27">
        <f t="shared" si="2"/>
        <v>0.64</v>
      </c>
      <c r="G42">
        <f t="shared" si="3"/>
        <v>51.25</v>
      </c>
      <c r="H42">
        <f t="shared" si="4"/>
        <v>1</v>
      </c>
      <c r="I42">
        <f t="shared" si="5"/>
        <v>-0.97131001124837679</v>
      </c>
      <c r="J42">
        <f t="shared" si="6"/>
        <v>0.13747423176702911</v>
      </c>
      <c r="K42">
        <f t="shared" si="7"/>
        <v>0.66287224339170925</v>
      </c>
      <c r="L42">
        <f t="shared" si="8"/>
        <v>-0.41117300209776025</v>
      </c>
      <c r="M42">
        <f t="shared" si="13"/>
        <v>0.62439024390243902</v>
      </c>
      <c r="N42">
        <f t="shared" si="10"/>
        <v>0.37560975609756098</v>
      </c>
      <c r="P42">
        <f t="shared" si="11"/>
        <v>995.5</v>
      </c>
      <c r="Q42">
        <f t="shared" si="12"/>
        <v>564</v>
      </c>
    </row>
    <row r="43" spans="1:17" x14ac:dyDescent="0.35">
      <c r="A43">
        <v>2021</v>
      </c>
      <c r="B43" s="15">
        <v>161</v>
      </c>
      <c r="C43" s="15">
        <v>31</v>
      </c>
      <c r="D43" s="12">
        <f t="shared" si="0"/>
        <v>20.125</v>
      </c>
      <c r="E43" s="27">
        <f t="shared" si="1"/>
        <v>0.40250000000000002</v>
      </c>
      <c r="F43" s="27">
        <f t="shared" si="2"/>
        <v>0.62</v>
      </c>
      <c r="G43">
        <f t="shared" si="3"/>
        <v>51.125</v>
      </c>
      <c r="H43">
        <f t="shared" si="4"/>
        <v>1</v>
      </c>
      <c r="I43">
        <f t="shared" si="5"/>
        <v>-0.72245633677918919</v>
      </c>
      <c r="J43">
        <f t="shared" si="6"/>
        <v>2.1935226686356796E-2</v>
      </c>
      <c r="K43">
        <f t="shared" si="7"/>
        <v>0.67318406320799951</v>
      </c>
      <c r="L43">
        <f t="shared" si="8"/>
        <v>-0.39573649013643208</v>
      </c>
      <c r="M43">
        <f t="shared" si="13"/>
        <v>0.60635696821515894</v>
      </c>
      <c r="N43">
        <f t="shared" si="10"/>
        <v>0.39364303178484106</v>
      </c>
      <c r="P43">
        <f t="shared" si="11"/>
        <v>892.5</v>
      </c>
      <c r="Q43">
        <f t="shared" si="12"/>
        <v>605</v>
      </c>
    </row>
    <row r="44" spans="1:17" x14ac:dyDescent="0.35">
      <c r="A44">
        <v>2021</v>
      </c>
      <c r="B44" s="15">
        <v>132</v>
      </c>
      <c r="C44" s="15">
        <v>34</v>
      </c>
      <c r="D44" s="12">
        <f t="shared" si="0"/>
        <v>16.5</v>
      </c>
      <c r="E44" s="27">
        <f t="shared" si="1"/>
        <v>0.33</v>
      </c>
      <c r="F44" s="27">
        <f t="shared" si="2"/>
        <v>0.68</v>
      </c>
      <c r="G44">
        <f t="shared" si="3"/>
        <v>50.5</v>
      </c>
      <c r="H44">
        <f t="shared" si="4"/>
        <v>1</v>
      </c>
      <c r="I44">
        <f t="shared" si="5"/>
        <v>-1.7534215595801093</v>
      </c>
      <c r="J44">
        <f t="shared" si="6"/>
        <v>0.36855224192837371</v>
      </c>
      <c r="K44">
        <f t="shared" si="7"/>
        <v>0.34049659516310593</v>
      </c>
      <c r="L44">
        <f t="shared" si="8"/>
        <v>-1.0773501529635467</v>
      </c>
      <c r="M44">
        <f t="shared" si="13"/>
        <v>0.67326732673267331</v>
      </c>
      <c r="N44">
        <f t="shared" si="10"/>
        <v>0.32673267326732675</v>
      </c>
      <c r="P44">
        <f t="shared" si="11"/>
        <v>1126</v>
      </c>
      <c r="Q44">
        <f t="shared" si="12"/>
        <v>484.5</v>
      </c>
    </row>
    <row r="45" spans="1:17" x14ac:dyDescent="0.35">
      <c r="A45">
        <v>2021</v>
      </c>
      <c r="B45" s="15">
        <v>171</v>
      </c>
      <c r="C45" s="15">
        <v>29</v>
      </c>
      <c r="D45" s="12">
        <f t="shared" si="0"/>
        <v>21.375</v>
      </c>
      <c r="E45" s="27">
        <f t="shared" si="1"/>
        <v>0.42749999999999999</v>
      </c>
      <c r="F45" s="27">
        <f t="shared" si="2"/>
        <v>0.57999999999999996</v>
      </c>
      <c r="G45">
        <f t="shared" si="3"/>
        <v>50.375</v>
      </c>
      <c r="H45">
        <f t="shared" si="4"/>
        <v>1</v>
      </c>
      <c r="I45">
        <f t="shared" si="5"/>
        <v>-0.36695108753749267</v>
      </c>
      <c r="J45">
        <f t="shared" si="6"/>
        <v>-0.2091427834749878</v>
      </c>
      <c r="K45">
        <f t="shared" si="7"/>
        <v>0.54823069783815404</v>
      </c>
      <c r="L45">
        <f t="shared" si="8"/>
        <v>-0.60105909916546774</v>
      </c>
      <c r="M45">
        <f t="shared" si="13"/>
        <v>0.57568238213399503</v>
      </c>
      <c r="N45">
        <f t="shared" si="10"/>
        <v>0.42431761786600497</v>
      </c>
      <c r="P45">
        <f t="shared" si="11"/>
        <v>700</v>
      </c>
      <c r="Q45">
        <f t="shared" si="12"/>
        <v>671</v>
      </c>
    </row>
    <row r="46" spans="1:17" x14ac:dyDescent="0.35">
      <c r="A46">
        <v>2021</v>
      </c>
      <c r="B46" s="15">
        <v>147</v>
      </c>
      <c r="C46" s="15">
        <v>32</v>
      </c>
      <c r="D46" s="12">
        <f t="shared" si="0"/>
        <v>18.375</v>
      </c>
      <c r="E46" s="27">
        <f t="shared" si="1"/>
        <v>0.36749999999999999</v>
      </c>
      <c r="F46" s="27">
        <f t="shared" si="2"/>
        <v>0.64</v>
      </c>
      <c r="G46">
        <f t="shared" si="3"/>
        <v>50.375</v>
      </c>
      <c r="H46">
        <f t="shared" si="4"/>
        <v>1</v>
      </c>
      <c r="I46">
        <f t="shared" si="5"/>
        <v>-1.2201636857175644</v>
      </c>
      <c r="J46">
        <f t="shared" si="6"/>
        <v>0.13747423176702911</v>
      </c>
      <c r="K46">
        <f t="shared" si="7"/>
        <v>0.39829978981318204</v>
      </c>
      <c r="L46">
        <f t="shared" si="8"/>
        <v>-0.92055031650448937</v>
      </c>
      <c r="M46">
        <f t="shared" si="13"/>
        <v>0.63523573200992556</v>
      </c>
      <c r="N46">
        <f t="shared" si="10"/>
        <v>0.36476426799007444</v>
      </c>
      <c r="P46">
        <f t="shared" si="11"/>
        <v>1069.5</v>
      </c>
      <c r="Q46">
        <f t="shared" si="12"/>
        <v>564</v>
      </c>
    </row>
    <row r="47" spans="1:17" x14ac:dyDescent="0.35">
      <c r="A47">
        <v>2021</v>
      </c>
      <c r="B47" s="15">
        <v>178</v>
      </c>
      <c r="C47" s="15">
        <v>28</v>
      </c>
      <c r="D47" s="12">
        <f t="shared" si="0"/>
        <v>22.25</v>
      </c>
      <c r="E47" s="27">
        <f t="shared" si="1"/>
        <v>0.44500000000000001</v>
      </c>
      <c r="F47" s="27">
        <f t="shared" si="2"/>
        <v>0.56000000000000005</v>
      </c>
      <c r="G47">
        <f t="shared" si="3"/>
        <v>50.25</v>
      </c>
      <c r="H47">
        <f t="shared" si="4"/>
        <v>1</v>
      </c>
      <c r="I47">
        <f t="shared" si="5"/>
        <v>-0.11809741306830505</v>
      </c>
      <c r="J47">
        <f t="shared" si="6"/>
        <v>-0.3246817885556601</v>
      </c>
      <c r="K47">
        <f t="shared" si="7"/>
        <v>0.55972002351114647</v>
      </c>
      <c r="L47">
        <f t="shared" si="8"/>
        <v>-0.58031857828943256</v>
      </c>
      <c r="M47">
        <f t="shared" si="13"/>
        <v>0.55721393034825872</v>
      </c>
      <c r="N47">
        <f t="shared" si="10"/>
        <v>0.44278606965174128</v>
      </c>
      <c r="P47">
        <f t="shared" si="11"/>
        <v>564.5</v>
      </c>
      <c r="Q47">
        <f t="shared" si="12"/>
        <v>709.5</v>
      </c>
    </row>
    <row r="48" spans="1:17" x14ac:dyDescent="0.35">
      <c r="A48">
        <v>2021</v>
      </c>
      <c r="B48" s="15">
        <v>178</v>
      </c>
      <c r="C48" s="15">
        <v>28</v>
      </c>
      <c r="D48" s="12">
        <f t="shared" si="0"/>
        <v>22.25</v>
      </c>
      <c r="E48" s="27">
        <f t="shared" si="1"/>
        <v>0.44500000000000001</v>
      </c>
      <c r="F48" s="27">
        <f t="shared" si="2"/>
        <v>0.56000000000000005</v>
      </c>
      <c r="G48">
        <f t="shared" si="3"/>
        <v>50.25</v>
      </c>
      <c r="H48">
        <f t="shared" si="4"/>
        <v>1</v>
      </c>
      <c r="I48">
        <f t="shared" si="5"/>
        <v>-0.11809741306830505</v>
      </c>
      <c r="J48">
        <f t="shared" si="6"/>
        <v>-0.3246817885556601</v>
      </c>
      <c r="K48">
        <f t="shared" si="7"/>
        <v>0.55972002351114647</v>
      </c>
      <c r="L48">
        <f t="shared" si="8"/>
        <v>-0.58031857828943256</v>
      </c>
      <c r="M48">
        <f t="shared" si="13"/>
        <v>0.55721393034825872</v>
      </c>
      <c r="N48">
        <f t="shared" si="10"/>
        <v>0.44278606965174128</v>
      </c>
      <c r="P48">
        <f t="shared" si="11"/>
        <v>564.5</v>
      </c>
      <c r="Q48">
        <f t="shared" si="12"/>
        <v>709.5</v>
      </c>
    </row>
    <row r="49" spans="1:17" x14ac:dyDescent="0.35">
      <c r="A49">
        <v>2021</v>
      </c>
      <c r="B49" s="15">
        <v>169</v>
      </c>
      <c r="C49" s="15">
        <v>29</v>
      </c>
      <c r="D49" s="12">
        <f t="shared" si="0"/>
        <v>21.125</v>
      </c>
      <c r="E49" s="27">
        <f t="shared" si="1"/>
        <v>0.42249999999999999</v>
      </c>
      <c r="F49" s="27">
        <f t="shared" si="2"/>
        <v>0.57999999999999996</v>
      </c>
      <c r="G49">
        <f t="shared" si="3"/>
        <v>50.125</v>
      </c>
      <c r="H49">
        <f t="shared" si="4"/>
        <v>1</v>
      </c>
      <c r="I49">
        <f t="shared" si="5"/>
        <v>-0.43805213738583199</v>
      </c>
      <c r="J49">
        <f t="shared" si="6"/>
        <v>-0.2091427834749878</v>
      </c>
      <c r="K49">
        <f t="shared" si="7"/>
        <v>0.47065242505265842</v>
      </c>
      <c r="L49">
        <f t="shared" si="8"/>
        <v>-0.75363540844155663</v>
      </c>
      <c r="M49">
        <f t="shared" si="13"/>
        <v>0.5785536159600998</v>
      </c>
      <c r="N49">
        <f t="shared" si="10"/>
        <v>0.42144638403990026</v>
      </c>
      <c r="P49">
        <f t="shared" si="11"/>
        <v>744.5</v>
      </c>
      <c r="Q49">
        <f t="shared" si="12"/>
        <v>671</v>
      </c>
    </row>
    <row r="50" spans="1:17" x14ac:dyDescent="0.35">
      <c r="A50">
        <v>2021</v>
      </c>
      <c r="B50" s="15">
        <v>185</v>
      </c>
      <c r="C50" s="15">
        <v>27</v>
      </c>
      <c r="D50" s="12">
        <f t="shared" si="0"/>
        <v>23.125</v>
      </c>
      <c r="E50" s="27">
        <f t="shared" si="1"/>
        <v>0.46250000000000002</v>
      </c>
      <c r="F50" s="27">
        <f t="shared" si="2"/>
        <v>0.54</v>
      </c>
      <c r="G50">
        <f t="shared" si="3"/>
        <v>50.125</v>
      </c>
      <c r="H50">
        <f t="shared" si="4"/>
        <v>1</v>
      </c>
      <c r="I50">
        <f t="shared" si="5"/>
        <v>0.13075626140088253</v>
      </c>
      <c r="J50">
        <f t="shared" si="6"/>
        <v>-0.44022079363633243</v>
      </c>
      <c r="K50">
        <f t="shared" si="7"/>
        <v>0.57114572421700815</v>
      </c>
      <c r="L50">
        <f t="shared" si="8"/>
        <v>-0.56011089309999551</v>
      </c>
      <c r="M50">
        <f t="shared" si="13"/>
        <v>0.53865336658354113</v>
      </c>
      <c r="N50">
        <f t="shared" si="10"/>
        <v>0.46134663341645887</v>
      </c>
      <c r="P50">
        <f t="shared" si="11"/>
        <v>428.5</v>
      </c>
      <c r="Q50">
        <f t="shared" si="12"/>
        <v>752.5</v>
      </c>
    </row>
    <row r="51" spans="1:17" x14ac:dyDescent="0.35">
      <c r="A51">
        <v>2021</v>
      </c>
      <c r="B51" s="15">
        <v>134</v>
      </c>
      <c r="C51" s="15">
        <v>33</v>
      </c>
      <c r="D51" s="12">
        <f t="shared" si="0"/>
        <v>16.75</v>
      </c>
      <c r="E51" s="27">
        <f t="shared" si="1"/>
        <v>0.33500000000000002</v>
      </c>
      <c r="F51" s="27">
        <f t="shared" si="2"/>
        <v>0.66</v>
      </c>
      <c r="G51">
        <f t="shared" si="3"/>
        <v>49.75</v>
      </c>
      <c r="H51">
        <f t="shared" si="4"/>
        <v>0</v>
      </c>
      <c r="I51">
        <f t="shared" si="5"/>
        <v>-1.6823205097317699</v>
      </c>
      <c r="J51">
        <f t="shared" si="6"/>
        <v>0.25301323684770138</v>
      </c>
      <c r="K51">
        <f t="shared" si="7"/>
        <v>0.19905590374010296</v>
      </c>
      <c r="L51">
        <f t="shared" si="8"/>
        <v>-0.2219641267839686</v>
      </c>
      <c r="M51">
        <f t="shared" si="13"/>
        <v>0.66331658291457285</v>
      </c>
      <c r="N51">
        <f t="shared" si="10"/>
        <v>0.33668341708542715</v>
      </c>
      <c r="P51">
        <f t="shared" si="11"/>
        <v>1123</v>
      </c>
      <c r="Q51">
        <f t="shared" si="12"/>
        <v>523.5</v>
      </c>
    </row>
    <row r="52" spans="1:17" x14ac:dyDescent="0.35">
      <c r="A52">
        <v>2021</v>
      </c>
      <c r="B52" s="15">
        <v>182</v>
      </c>
      <c r="C52" s="15">
        <v>27</v>
      </c>
      <c r="D52" s="12">
        <f t="shared" si="0"/>
        <v>22.75</v>
      </c>
      <c r="E52" s="27">
        <f t="shared" si="1"/>
        <v>0.45500000000000002</v>
      </c>
      <c r="F52" s="27">
        <f t="shared" si="2"/>
        <v>0.54</v>
      </c>
      <c r="G52">
        <f t="shared" si="3"/>
        <v>49.75</v>
      </c>
      <c r="H52">
        <f t="shared" si="4"/>
        <v>0</v>
      </c>
      <c r="I52">
        <f t="shared" si="5"/>
        <v>2.4104686628373572E-2</v>
      </c>
      <c r="J52">
        <f t="shared" si="6"/>
        <v>-0.44022079363633243</v>
      </c>
      <c r="K52">
        <f t="shared" si="7"/>
        <v>0.45510928913686971</v>
      </c>
      <c r="L52">
        <f t="shared" si="8"/>
        <v>-0.60717003495419386</v>
      </c>
      <c r="M52">
        <f t="shared" si="13"/>
        <v>0.542713567839196</v>
      </c>
      <c r="N52">
        <f t="shared" si="10"/>
        <v>0.457286432160804</v>
      </c>
      <c r="P52">
        <f t="shared" si="11"/>
        <v>484.5</v>
      </c>
      <c r="Q52">
        <f t="shared" si="12"/>
        <v>752.5</v>
      </c>
    </row>
    <row r="53" spans="1:17" x14ac:dyDescent="0.35">
      <c r="A53">
        <v>2021</v>
      </c>
      <c r="B53" s="15">
        <v>190</v>
      </c>
      <c r="C53" s="15">
        <v>26</v>
      </c>
      <c r="D53" s="12">
        <f t="shared" si="0"/>
        <v>23.75</v>
      </c>
      <c r="E53" s="27">
        <f t="shared" si="1"/>
        <v>0.47499999999999998</v>
      </c>
      <c r="F53" s="27">
        <f t="shared" si="2"/>
        <v>0.52</v>
      </c>
      <c r="G53">
        <f t="shared" si="3"/>
        <v>49.75</v>
      </c>
      <c r="H53">
        <f t="shared" si="4"/>
        <v>0</v>
      </c>
      <c r="I53">
        <f t="shared" si="5"/>
        <v>0.30850888602173082</v>
      </c>
      <c r="J53">
        <f t="shared" si="6"/>
        <v>-0.55575979871700476</v>
      </c>
      <c r="K53">
        <f t="shared" si="7"/>
        <v>0.50549443871907296</v>
      </c>
      <c r="L53">
        <f t="shared" si="8"/>
        <v>-0.70419688171177586</v>
      </c>
      <c r="M53">
        <f t="shared" si="13"/>
        <v>0.52261306532663321</v>
      </c>
      <c r="N53">
        <f t="shared" si="10"/>
        <v>0.47738693467336685</v>
      </c>
      <c r="P53">
        <f t="shared" si="11"/>
        <v>341</v>
      </c>
      <c r="Q53">
        <f t="shared" si="12"/>
        <v>796</v>
      </c>
    </row>
    <row r="54" spans="1:17" x14ac:dyDescent="0.35">
      <c r="A54">
        <v>2021</v>
      </c>
      <c r="B54" s="15">
        <v>155</v>
      </c>
      <c r="C54" s="15">
        <v>30</v>
      </c>
      <c r="D54" s="12">
        <f t="shared" si="0"/>
        <v>19.375</v>
      </c>
      <c r="E54" s="27">
        <f t="shared" si="1"/>
        <v>0.38750000000000001</v>
      </c>
      <c r="F54" s="27">
        <f t="shared" si="2"/>
        <v>0.6</v>
      </c>
      <c r="G54">
        <f t="shared" si="3"/>
        <v>49.375</v>
      </c>
      <c r="H54">
        <f t="shared" si="4"/>
        <v>0</v>
      </c>
      <c r="I54">
        <f t="shared" si="5"/>
        <v>-0.93575948632420713</v>
      </c>
      <c r="J54">
        <f t="shared" si="6"/>
        <v>-9.3603778394315509E-2</v>
      </c>
      <c r="K54">
        <f t="shared" si="7"/>
        <v>0.22223286093858088</v>
      </c>
      <c r="L54">
        <f t="shared" si="8"/>
        <v>-0.25132810672405953</v>
      </c>
      <c r="M54">
        <f t="shared" si="13"/>
        <v>0.60759493670886078</v>
      </c>
      <c r="N54">
        <f t="shared" si="10"/>
        <v>0.39240506329113922</v>
      </c>
      <c r="P54">
        <f t="shared" si="11"/>
        <v>985</v>
      </c>
      <c r="Q54">
        <f t="shared" si="12"/>
        <v>639</v>
      </c>
    </row>
    <row r="55" spans="1:17" x14ac:dyDescent="0.35">
      <c r="A55">
        <v>2021</v>
      </c>
      <c r="B55" s="15">
        <v>169</v>
      </c>
      <c r="C55" s="15">
        <v>28</v>
      </c>
      <c r="D55" s="12">
        <f t="shared" si="0"/>
        <v>21.125</v>
      </c>
      <c r="E55" s="27">
        <f t="shared" si="1"/>
        <v>0.42249999999999999</v>
      </c>
      <c r="F55" s="27">
        <f t="shared" si="2"/>
        <v>0.56000000000000005</v>
      </c>
      <c r="G55">
        <f t="shared" si="3"/>
        <v>49.125</v>
      </c>
      <c r="H55">
        <f t="shared" si="4"/>
        <v>0</v>
      </c>
      <c r="I55">
        <f t="shared" si="5"/>
        <v>-0.43805213738583199</v>
      </c>
      <c r="J55">
        <f t="shared" si="6"/>
        <v>-0.3246817885556601</v>
      </c>
      <c r="K55">
        <f t="shared" si="7"/>
        <v>0.23872203133242897</v>
      </c>
      <c r="L55">
        <f t="shared" si="8"/>
        <v>-0.2727567201829329</v>
      </c>
      <c r="M55">
        <f t="shared" si="13"/>
        <v>0.56997455470737912</v>
      </c>
      <c r="N55">
        <f t="shared" si="10"/>
        <v>0.43002544529262088</v>
      </c>
      <c r="P55">
        <f t="shared" si="11"/>
        <v>744.5</v>
      </c>
      <c r="Q55">
        <f t="shared" si="12"/>
        <v>709.5</v>
      </c>
    </row>
    <row r="56" spans="1:17" x14ac:dyDescent="0.35">
      <c r="A56">
        <v>2021</v>
      </c>
      <c r="B56" s="15">
        <v>198</v>
      </c>
      <c r="C56" s="15">
        <v>24</v>
      </c>
      <c r="D56" s="12">
        <f t="shared" si="0"/>
        <v>24.75</v>
      </c>
      <c r="E56" s="27">
        <f t="shared" si="1"/>
        <v>0.495</v>
      </c>
      <c r="F56" s="27">
        <f t="shared" si="2"/>
        <v>0.48</v>
      </c>
      <c r="G56">
        <f t="shared" si="3"/>
        <v>48.75</v>
      </c>
      <c r="H56">
        <f t="shared" si="4"/>
        <v>0</v>
      </c>
      <c r="I56">
        <f t="shared" si="5"/>
        <v>0.59291308541508814</v>
      </c>
      <c r="J56">
        <f t="shared" si="6"/>
        <v>-0.78683780887834931</v>
      </c>
      <c r="K56">
        <f t="shared" si="7"/>
        <v>0.3061525942276026</v>
      </c>
      <c r="L56">
        <f t="shared" si="8"/>
        <v>-0.36550321906034339</v>
      </c>
      <c r="M56">
        <f t="shared" si="13"/>
        <v>0.49230769230769234</v>
      </c>
      <c r="N56">
        <f t="shared" si="10"/>
        <v>0.50769230769230766</v>
      </c>
      <c r="P56">
        <f t="shared" si="11"/>
        <v>251</v>
      </c>
      <c r="Q56">
        <f t="shared" si="12"/>
        <v>870</v>
      </c>
    </row>
    <row r="57" spans="1:17" x14ac:dyDescent="0.35">
      <c r="A57">
        <v>2021</v>
      </c>
      <c r="B57" s="15">
        <v>174</v>
      </c>
      <c r="C57" s="15">
        <v>27</v>
      </c>
      <c r="D57" s="12">
        <f t="shared" si="0"/>
        <v>21.75</v>
      </c>
      <c r="E57" s="27">
        <f t="shared" si="1"/>
        <v>0.435</v>
      </c>
      <c r="F57" s="27">
        <f t="shared" si="2"/>
        <v>0.54</v>
      </c>
      <c r="G57">
        <f t="shared" si="3"/>
        <v>48.75</v>
      </c>
      <c r="H57">
        <f t="shared" si="4"/>
        <v>0</v>
      </c>
      <c r="I57">
        <f t="shared" si="5"/>
        <v>-0.2602995127649837</v>
      </c>
      <c r="J57">
        <f t="shared" si="6"/>
        <v>-0.44022079363633243</v>
      </c>
      <c r="K57">
        <f t="shared" si="7"/>
        <v>0.19399660416031517</v>
      </c>
      <c r="L57">
        <f t="shared" si="8"/>
        <v>-0.21566732328378274</v>
      </c>
      <c r="M57">
        <f t="shared" si="13"/>
        <v>0.55384615384615388</v>
      </c>
      <c r="N57">
        <f t="shared" si="10"/>
        <v>0.44615384615384618</v>
      </c>
      <c r="P57">
        <f t="shared" si="11"/>
        <v>653</v>
      </c>
      <c r="Q57">
        <f t="shared" si="12"/>
        <v>752.5</v>
      </c>
    </row>
    <row r="58" spans="1:17" x14ac:dyDescent="0.35">
      <c r="A58">
        <v>2021</v>
      </c>
      <c r="B58" s="15">
        <v>193</v>
      </c>
      <c r="C58" s="15">
        <v>24</v>
      </c>
      <c r="D58" s="12">
        <f t="shared" si="0"/>
        <v>24.125</v>
      </c>
      <c r="E58" s="27">
        <f t="shared" si="1"/>
        <v>0.48249999999999998</v>
      </c>
      <c r="F58" s="27">
        <f t="shared" si="2"/>
        <v>0.48</v>
      </c>
      <c r="G58">
        <f t="shared" si="3"/>
        <v>48.125</v>
      </c>
      <c r="H58">
        <f t="shared" si="4"/>
        <v>0</v>
      </c>
      <c r="I58">
        <f t="shared" si="5"/>
        <v>0.41516046079423979</v>
      </c>
      <c r="J58">
        <f t="shared" si="6"/>
        <v>-0.78683780887834931</v>
      </c>
      <c r="K58">
        <f t="shared" si="7"/>
        <v>0.16857039675310898</v>
      </c>
      <c r="L58">
        <f t="shared" si="8"/>
        <v>-0.18460864629413939</v>
      </c>
      <c r="M58">
        <f t="shared" si="13"/>
        <v>0.4987012987012987</v>
      </c>
      <c r="N58">
        <f t="shared" si="10"/>
        <v>0.50129870129870124</v>
      </c>
      <c r="P58">
        <f t="shared" si="11"/>
        <v>307</v>
      </c>
      <c r="Q58">
        <f t="shared" si="12"/>
        <v>870</v>
      </c>
    </row>
    <row r="59" spans="1:17" x14ac:dyDescent="0.35">
      <c r="A59">
        <v>2021</v>
      </c>
      <c r="B59" s="15">
        <v>158</v>
      </c>
      <c r="C59" s="15">
        <v>28</v>
      </c>
      <c r="D59" s="12">
        <f t="shared" si="0"/>
        <v>19.75</v>
      </c>
      <c r="E59" s="27">
        <f t="shared" si="1"/>
        <v>0.39500000000000002</v>
      </c>
      <c r="F59" s="27">
        <f t="shared" si="2"/>
        <v>0.56000000000000005</v>
      </c>
      <c r="G59">
        <f t="shared" si="3"/>
        <v>47.75</v>
      </c>
      <c r="H59">
        <f t="shared" si="4"/>
        <v>0</v>
      </c>
      <c r="I59">
        <f t="shared" si="5"/>
        <v>-0.82910791155169816</v>
      </c>
      <c r="J59">
        <f t="shared" si="6"/>
        <v>-0.3246817885556601</v>
      </c>
      <c r="K59">
        <f t="shared" si="7"/>
        <v>5.3632626991226395E-2</v>
      </c>
      <c r="L59">
        <f t="shared" si="8"/>
        <v>-5.5124441755031582E-2</v>
      </c>
      <c r="M59">
        <f t="shared" si="13"/>
        <v>0.58638743455497377</v>
      </c>
      <c r="N59">
        <f t="shared" si="10"/>
        <v>0.41361256544502617</v>
      </c>
      <c r="P59">
        <f t="shared" si="11"/>
        <v>940.5</v>
      </c>
      <c r="Q59">
        <f t="shared" si="12"/>
        <v>709.5</v>
      </c>
    </row>
    <row r="60" spans="1:17" x14ac:dyDescent="0.35">
      <c r="A60">
        <v>2021</v>
      </c>
      <c r="B60" s="15">
        <v>157</v>
      </c>
      <c r="C60" s="15">
        <v>28</v>
      </c>
      <c r="D60" s="12">
        <f t="shared" si="0"/>
        <v>19.625</v>
      </c>
      <c r="E60" s="27">
        <f t="shared" si="1"/>
        <v>0.39250000000000002</v>
      </c>
      <c r="F60" s="27">
        <f t="shared" si="2"/>
        <v>0.56000000000000005</v>
      </c>
      <c r="G60">
        <f t="shared" si="3"/>
        <v>47.625</v>
      </c>
      <c r="H60">
        <f t="shared" si="4"/>
        <v>0</v>
      </c>
      <c r="I60">
        <f t="shared" si="5"/>
        <v>-0.86465843647586782</v>
      </c>
      <c r="J60">
        <f t="shared" si="6"/>
        <v>-0.3246817885556601</v>
      </c>
      <c r="K60">
        <f t="shared" si="7"/>
        <v>4.6265084815248693E-2</v>
      </c>
      <c r="L60">
        <f t="shared" si="8"/>
        <v>-4.7369512828600677E-2</v>
      </c>
      <c r="M60">
        <f t="shared" si="13"/>
        <v>0.5879265091863517</v>
      </c>
      <c r="N60">
        <f t="shared" si="10"/>
        <v>0.4120734908136483</v>
      </c>
      <c r="P60">
        <f t="shared" si="11"/>
        <v>954</v>
      </c>
      <c r="Q60">
        <f t="shared" si="12"/>
        <v>709.5</v>
      </c>
    </row>
    <row r="61" spans="1:17" x14ac:dyDescent="0.35">
      <c r="A61">
        <v>2021</v>
      </c>
      <c r="B61" s="15">
        <v>164</v>
      </c>
      <c r="C61" s="15">
        <v>27</v>
      </c>
      <c r="D61" s="12">
        <f t="shared" si="0"/>
        <v>20.5</v>
      </c>
      <c r="E61" s="27">
        <f t="shared" si="1"/>
        <v>0.41</v>
      </c>
      <c r="F61" s="27">
        <f t="shared" si="2"/>
        <v>0.54</v>
      </c>
      <c r="G61">
        <f t="shared" si="3"/>
        <v>47.5</v>
      </c>
      <c r="H61">
        <f t="shared" si="4"/>
        <v>0</v>
      </c>
      <c r="I61">
        <f t="shared" si="5"/>
        <v>-0.61580476200668022</v>
      </c>
      <c r="J61">
        <f t="shared" si="6"/>
        <v>-0.44022079363633243</v>
      </c>
      <c r="K61">
        <f t="shared" si="7"/>
        <v>4.8360779205313814E-2</v>
      </c>
      <c r="L61">
        <f t="shared" si="8"/>
        <v>-4.9569285771437092E-2</v>
      </c>
      <c r="M61">
        <f t="shared" si="13"/>
        <v>0.56842105263157894</v>
      </c>
      <c r="N61">
        <f t="shared" si="10"/>
        <v>0.43157894736842106</v>
      </c>
      <c r="P61">
        <f t="shared" si="11"/>
        <v>844.5</v>
      </c>
      <c r="Q61">
        <f t="shared" si="12"/>
        <v>752.5</v>
      </c>
    </row>
    <row r="62" spans="1:17" x14ac:dyDescent="0.35">
      <c r="A62">
        <v>2021</v>
      </c>
      <c r="B62" s="15">
        <v>153</v>
      </c>
      <c r="C62" s="15">
        <v>28</v>
      </c>
      <c r="D62" s="12">
        <f t="shared" si="0"/>
        <v>19.125</v>
      </c>
      <c r="E62" s="27">
        <f t="shared" si="1"/>
        <v>0.38250000000000001</v>
      </c>
      <c r="F62" s="27">
        <f t="shared" si="2"/>
        <v>0.56000000000000005</v>
      </c>
      <c r="G62">
        <f t="shared" si="3"/>
        <v>47.125</v>
      </c>
      <c r="H62">
        <f t="shared" si="4"/>
        <v>0</v>
      </c>
      <c r="I62">
        <f t="shared" si="5"/>
        <v>-1.0068605361725464</v>
      </c>
      <c r="J62">
        <f t="shared" si="6"/>
        <v>-0.3246817885556601</v>
      </c>
      <c r="K62">
        <f t="shared" si="7"/>
        <v>2.5379707386250849E-2</v>
      </c>
      <c r="L62">
        <f t="shared" si="8"/>
        <v>-2.5707327310171245E-2</v>
      </c>
      <c r="M62">
        <f t="shared" si="13"/>
        <v>0.59416445623342173</v>
      </c>
      <c r="N62">
        <f t="shared" si="10"/>
        <v>0.40583554376657827</v>
      </c>
      <c r="P62">
        <f t="shared" si="11"/>
        <v>1004.5</v>
      </c>
      <c r="Q62">
        <f t="shared" si="12"/>
        <v>709.5</v>
      </c>
    </row>
    <row r="63" spans="1:17" x14ac:dyDescent="0.35">
      <c r="A63">
        <v>2021</v>
      </c>
      <c r="B63" s="15">
        <v>184</v>
      </c>
      <c r="C63" s="15">
        <v>24</v>
      </c>
      <c r="D63" s="12">
        <f t="shared" si="0"/>
        <v>23</v>
      </c>
      <c r="E63" s="27">
        <f t="shared" si="1"/>
        <v>0.46</v>
      </c>
      <c r="F63" s="27">
        <f t="shared" si="2"/>
        <v>0.48</v>
      </c>
      <c r="G63">
        <f t="shared" si="3"/>
        <v>47</v>
      </c>
      <c r="H63">
        <f t="shared" si="4"/>
        <v>0</v>
      </c>
      <c r="I63">
        <f t="shared" si="5"/>
        <v>9.5205736476712891E-2</v>
      </c>
      <c r="J63">
        <f t="shared" si="6"/>
        <v>-0.78683780887834931</v>
      </c>
      <c r="K63">
        <f t="shared" si="7"/>
        <v>4.7628775991783119E-2</v>
      </c>
      <c r="L63">
        <f t="shared" si="8"/>
        <v>-4.8800379012975667E-2</v>
      </c>
      <c r="M63">
        <f t="shared" si="13"/>
        <v>0.51063829787234039</v>
      </c>
      <c r="N63">
        <f t="shared" si="10"/>
        <v>0.48936170212765956</v>
      </c>
      <c r="P63">
        <f t="shared" si="11"/>
        <v>445</v>
      </c>
      <c r="Q63">
        <f t="shared" si="12"/>
        <v>870</v>
      </c>
    </row>
    <row r="64" spans="1:17" x14ac:dyDescent="0.35">
      <c r="A64">
        <v>2021</v>
      </c>
      <c r="B64" s="15">
        <v>167</v>
      </c>
      <c r="C64" s="15">
        <v>26</v>
      </c>
      <c r="D64" s="12">
        <f t="shared" si="0"/>
        <v>20.875</v>
      </c>
      <c r="E64" s="27">
        <f t="shared" si="1"/>
        <v>0.41749999999999998</v>
      </c>
      <c r="F64" s="27">
        <f t="shared" si="2"/>
        <v>0.52</v>
      </c>
      <c r="G64">
        <f t="shared" si="3"/>
        <v>46.875</v>
      </c>
      <c r="H64">
        <f t="shared" si="4"/>
        <v>0</v>
      </c>
      <c r="I64">
        <f t="shared" si="5"/>
        <v>-0.50915318723417125</v>
      </c>
      <c r="J64">
        <f t="shared" si="6"/>
        <v>-0.55575979871700476</v>
      </c>
      <c r="K64">
        <f t="shared" si="7"/>
        <v>2.7784603785611983E-2</v>
      </c>
      <c r="L64">
        <f t="shared" si="8"/>
        <v>-2.8177898027973384E-2</v>
      </c>
      <c r="M64">
        <f t="shared" si="13"/>
        <v>0.55466666666666664</v>
      </c>
      <c r="N64">
        <f t="shared" si="10"/>
        <v>0.44533333333333336</v>
      </c>
      <c r="P64">
        <f t="shared" si="11"/>
        <v>789.5</v>
      </c>
      <c r="Q64">
        <f t="shared" si="12"/>
        <v>796</v>
      </c>
    </row>
    <row r="65" spans="1:17" x14ac:dyDescent="0.35">
      <c r="A65">
        <v>2021</v>
      </c>
      <c r="B65" s="15">
        <v>183</v>
      </c>
      <c r="C65" s="15">
        <v>24</v>
      </c>
      <c r="D65" s="12">
        <f t="shared" si="0"/>
        <v>22.875</v>
      </c>
      <c r="E65" s="27">
        <f t="shared" si="1"/>
        <v>0.45750000000000002</v>
      </c>
      <c r="F65" s="27">
        <f t="shared" si="2"/>
        <v>0.48</v>
      </c>
      <c r="G65">
        <f t="shared" si="3"/>
        <v>46.875</v>
      </c>
      <c r="H65">
        <f t="shared" si="4"/>
        <v>0</v>
      </c>
      <c r="I65">
        <f t="shared" si="5"/>
        <v>5.9655211552543233E-2</v>
      </c>
      <c r="J65">
        <f t="shared" si="6"/>
        <v>-0.78683780887834931</v>
      </c>
      <c r="K65">
        <f t="shared" si="7"/>
        <v>4.1050211029675217E-2</v>
      </c>
      <c r="L65">
        <f t="shared" si="8"/>
        <v>-4.1916563164588284E-2</v>
      </c>
      <c r="M65">
        <f t="shared" si="13"/>
        <v>0.51200000000000001</v>
      </c>
      <c r="N65">
        <f t="shared" si="10"/>
        <v>0.48799999999999999</v>
      </c>
      <c r="P65">
        <f t="shared" si="11"/>
        <v>465</v>
      </c>
      <c r="Q65">
        <f t="shared" si="12"/>
        <v>870</v>
      </c>
    </row>
    <row r="66" spans="1:17" x14ac:dyDescent="0.35">
      <c r="A66">
        <v>2021</v>
      </c>
      <c r="B66" s="15">
        <v>174</v>
      </c>
      <c r="C66" s="15">
        <v>25</v>
      </c>
      <c r="D66" s="12">
        <f t="shared" si="0"/>
        <v>21.75</v>
      </c>
      <c r="E66" s="27">
        <f t="shared" si="1"/>
        <v>0.435</v>
      </c>
      <c r="F66" s="27">
        <f t="shared" si="2"/>
        <v>0.5</v>
      </c>
      <c r="G66">
        <f t="shared" si="3"/>
        <v>46.75</v>
      </c>
      <c r="H66">
        <f t="shared" si="4"/>
        <v>0</v>
      </c>
      <c r="I66">
        <f t="shared" si="5"/>
        <v>-0.2602995127649837</v>
      </c>
      <c r="J66">
        <f t="shared" si="6"/>
        <v>-0.67129880379767704</v>
      </c>
      <c r="K66">
        <f t="shared" si="7"/>
        <v>2.9068692321298127E-2</v>
      </c>
      <c r="L66">
        <f t="shared" si="8"/>
        <v>-2.9499557087510307E-2</v>
      </c>
      <c r="M66">
        <f t="shared" si="13"/>
        <v>0.53475935828877008</v>
      </c>
      <c r="N66">
        <f t="shared" si="10"/>
        <v>0.46524064171122997</v>
      </c>
      <c r="P66">
        <f t="shared" si="11"/>
        <v>653</v>
      </c>
      <c r="Q66">
        <f t="shared" si="12"/>
        <v>835</v>
      </c>
    </row>
    <row r="67" spans="1:17" x14ac:dyDescent="0.35">
      <c r="A67">
        <v>2021</v>
      </c>
      <c r="B67" s="15">
        <v>182</v>
      </c>
      <c r="C67" s="15">
        <v>24</v>
      </c>
      <c r="D67" s="12">
        <f t="shared" ref="D67:D130" si="14">B67/8</f>
        <v>22.75</v>
      </c>
      <c r="E67" s="27">
        <f t="shared" ref="E67:E130" si="15">B67/400</f>
        <v>0.45500000000000002</v>
      </c>
      <c r="F67" s="27">
        <f t="shared" ref="F67:F130" si="16">C67/50</f>
        <v>0.48</v>
      </c>
      <c r="G67">
        <f t="shared" ref="G67:G130" si="17">SUM(C67+D67)</f>
        <v>46.75</v>
      </c>
      <c r="H67">
        <f t="shared" ref="H67:H130" si="18">IF(G67&gt;=50,1,0)</f>
        <v>0</v>
      </c>
      <c r="I67">
        <f t="shared" ref="I67:I130" si="19" xml:space="preserve"> (D:D - AVERAGE(D:D)) / STDEV(D:D)</f>
        <v>2.4104686628373572E-2</v>
      </c>
      <c r="J67">
        <f t="shared" ref="J67:J130" si="20" xml:space="preserve"> (C:C - AVERAGE(C:C)) / STDEV(C:C)</f>
        <v>-0.78683780887834931</v>
      </c>
      <c r="K67">
        <f t="shared" ref="K67:K130" si="21">1/(1+EXP(-($AD$25 +$AD$26 * I67 +$AD$27 * J67 )))</f>
        <v>3.5346564697218461E-2</v>
      </c>
      <c r="L67">
        <f t="shared" ref="L67:L130" si="22">IF(K67=0, -1000, IF(K67=1, -1000, H67 * LN(K67) + (1 - H67) * LN(1 - K67)))</f>
        <v>-3.5986376548617069E-2</v>
      </c>
      <c r="M67">
        <f t="shared" ref="M67:M130" si="23">IF(G67=0, 0,  C67  / G67 )</f>
        <v>0.5133689839572193</v>
      </c>
      <c r="N67">
        <f t="shared" ref="N67:N130" si="24">IF(G67=0, 0,  D67  / G67 )</f>
        <v>0.48663101604278075</v>
      </c>
      <c r="P67">
        <f t="shared" ref="P67:P130" si="25">_xlfn.RANK.AVG(B67,$B$2:$B$1144)</f>
        <v>484.5</v>
      </c>
      <c r="Q67">
        <f t="shared" ref="Q67:Q130" si="26">_xlfn.RANK.AVG(C67,$C$2:$C$1144)</f>
        <v>870</v>
      </c>
    </row>
    <row r="68" spans="1:17" x14ac:dyDescent="0.35">
      <c r="A68">
        <v>2021</v>
      </c>
      <c r="B68" s="15">
        <v>165</v>
      </c>
      <c r="C68" s="15">
        <v>26</v>
      </c>
      <c r="D68" s="12">
        <f t="shared" si="14"/>
        <v>20.625</v>
      </c>
      <c r="E68" s="27">
        <f t="shared" si="15"/>
        <v>0.41249999999999998</v>
      </c>
      <c r="F68" s="27">
        <f t="shared" si="16"/>
        <v>0.52</v>
      </c>
      <c r="G68">
        <f t="shared" si="17"/>
        <v>46.625</v>
      </c>
      <c r="H68">
        <f t="shared" si="18"/>
        <v>0</v>
      </c>
      <c r="I68">
        <f t="shared" si="19"/>
        <v>-0.58025423708251056</v>
      </c>
      <c r="J68">
        <f t="shared" si="20"/>
        <v>-0.55575979871700476</v>
      </c>
      <c r="K68">
        <f t="shared" si="21"/>
        <v>2.0509481919362995E-2</v>
      </c>
      <c r="L68">
        <f t="shared" si="22"/>
        <v>-2.0722722011280757E-2</v>
      </c>
      <c r="M68">
        <f t="shared" si="23"/>
        <v>0.55764075067024133</v>
      </c>
      <c r="N68">
        <f t="shared" si="24"/>
        <v>0.44235924932975873</v>
      </c>
      <c r="P68">
        <f t="shared" si="25"/>
        <v>826.5</v>
      </c>
      <c r="Q68">
        <f t="shared" si="26"/>
        <v>796</v>
      </c>
    </row>
    <row r="69" spans="1:17" x14ac:dyDescent="0.35">
      <c r="A69">
        <v>2021</v>
      </c>
      <c r="B69" s="15">
        <v>188</v>
      </c>
      <c r="C69" s="15">
        <v>23</v>
      </c>
      <c r="D69" s="12">
        <f t="shared" si="14"/>
        <v>23.5</v>
      </c>
      <c r="E69" s="27">
        <f t="shared" si="15"/>
        <v>0.47</v>
      </c>
      <c r="F69" s="27">
        <f t="shared" si="16"/>
        <v>0.46</v>
      </c>
      <c r="G69">
        <f t="shared" si="17"/>
        <v>46.5</v>
      </c>
      <c r="H69">
        <f t="shared" si="18"/>
        <v>0</v>
      </c>
      <c r="I69">
        <f t="shared" si="19"/>
        <v>0.23740783617339151</v>
      </c>
      <c r="J69">
        <f t="shared" si="20"/>
        <v>-0.90237681395902158</v>
      </c>
      <c r="K69">
        <f t="shared" si="21"/>
        <v>3.1811735074887722E-2</v>
      </c>
      <c r="L69">
        <f t="shared" si="22"/>
        <v>-3.2328722057007715E-2</v>
      </c>
      <c r="M69">
        <f t="shared" si="23"/>
        <v>0.4946236559139785</v>
      </c>
      <c r="N69">
        <f t="shared" si="24"/>
        <v>0.5053763440860215</v>
      </c>
      <c r="P69">
        <f t="shared" si="25"/>
        <v>374.5</v>
      </c>
      <c r="Q69">
        <f t="shared" si="26"/>
        <v>904</v>
      </c>
    </row>
    <row r="70" spans="1:17" x14ac:dyDescent="0.35">
      <c r="A70">
        <v>2021</v>
      </c>
      <c r="B70" s="15">
        <v>172</v>
      </c>
      <c r="C70" s="15">
        <v>25</v>
      </c>
      <c r="D70" s="12">
        <f t="shared" si="14"/>
        <v>21.5</v>
      </c>
      <c r="E70" s="27">
        <f t="shared" si="15"/>
        <v>0.43</v>
      </c>
      <c r="F70" s="27">
        <f t="shared" si="16"/>
        <v>0.5</v>
      </c>
      <c r="G70">
        <f t="shared" si="17"/>
        <v>46.5</v>
      </c>
      <c r="H70">
        <f t="shared" si="18"/>
        <v>0</v>
      </c>
      <c r="I70">
        <f t="shared" si="19"/>
        <v>-0.33140056261332301</v>
      </c>
      <c r="J70">
        <f t="shared" si="20"/>
        <v>-0.67129880379767704</v>
      </c>
      <c r="K70">
        <f t="shared" si="21"/>
        <v>2.1464767917990252E-2</v>
      </c>
      <c r="L70">
        <f t="shared" si="22"/>
        <v>-2.1698486578568196E-2</v>
      </c>
      <c r="M70">
        <f t="shared" si="23"/>
        <v>0.5376344086021505</v>
      </c>
      <c r="N70">
        <f t="shared" si="24"/>
        <v>0.46236559139784944</v>
      </c>
      <c r="P70">
        <f t="shared" si="25"/>
        <v>684</v>
      </c>
      <c r="Q70">
        <f t="shared" si="26"/>
        <v>835</v>
      </c>
    </row>
    <row r="71" spans="1:17" x14ac:dyDescent="0.35">
      <c r="A71">
        <v>2021</v>
      </c>
      <c r="B71" s="15">
        <v>163</v>
      </c>
      <c r="C71" s="15">
        <v>26</v>
      </c>
      <c r="D71" s="12">
        <f t="shared" si="14"/>
        <v>20.375</v>
      </c>
      <c r="E71" s="27">
        <f t="shared" si="15"/>
        <v>0.40749999999999997</v>
      </c>
      <c r="F71" s="27">
        <f t="shared" si="16"/>
        <v>0.52</v>
      </c>
      <c r="G71">
        <f t="shared" si="17"/>
        <v>46.375</v>
      </c>
      <c r="H71">
        <f t="shared" si="18"/>
        <v>0</v>
      </c>
      <c r="I71">
        <f t="shared" si="19"/>
        <v>-0.65135528693084987</v>
      </c>
      <c r="J71">
        <f t="shared" si="20"/>
        <v>-0.55575979871700476</v>
      </c>
      <c r="K71">
        <f t="shared" si="21"/>
        <v>1.5109673017663972E-2</v>
      </c>
      <c r="L71">
        <f t="shared" si="22"/>
        <v>-1.5224987174299627E-2</v>
      </c>
      <c r="M71">
        <f t="shared" si="23"/>
        <v>0.56064690026954178</v>
      </c>
      <c r="N71">
        <f t="shared" si="24"/>
        <v>0.43935309973045822</v>
      </c>
      <c r="P71">
        <f t="shared" si="25"/>
        <v>860.5</v>
      </c>
      <c r="Q71">
        <f t="shared" si="26"/>
        <v>796</v>
      </c>
    </row>
    <row r="72" spans="1:17" x14ac:dyDescent="0.35">
      <c r="A72">
        <v>2021</v>
      </c>
      <c r="B72" s="15">
        <v>163</v>
      </c>
      <c r="C72" s="15">
        <v>26</v>
      </c>
      <c r="D72" s="12">
        <f t="shared" si="14"/>
        <v>20.375</v>
      </c>
      <c r="E72" s="27">
        <f t="shared" si="15"/>
        <v>0.40749999999999997</v>
      </c>
      <c r="F72" s="27">
        <f t="shared" si="16"/>
        <v>0.52</v>
      </c>
      <c r="G72">
        <f t="shared" si="17"/>
        <v>46.375</v>
      </c>
      <c r="H72">
        <f t="shared" si="18"/>
        <v>0</v>
      </c>
      <c r="I72">
        <f t="shared" si="19"/>
        <v>-0.65135528693084987</v>
      </c>
      <c r="J72">
        <f t="shared" si="20"/>
        <v>-0.55575979871700476</v>
      </c>
      <c r="K72">
        <f t="shared" si="21"/>
        <v>1.5109673017663972E-2</v>
      </c>
      <c r="L72">
        <f t="shared" si="22"/>
        <v>-1.5224987174299627E-2</v>
      </c>
      <c r="M72">
        <f t="shared" si="23"/>
        <v>0.56064690026954178</v>
      </c>
      <c r="N72">
        <f t="shared" si="24"/>
        <v>0.43935309973045822</v>
      </c>
      <c r="P72">
        <f t="shared" si="25"/>
        <v>860.5</v>
      </c>
      <c r="Q72">
        <f t="shared" si="26"/>
        <v>796</v>
      </c>
    </row>
    <row r="73" spans="1:17" x14ac:dyDescent="0.35">
      <c r="A73">
        <v>2021</v>
      </c>
      <c r="B73" s="15">
        <v>146</v>
      </c>
      <c r="C73" s="15">
        <v>28</v>
      </c>
      <c r="D73" s="12">
        <f t="shared" si="14"/>
        <v>18.25</v>
      </c>
      <c r="E73" s="27">
        <f t="shared" si="15"/>
        <v>0.36499999999999999</v>
      </c>
      <c r="F73" s="27">
        <f t="shared" si="16"/>
        <v>0.56000000000000005</v>
      </c>
      <c r="G73">
        <f t="shared" si="17"/>
        <v>46.25</v>
      </c>
      <c r="H73">
        <f t="shared" si="18"/>
        <v>0</v>
      </c>
      <c r="I73">
        <f t="shared" si="19"/>
        <v>-1.2557142106417341</v>
      </c>
      <c r="J73">
        <f t="shared" si="20"/>
        <v>-0.3246817885556601</v>
      </c>
      <c r="K73">
        <f t="shared" si="21"/>
        <v>8.6907034439288183E-3</v>
      </c>
      <c r="L73">
        <f t="shared" si="22"/>
        <v>-8.7286878413189682E-3</v>
      </c>
      <c r="M73">
        <f t="shared" si="23"/>
        <v>0.60540540540540544</v>
      </c>
      <c r="N73">
        <f t="shared" si="24"/>
        <v>0.39459459459459462</v>
      </c>
      <c r="P73">
        <f t="shared" si="25"/>
        <v>1079</v>
      </c>
      <c r="Q73">
        <f t="shared" si="26"/>
        <v>709.5</v>
      </c>
    </row>
    <row r="74" spans="1:17" x14ac:dyDescent="0.35">
      <c r="A74">
        <v>2021</v>
      </c>
      <c r="B74" s="15">
        <v>186</v>
      </c>
      <c r="C74" s="15">
        <v>23</v>
      </c>
      <c r="D74" s="12">
        <f t="shared" si="14"/>
        <v>23.25</v>
      </c>
      <c r="E74" s="27">
        <f t="shared" si="15"/>
        <v>0.46500000000000002</v>
      </c>
      <c r="F74" s="27">
        <f t="shared" si="16"/>
        <v>0.46</v>
      </c>
      <c r="G74">
        <f t="shared" si="17"/>
        <v>46.25</v>
      </c>
      <c r="H74">
        <f t="shared" si="18"/>
        <v>0</v>
      </c>
      <c r="I74">
        <f t="shared" si="19"/>
        <v>0.16630678632505219</v>
      </c>
      <c r="J74">
        <f t="shared" si="20"/>
        <v>-0.90237681395902158</v>
      </c>
      <c r="K74">
        <f t="shared" si="21"/>
        <v>2.3507645354299445E-2</v>
      </c>
      <c r="L74">
        <f t="shared" si="22"/>
        <v>-2.3788358039933597E-2</v>
      </c>
      <c r="M74">
        <f t="shared" si="23"/>
        <v>0.49729729729729732</v>
      </c>
      <c r="N74">
        <f t="shared" si="24"/>
        <v>0.50270270270270268</v>
      </c>
      <c r="P74">
        <f t="shared" si="25"/>
        <v>411.5</v>
      </c>
      <c r="Q74">
        <f t="shared" si="26"/>
        <v>904</v>
      </c>
    </row>
    <row r="75" spans="1:17" x14ac:dyDescent="0.35">
      <c r="A75">
        <v>2021</v>
      </c>
      <c r="B75" s="15">
        <v>161</v>
      </c>
      <c r="C75" s="15">
        <v>26</v>
      </c>
      <c r="D75" s="12">
        <f t="shared" si="14"/>
        <v>20.125</v>
      </c>
      <c r="E75" s="27">
        <f t="shared" si="15"/>
        <v>0.40250000000000002</v>
      </c>
      <c r="F75" s="27">
        <f t="shared" si="16"/>
        <v>0.52</v>
      </c>
      <c r="G75">
        <f t="shared" si="17"/>
        <v>46.125</v>
      </c>
      <c r="H75">
        <f t="shared" si="18"/>
        <v>0</v>
      </c>
      <c r="I75">
        <f t="shared" si="19"/>
        <v>-0.72245633677918919</v>
      </c>
      <c r="J75">
        <f t="shared" si="20"/>
        <v>-0.55575979871700476</v>
      </c>
      <c r="K75">
        <f t="shared" si="21"/>
        <v>1.1115411436604463E-2</v>
      </c>
      <c r="L75">
        <f t="shared" si="22"/>
        <v>-1.1177649251337905E-2</v>
      </c>
      <c r="M75">
        <f t="shared" si="23"/>
        <v>0.56368563685636852</v>
      </c>
      <c r="N75">
        <f t="shared" si="24"/>
        <v>0.43631436314363142</v>
      </c>
      <c r="P75">
        <f t="shared" si="25"/>
        <v>892.5</v>
      </c>
      <c r="Q75">
        <f t="shared" si="26"/>
        <v>796</v>
      </c>
    </row>
    <row r="76" spans="1:17" x14ac:dyDescent="0.35">
      <c r="A76">
        <v>2021</v>
      </c>
      <c r="B76" s="15">
        <v>185</v>
      </c>
      <c r="C76" s="15">
        <v>23</v>
      </c>
      <c r="D76" s="12">
        <f t="shared" si="14"/>
        <v>23.125</v>
      </c>
      <c r="E76" s="27">
        <f t="shared" si="15"/>
        <v>0.46250000000000002</v>
      </c>
      <c r="F76" s="27">
        <f t="shared" si="16"/>
        <v>0.46</v>
      </c>
      <c r="G76">
        <f t="shared" si="17"/>
        <v>46.125</v>
      </c>
      <c r="H76">
        <f t="shared" si="18"/>
        <v>0</v>
      </c>
      <c r="I76">
        <f t="shared" si="19"/>
        <v>0.13075626140088253</v>
      </c>
      <c r="J76">
        <f t="shared" si="20"/>
        <v>-0.90237681395902158</v>
      </c>
      <c r="K76">
        <f t="shared" si="21"/>
        <v>2.0190100279580552E-2</v>
      </c>
      <c r="L76">
        <f t="shared" si="22"/>
        <v>-2.0396706011172234E-2</v>
      </c>
      <c r="M76">
        <f t="shared" si="23"/>
        <v>0.49864498644986449</v>
      </c>
      <c r="N76">
        <f t="shared" si="24"/>
        <v>0.50135501355013545</v>
      </c>
      <c r="P76">
        <f t="shared" si="25"/>
        <v>428.5</v>
      </c>
      <c r="Q76">
        <f t="shared" si="26"/>
        <v>904</v>
      </c>
    </row>
    <row r="77" spans="1:17" x14ac:dyDescent="0.35">
      <c r="A77">
        <v>2021</v>
      </c>
      <c r="B77" s="15">
        <v>160</v>
      </c>
      <c r="C77" s="15">
        <v>26</v>
      </c>
      <c r="D77" s="12">
        <f t="shared" si="14"/>
        <v>20</v>
      </c>
      <c r="E77" s="27">
        <f t="shared" si="15"/>
        <v>0.4</v>
      </c>
      <c r="F77" s="27">
        <f t="shared" si="16"/>
        <v>0.52</v>
      </c>
      <c r="G77">
        <f t="shared" si="17"/>
        <v>46</v>
      </c>
      <c r="H77">
        <f t="shared" si="18"/>
        <v>0</v>
      </c>
      <c r="I77">
        <f t="shared" si="19"/>
        <v>-0.75800686170335885</v>
      </c>
      <c r="J77">
        <f t="shared" si="20"/>
        <v>-0.55575979871700476</v>
      </c>
      <c r="K77">
        <f t="shared" si="21"/>
        <v>9.5296681074935712E-3</v>
      </c>
      <c r="L77">
        <f t="shared" si="22"/>
        <v>-9.5753659498633535E-3</v>
      </c>
      <c r="M77">
        <f t="shared" si="23"/>
        <v>0.56521739130434778</v>
      </c>
      <c r="N77">
        <f t="shared" si="24"/>
        <v>0.43478260869565216</v>
      </c>
      <c r="P77">
        <f t="shared" si="25"/>
        <v>908</v>
      </c>
      <c r="Q77">
        <f t="shared" si="26"/>
        <v>796</v>
      </c>
    </row>
    <row r="78" spans="1:17" x14ac:dyDescent="0.35">
      <c r="A78">
        <v>2021</v>
      </c>
      <c r="B78" s="15">
        <v>168</v>
      </c>
      <c r="C78" s="15">
        <v>25</v>
      </c>
      <c r="D78" s="12">
        <f t="shared" si="14"/>
        <v>21</v>
      </c>
      <c r="E78" s="27">
        <f t="shared" si="15"/>
        <v>0.42</v>
      </c>
      <c r="F78" s="27">
        <f t="shared" si="16"/>
        <v>0.5</v>
      </c>
      <c r="G78">
        <f t="shared" si="17"/>
        <v>46</v>
      </c>
      <c r="H78">
        <f t="shared" si="18"/>
        <v>0</v>
      </c>
      <c r="I78">
        <f t="shared" si="19"/>
        <v>-0.47360266231000164</v>
      </c>
      <c r="J78">
        <f t="shared" si="20"/>
        <v>-0.67129880379767704</v>
      </c>
      <c r="K78">
        <f t="shared" si="21"/>
        <v>1.1638341593141687E-2</v>
      </c>
      <c r="L78">
        <f t="shared" si="22"/>
        <v>-1.1706597195511195E-2</v>
      </c>
      <c r="M78">
        <f t="shared" si="23"/>
        <v>0.54347826086956519</v>
      </c>
      <c r="N78">
        <f t="shared" si="24"/>
        <v>0.45652173913043476</v>
      </c>
      <c r="P78">
        <f t="shared" si="25"/>
        <v>767</v>
      </c>
      <c r="Q78">
        <f t="shared" si="26"/>
        <v>835</v>
      </c>
    </row>
    <row r="79" spans="1:17" x14ac:dyDescent="0.35">
      <c r="A79">
        <v>2021</v>
      </c>
      <c r="B79" s="15">
        <v>159</v>
      </c>
      <c r="C79" s="15">
        <v>26</v>
      </c>
      <c r="D79" s="12">
        <f t="shared" si="14"/>
        <v>19.875</v>
      </c>
      <c r="E79" s="27">
        <f t="shared" si="15"/>
        <v>0.39750000000000002</v>
      </c>
      <c r="F79" s="27">
        <f t="shared" si="16"/>
        <v>0.52</v>
      </c>
      <c r="G79">
        <f t="shared" si="17"/>
        <v>45.875</v>
      </c>
      <c r="H79">
        <f t="shared" si="18"/>
        <v>0</v>
      </c>
      <c r="I79">
        <f t="shared" si="19"/>
        <v>-0.7935573866275285</v>
      </c>
      <c r="J79">
        <f t="shared" si="20"/>
        <v>-0.55575979871700476</v>
      </c>
      <c r="K79">
        <f t="shared" si="21"/>
        <v>8.1682809557339781E-3</v>
      </c>
      <c r="L79">
        <f t="shared" si="22"/>
        <v>-8.2018241476431216E-3</v>
      </c>
      <c r="M79">
        <f t="shared" si="23"/>
        <v>0.56675749318801094</v>
      </c>
      <c r="N79">
        <f t="shared" si="24"/>
        <v>0.43324250681198911</v>
      </c>
      <c r="P79">
        <f t="shared" si="25"/>
        <v>923</v>
      </c>
      <c r="Q79">
        <f t="shared" si="26"/>
        <v>796</v>
      </c>
    </row>
    <row r="80" spans="1:17" x14ac:dyDescent="0.35">
      <c r="A80">
        <v>2021</v>
      </c>
      <c r="B80" s="15">
        <v>156</v>
      </c>
      <c r="C80" s="15">
        <v>26</v>
      </c>
      <c r="D80" s="12">
        <f t="shared" si="14"/>
        <v>19.5</v>
      </c>
      <c r="E80" s="27">
        <f t="shared" si="15"/>
        <v>0.39</v>
      </c>
      <c r="F80" s="27">
        <f t="shared" si="16"/>
        <v>0.52</v>
      </c>
      <c r="G80">
        <f t="shared" si="17"/>
        <v>45.5</v>
      </c>
      <c r="H80">
        <f t="shared" si="18"/>
        <v>0</v>
      </c>
      <c r="I80">
        <f t="shared" si="19"/>
        <v>-0.90020896140003748</v>
      </c>
      <c r="J80">
        <f t="shared" si="20"/>
        <v>-0.55575979871700476</v>
      </c>
      <c r="K80">
        <f t="shared" si="21"/>
        <v>5.1383593160527243E-3</v>
      </c>
      <c r="L80">
        <f t="shared" si="22"/>
        <v>-5.1516060815277624E-3</v>
      </c>
      <c r="M80">
        <f t="shared" si="23"/>
        <v>0.5714285714285714</v>
      </c>
      <c r="N80">
        <f t="shared" si="24"/>
        <v>0.42857142857142855</v>
      </c>
      <c r="P80">
        <f t="shared" si="25"/>
        <v>968</v>
      </c>
      <c r="Q80">
        <f t="shared" si="26"/>
        <v>796</v>
      </c>
    </row>
    <row r="81" spans="1:17" x14ac:dyDescent="0.35">
      <c r="A81">
        <v>2021</v>
      </c>
      <c r="B81" s="15">
        <v>162</v>
      </c>
      <c r="C81" s="15">
        <v>25</v>
      </c>
      <c r="D81" s="12">
        <f t="shared" si="14"/>
        <v>20.25</v>
      </c>
      <c r="E81" s="27">
        <f t="shared" si="15"/>
        <v>0.40500000000000003</v>
      </c>
      <c r="F81" s="27">
        <f t="shared" si="16"/>
        <v>0.5</v>
      </c>
      <c r="G81">
        <f t="shared" si="17"/>
        <v>45.25</v>
      </c>
      <c r="H81">
        <f t="shared" si="18"/>
        <v>0</v>
      </c>
      <c r="I81">
        <f t="shared" si="19"/>
        <v>-0.68690581185501953</v>
      </c>
      <c r="J81">
        <f t="shared" si="20"/>
        <v>-0.67129880379767704</v>
      </c>
      <c r="K81">
        <f t="shared" si="21"/>
        <v>4.6100610600087631E-3</v>
      </c>
      <c r="L81">
        <f t="shared" si="22"/>
        <v>-4.6207201635255378E-3</v>
      </c>
      <c r="M81">
        <f t="shared" si="23"/>
        <v>0.5524861878453039</v>
      </c>
      <c r="N81">
        <f t="shared" si="24"/>
        <v>0.44751381215469616</v>
      </c>
      <c r="P81">
        <f t="shared" si="25"/>
        <v>876</v>
      </c>
      <c r="Q81">
        <f t="shared" si="26"/>
        <v>835</v>
      </c>
    </row>
    <row r="82" spans="1:17" x14ac:dyDescent="0.35">
      <c r="A82">
        <v>2021</v>
      </c>
      <c r="B82" s="15">
        <v>161</v>
      </c>
      <c r="C82" s="15">
        <v>25</v>
      </c>
      <c r="D82" s="12">
        <f t="shared" si="14"/>
        <v>20.125</v>
      </c>
      <c r="E82" s="27">
        <f t="shared" si="15"/>
        <v>0.40250000000000002</v>
      </c>
      <c r="F82" s="27">
        <f t="shared" si="16"/>
        <v>0.5</v>
      </c>
      <c r="G82">
        <f t="shared" si="17"/>
        <v>45.125</v>
      </c>
      <c r="H82">
        <f t="shared" si="18"/>
        <v>0</v>
      </c>
      <c r="I82">
        <f t="shared" si="19"/>
        <v>-0.72245633677918919</v>
      </c>
      <c r="J82">
        <f t="shared" si="20"/>
        <v>-0.67129880379767704</v>
      </c>
      <c r="K82">
        <f t="shared" si="21"/>
        <v>3.9486761626808774E-3</v>
      </c>
      <c r="L82">
        <f t="shared" si="22"/>
        <v>-3.9564927680137696E-3</v>
      </c>
      <c r="M82">
        <f t="shared" si="23"/>
        <v>0.554016620498615</v>
      </c>
      <c r="N82">
        <f t="shared" si="24"/>
        <v>0.44598337950138506</v>
      </c>
      <c r="P82">
        <f t="shared" si="25"/>
        <v>892.5</v>
      </c>
      <c r="Q82">
        <f t="shared" si="26"/>
        <v>835</v>
      </c>
    </row>
    <row r="83" spans="1:17" x14ac:dyDescent="0.35">
      <c r="A83">
        <v>2021</v>
      </c>
      <c r="B83" s="15">
        <v>121</v>
      </c>
      <c r="C83" s="15">
        <v>30</v>
      </c>
      <c r="D83" s="12">
        <f t="shared" si="14"/>
        <v>15.125</v>
      </c>
      <c r="E83" s="27">
        <f t="shared" si="15"/>
        <v>0.30249999999999999</v>
      </c>
      <c r="F83" s="27">
        <f t="shared" si="16"/>
        <v>0.6</v>
      </c>
      <c r="G83">
        <f t="shared" si="17"/>
        <v>45.125</v>
      </c>
      <c r="H83">
        <f t="shared" si="18"/>
        <v>0</v>
      </c>
      <c r="I83">
        <f t="shared" si="19"/>
        <v>-2.1444773337459755</v>
      </c>
      <c r="J83">
        <f t="shared" si="20"/>
        <v>-9.3603778394315509E-2</v>
      </c>
      <c r="K83">
        <f t="shared" si="21"/>
        <v>1.4416131441114498E-3</v>
      </c>
      <c r="L83">
        <f t="shared" si="22"/>
        <v>-1.4426532680978253E-3</v>
      </c>
      <c r="M83">
        <f t="shared" si="23"/>
        <v>0.66481994459833793</v>
      </c>
      <c r="N83">
        <f t="shared" si="24"/>
        <v>0.33518005540166207</v>
      </c>
      <c r="P83">
        <f t="shared" si="25"/>
        <v>1141</v>
      </c>
      <c r="Q83">
        <f t="shared" si="26"/>
        <v>639</v>
      </c>
    </row>
    <row r="84" spans="1:17" x14ac:dyDescent="0.35">
      <c r="A84">
        <v>2021</v>
      </c>
      <c r="B84" s="15">
        <v>152</v>
      </c>
      <c r="C84" s="15">
        <v>26</v>
      </c>
      <c r="D84" s="12">
        <f t="shared" si="14"/>
        <v>19</v>
      </c>
      <c r="E84" s="27">
        <f t="shared" si="15"/>
        <v>0.38</v>
      </c>
      <c r="F84" s="27">
        <f t="shared" si="16"/>
        <v>0.52</v>
      </c>
      <c r="G84">
        <f t="shared" si="17"/>
        <v>45</v>
      </c>
      <c r="H84">
        <f t="shared" si="18"/>
        <v>0</v>
      </c>
      <c r="I84">
        <f t="shared" si="19"/>
        <v>-1.0424110610967161</v>
      </c>
      <c r="J84">
        <f t="shared" si="20"/>
        <v>-0.55575979871700476</v>
      </c>
      <c r="K84">
        <f t="shared" si="21"/>
        <v>2.7649342356163872E-3</v>
      </c>
      <c r="L84">
        <f t="shared" si="22"/>
        <v>-2.7687637267696935E-3</v>
      </c>
      <c r="M84">
        <f t="shared" si="23"/>
        <v>0.57777777777777772</v>
      </c>
      <c r="N84">
        <f t="shared" si="24"/>
        <v>0.42222222222222222</v>
      </c>
      <c r="P84">
        <f t="shared" si="25"/>
        <v>1016</v>
      </c>
      <c r="Q84">
        <f t="shared" si="26"/>
        <v>796</v>
      </c>
    </row>
    <row r="85" spans="1:17" x14ac:dyDescent="0.35">
      <c r="A85">
        <v>2021</v>
      </c>
      <c r="B85" s="15">
        <v>183</v>
      </c>
      <c r="C85" s="15">
        <v>22</v>
      </c>
      <c r="D85" s="12">
        <f t="shared" si="14"/>
        <v>22.875</v>
      </c>
      <c r="E85" s="27">
        <f t="shared" si="15"/>
        <v>0.45750000000000002</v>
      </c>
      <c r="F85" s="27">
        <f t="shared" si="16"/>
        <v>0.44</v>
      </c>
      <c r="G85">
        <f t="shared" si="17"/>
        <v>44.875</v>
      </c>
      <c r="H85">
        <f t="shared" si="18"/>
        <v>0</v>
      </c>
      <c r="I85">
        <f t="shared" si="19"/>
        <v>5.9655211552543233E-2</v>
      </c>
      <c r="J85">
        <f t="shared" si="20"/>
        <v>-1.017915819039694</v>
      </c>
      <c r="K85">
        <f t="shared" si="21"/>
        <v>5.296547667034429E-3</v>
      </c>
      <c r="L85">
        <f t="shared" si="22"/>
        <v>-5.3106241019687615E-3</v>
      </c>
      <c r="M85">
        <f t="shared" si="23"/>
        <v>0.49025069637883006</v>
      </c>
      <c r="N85">
        <f t="shared" si="24"/>
        <v>0.50974930362116988</v>
      </c>
      <c r="P85">
        <f t="shared" si="25"/>
        <v>465</v>
      </c>
      <c r="Q85">
        <f t="shared" si="26"/>
        <v>936.5</v>
      </c>
    </row>
    <row r="86" spans="1:17" x14ac:dyDescent="0.35">
      <c r="A86">
        <v>2021</v>
      </c>
      <c r="B86" s="15">
        <v>158</v>
      </c>
      <c r="C86" s="15">
        <v>25</v>
      </c>
      <c r="D86" s="12">
        <f t="shared" si="14"/>
        <v>19.75</v>
      </c>
      <c r="E86" s="27">
        <f t="shared" si="15"/>
        <v>0.39500000000000002</v>
      </c>
      <c r="F86" s="27">
        <f t="shared" si="16"/>
        <v>0.5</v>
      </c>
      <c r="G86">
        <f t="shared" si="17"/>
        <v>44.75</v>
      </c>
      <c r="H86">
        <f t="shared" si="18"/>
        <v>0</v>
      </c>
      <c r="I86">
        <f t="shared" si="19"/>
        <v>-0.82910791155169816</v>
      </c>
      <c r="J86">
        <f t="shared" si="20"/>
        <v>-0.67129880379767704</v>
      </c>
      <c r="K86">
        <f t="shared" si="21"/>
        <v>2.4800503685425807E-3</v>
      </c>
      <c r="L86">
        <f t="shared" si="22"/>
        <v>-2.4831307875747368E-3</v>
      </c>
      <c r="M86">
        <f t="shared" si="23"/>
        <v>0.55865921787709494</v>
      </c>
      <c r="N86">
        <f t="shared" si="24"/>
        <v>0.44134078212290501</v>
      </c>
      <c r="P86">
        <f t="shared" si="25"/>
        <v>940.5</v>
      </c>
      <c r="Q86">
        <f t="shared" si="26"/>
        <v>835</v>
      </c>
    </row>
    <row r="87" spans="1:17" x14ac:dyDescent="0.35">
      <c r="A87">
        <v>2021</v>
      </c>
      <c r="B87" s="15">
        <v>181</v>
      </c>
      <c r="C87" s="15">
        <v>22</v>
      </c>
      <c r="D87" s="12">
        <f t="shared" si="14"/>
        <v>22.625</v>
      </c>
      <c r="E87" s="27">
        <f t="shared" si="15"/>
        <v>0.45250000000000001</v>
      </c>
      <c r="F87" s="27">
        <f t="shared" si="16"/>
        <v>0.44</v>
      </c>
      <c r="G87">
        <f t="shared" si="17"/>
        <v>44.625</v>
      </c>
      <c r="H87">
        <f t="shared" si="18"/>
        <v>0</v>
      </c>
      <c r="I87">
        <f t="shared" si="19"/>
        <v>-1.1445838295796084E-2</v>
      </c>
      <c r="J87">
        <f t="shared" si="20"/>
        <v>-1.017915819039694</v>
      </c>
      <c r="K87">
        <f t="shared" si="21"/>
        <v>3.8861626469242076E-3</v>
      </c>
      <c r="L87">
        <f t="shared" si="22"/>
        <v>-3.8937333974605115E-3</v>
      </c>
      <c r="M87">
        <f t="shared" si="23"/>
        <v>0.49299719887955185</v>
      </c>
      <c r="N87">
        <f t="shared" si="24"/>
        <v>0.50700280112044815</v>
      </c>
      <c r="P87">
        <f t="shared" si="25"/>
        <v>505</v>
      </c>
      <c r="Q87">
        <f t="shared" si="26"/>
        <v>936.5</v>
      </c>
    </row>
    <row r="88" spans="1:17" x14ac:dyDescent="0.35">
      <c r="A88">
        <v>2021</v>
      </c>
      <c r="B88" s="15">
        <v>180</v>
      </c>
      <c r="C88" s="15">
        <v>22</v>
      </c>
      <c r="D88" s="12">
        <f t="shared" si="14"/>
        <v>22.5</v>
      </c>
      <c r="E88" s="27">
        <f t="shared" si="15"/>
        <v>0.45</v>
      </c>
      <c r="F88" s="27">
        <f t="shared" si="16"/>
        <v>0.44</v>
      </c>
      <c r="G88">
        <f t="shared" si="17"/>
        <v>44.5</v>
      </c>
      <c r="H88">
        <f t="shared" si="18"/>
        <v>0</v>
      </c>
      <c r="I88">
        <f t="shared" si="19"/>
        <v>-4.6996363219965739E-2</v>
      </c>
      <c r="J88">
        <f t="shared" si="20"/>
        <v>-1.017915819039694</v>
      </c>
      <c r="K88">
        <f t="shared" si="21"/>
        <v>3.3282849678340819E-3</v>
      </c>
      <c r="L88">
        <f t="shared" si="22"/>
        <v>-3.3338360286781889E-3</v>
      </c>
      <c r="M88">
        <f t="shared" si="23"/>
        <v>0.4943820224719101</v>
      </c>
      <c r="N88">
        <f t="shared" si="24"/>
        <v>0.5056179775280899</v>
      </c>
      <c r="P88">
        <f t="shared" si="25"/>
        <v>528</v>
      </c>
      <c r="Q88">
        <f t="shared" si="26"/>
        <v>936.5</v>
      </c>
    </row>
    <row r="89" spans="1:17" x14ac:dyDescent="0.35">
      <c r="A89">
        <v>2021</v>
      </c>
      <c r="B89" s="15">
        <v>164</v>
      </c>
      <c r="C89" s="15">
        <v>24</v>
      </c>
      <c r="D89" s="12">
        <f t="shared" si="14"/>
        <v>20.5</v>
      </c>
      <c r="E89" s="27">
        <f t="shared" si="15"/>
        <v>0.41</v>
      </c>
      <c r="F89" s="27">
        <f t="shared" si="16"/>
        <v>0.48</v>
      </c>
      <c r="G89">
        <f t="shared" si="17"/>
        <v>44.5</v>
      </c>
      <c r="H89">
        <f t="shared" si="18"/>
        <v>0</v>
      </c>
      <c r="I89">
        <f t="shared" si="19"/>
        <v>-0.61580476200668022</v>
      </c>
      <c r="J89">
        <f t="shared" si="20"/>
        <v>-0.78683780887834931</v>
      </c>
      <c r="K89">
        <f t="shared" si="21"/>
        <v>2.2244539188969801E-3</v>
      </c>
      <c r="L89">
        <f t="shared" si="22"/>
        <v>-2.2269316916585119E-3</v>
      </c>
      <c r="M89">
        <f t="shared" si="23"/>
        <v>0.5393258426966292</v>
      </c>
      <c r="N89">
        <f t="shared" si="24"/>
        <v>0.4606741573033708</v>
      </c>
      <c r="P89">
        <f t="shared" si="25"/>
        <v>844.5</v>
      </c>
      <c r="Q89">
        <f t="shared" si="26"/>
        <v>870</v>
      </c>
    </row>
    <row r="90" spans="1:17" x14ac:dyDescent="0.35">
      <c r="A90">
        <v>2021</v>
      </c>
      <c r="B90" s="15">
        <v>147</v>
      </c>
      <c r="C90" s="15">
        <v>26</v>
      </c>
      <c r="D90" s="12">
        <f t="shared" si="14"/>
        <v>18.375</v>
      </c>
      <c r="E90" s="27">
        <f t="shared" si="15"/>
        <v>0.36749999999999999</v>
      </c>
      <c r="F90" s="27">
        <f t="shared" si="16"/>
        <v>0.52</v>
      </c>
      <c r="G90">
        <f t="shared" si="17"/>
        <v>44.375</v>
      </c>
      <c r="H90">
        <f t="shared" si="18"/>
        <v>0</v>
      </c>
      <c r="I90">
        <f t="shared" si="19"/>
        <v>-1.2201636857175644</v>
      </c>
      <c r="J90">
        <f t="shared" si="20"/>
        <v>-0.55575979871700476</v>
      </c>
      <c r="K90">
        <f t="shared" si="21"/>
        <v>1.2723780738931715E-3</v>
      </c>
      <c r="L90">
        <f t="shared" si="22"/>
        <v>-1.2731882341676238E-3</v>
      </c>
      <c r="M90">
        <f t="shared" si="23"/>
        <v>0.58591549295774648</v>
      </c>
      <c r="N90">
        <f t="shared" si="24"/>
        <v>0.41408450704225352</v>
      </c>
      <c r="P90">
        <f t="shared" si="25"/>
        <v>1069.5</v>
      </c>
      <c r="Q90">
        <f t="shared" si="26"/>
        <v>796</v>
      </c>
    </row>
    <row r="91" spans="1:17" x14ac:dyDescent="0.35">
      <c r="A91">
        <v>2021</v>
      </c>
      <c r="B91" s="15">
        <v>138</v>
      </c>
      <c r="C91" s="15">
        <v>27</v>
      </c>
      <c r="D91" s="12">
        <f t="shared" si="14"/>
        <v>17.25</v>
      </c>
      <c r="E91" s="27">
        <f t="shared" si="15"/>
        <v>0.34499999999999997</v>
      </c>
      <c r="F91" s="27">
        <f t="shared" si="16"/>
        <v>0.54</v>
      </c>
      <c r="G91">
        <f t="shared" si="17"/>
        <v>44.25</v>
      </c>
      <c r="H91">
        <f t="shared" si="18"/>
        <v>0</v>
      </c>
      <c r="I91">
        <f t="shared" si="19"/>
        <v>-1.5401184100350913</v>
      </c>
      <c r="J91">
        <f t="shared" si="20"/>
        <v>-0.44022079363633243</v>
      </c>
      <c r="K91">
        <f t="shared" si="21"/>
        <v>8.9022500145661458E-4</v>
      </c>
      <c r="L91">
        <f t="shared" si="22"/>
        <v>-8.9062148705830566E-4</v>
      </c>
      <c r="M91">
        <f t="shared" si="23"/>
        <v>0.61016949152542377</v>
      </c>
      <c r="N91">
        <f t="shared" si="24"/>
        <v>0.38983050847457629</v>
      </c>
      <c r="P91">
        <f t="shared" si="25"/>
        <v>1113</v>
      </c>
      <c r="Q91">
        <f t="shared" si="26"/>
        <v>752.5</v>
      </c>
    </row>
    <row r="92" spans="1:17" x14ac:dyDescent="0.35">
      <c r="A92">
        <v>2021</v>
      </c>
      <c r="B92" s="15">
        <v>162</v>
      </c>
      <c r="C92" s="15">
        <v>24</v>
      </c>
      <c r="D92" s="12">
        <f t="shared" si="14"/>
        <v>20.25</v>
      </c>
      <c r="E92" s="27">
        <f t="shared" si="15"/>
        <v>0.40500000000000003</v>
      </c>
      <c r="F92" s="27">
        <f t="shared" si="16"/>
        <v>0.48</v>
      </c>
      <c r="G92">
        <f t="shared" si="17"/>
        <v>44.25</v>
      </c>
      <c r="H92">
        <f t="shared" si="18"/>
        <v>0</v>
      </c>
      <c r="I92">
        <f t="shared" si="19"/>
        <v>-0.68690581185501953</v>
      </c>
      <c r="J92">
        <f t="shared" si="20"/>
        <v>-0.78683780887834931</v>
      </c>
      <c r="K92">
        <f t="shared" si="21"/>
        <v>1.6307766421105097E-3</v>
      </c>
      <c r="L92">
        <f t="shared" si="22"/>
        <v>-1.6321078057559908E-3</v>
      </c>
      <c r="M92">
        <f t="shared" si="23"/>
        <v>0.5423728813559322</v>
      </c>
      <c r="N92">
        <f t="shared" si="24"/>
        <v>0.4576271186440678</v>
      </c>
      <c r="P92">
        <f t="shared" si="25"/>
        <v>876</v>
      </c>
      <c r="Q92">
        <f t="shared" si="26"/>
        <v>870</v>
      </c>
    </row>
    <row r="93" spans="1:17" x14ac:dyDescent="0.35">
      <c r="A93">
        <v>2021</v>
      </c>
      <c r="B93" s="15">
        <v>165</v>
      </c>
      <c r="C93" s="15">
        <v>23</v>
      </c>
      <c r="D93" s="12">
        <f t="shared" si="14"/>
        <v>20.625</v>
      </c>
      <c r="E93" s="27">
        <f t="shared" si="15"/>
        <v>0.41249999999999998</v>
      </c>
      <c r="F93" s="27">
        <f t="shared" si="16"/>
        <v>0.46</v>
      </c>
      <c r="G93">
        <f t="shared" si="17"/>
        <v>43.625</v>
      </c>
      <c r="H93">
        <f t="shared" si="18"/>
        <v>0</v>
      </c>
      <c r="I93">
        <f t="shared" si="19"/>
        <v>-0.58025423708251056</v>
      </c>
      <c r="J93">
        <f t="shared" si="20"/>
        <v>-0.90237681395902158</v>
      </c>
      <c r="K93">
        <f t="shared" si="21"/>
        <v>9.1775190953307382E-4</v>
      </c>
      <c r="L93">
        <f t="shared" si="22"/>
        <v>-9.1817330165876556E-4</v>
      </c>
      <c r="M93">
        <f t="shared" si="23"/>
        <v>0.52722063037249278</v>
      </c>
      <c r="N93">
        <f t="shared" si="24"/>
        <v>0.47277936962750716</v>
      </c>
      <c r="P93">
        <f t="shared" si="25"/>
        <v>826.5</v>
      </c>
      <c r="Q93">
        <f t="shared" si="26"/>
        <v>904</v>
      </c>
    </row>
    <row r="94" spans="1:17" x14ac:dyDescent="0.35">
      <c r="A94">
        <v>2021</v>
      </c>
      <c r="B94" s="15">
        <v>156</v>
      </c>
      <c r="C94" s="15">
        <v>24</v>
      </c>
      <c r="D94" s="12">
        <f t="shared" si="14"/>
        <v>19.5</v>
      </c>
      <c r="E94" s="27">
        <f t="shared" si="15"/>
        <v>0.39</v>
      </c>
      <c r="F94" s="27">
        <f t="shared" si="16"/>
        <v>0.48</v>
      </c>
      <c r="G94">
        <f t="shared" si="17"/>
        <v>43.5</v>
      </c>
      <c r="H94">
        <f t="shared" si="18"/>
        <v>0</v>
      </c>
      <c r="I94">
        <f t="shared" si="19"/>
        <v>-0.90020896140003748</v>
      </c>
      <c r="J94">
        <f t="shared" si="20"/>
        <v>-0.78683780887834931</v>
      </c>
      <c r="K94">
        <f t="shared" si="21"/>
        <v>6.4204075077983693E-4</v>
      </c>
      <c r="L94">
        <f t="shared" si="22"/>
        <v>-6.4224694720500851E-4</v>
      </c>
      <c r="M94">
        <f t="shared" si="23"/>
        <v>0.55172413793103448</v>
      </c>
      <c r="N94">
        <f t="shared" si="24"/>
        <v>0.44827586206896552</v>
      </c>
      <c r="P94">
        <f t="shared" si="25"/>
        <v>968</v>
      </c>
      <c r="Q94">
        <f t="shared" si="26"/>
        <v>870</v>
      </c>
    </row>
    <row r="95" spans="1:17" x14ac:dyDescent="0.35">
      <c r="A95">
        <v>2021</v>
      </c>
      <c r="B95" s="15">
        <v>154</v>
      </c>
      <c r="C95" s="15">
        <v>24</v>
      </c>
      <c r="D95" s="12">
        <f t="shared" si="14"/>
        <v>19.25</v>
      </c>
      <c r="E95" s="27">
        <f t="shared" si="15"/>
        <v>0.38500000000000001</v>
      </c>
      <c r="F95" s="27">
        <f t="shared" si="16"/>
        <v>0.48</v>
      </c>
      <c r="G95">
        <f t="shared" si="17"/>
        <v>43.25</v>
      </c>
      <c r="H95">
        <f t="shared" si="18"/>
        <v>0</v>
      </c>
      <c r="I95">
        <f t="shared" si="19"/>
        <v>-0.97131001124837679</v>
      </c>
      <c r="J95">
        <f t="shared" si="20"/>
        <v>-0.78683780887834931</v>
      </c>
      <c r="K95">
        <f t="shared" si="21"/>
        <v>4.7048943899454307E-4</v>
      </c>
      <c r="L95">
        <f t="shared" si="22"/>
        <v>-4.7060015387877956E-4</v>
      </c>
      <c r="M95">
        <f t="shared" si="23"/>
        <v>0.55491329479768781</v>
      </c>
      <c r="N95">
        <f t="shared" si="24"/>
        <v>0.44508670520231214</v>
      </c>
      <c r="P95">
        <f t="shared" si="25"/>
        <v>995.5</v>
      </c>
      <c r="Q95">
        <f t="shared" si="26"/>
        <v>870</v>
      </c>
    </row>
    <row r="96" spans="1:17" x14ac:dyDescent="0.35">
      <c r="A96">
        <v>2021</v>
      </c>
      <c r="B96" s="15">
        <v>178</v>
      </c>
      <c r="C96" s="15">
        <v>21</v>
      </c>
      <c r="D96" s="12">
        <f t="shared" si="14"/>
        <v>22.25</v>
      </c>
      <c r="E96" s="27">
        <f t="shared" si="15"/>
        <v>0.44500000000000001</v>
      </c>
      <c r="F96" s="27">
        <f t="shared" si="16"/>
        <v>0.42</v>
      </c>
      <c r="G96">
        <f t="shared" si="17"/>
        <v>43.25</v>
      </c>
      <c r="H96">
        <f t="shared" si="18"/>
        <v>0</v>
      </c>
      <c r="I96">
        <f t="shared" si="19"/>
        <v>-0.11809741306830505</v>
      </c>
      <c r="J96">
        <f t="shared" si="20"/>
        <v>-1.1334548241203661</v>
      </c>
      <c r="K96">
        <f t="shared" si="21"/>
        <v>8.6217688842604029E-4</v>
      </c>
      <c r="L96">
        <f t="shared" si="22"/>
        <v>-8.625487766905247E-4</v>
      </c>
      <c r="M96">
        <f t="shared" si="23"/>
        <v>0.48554913294797686</v>
      </c>
      <c r="N96">
        <f t="shared" si="24"/>
        <v>0.51445086705202314</v>
      </c>
      <c r="P96">
        <f t="shared" si="25"/>
        <v>564.5</v>
      </c>
      <c r="Q96">
        <f t="shared" si="26"/>
        <v>967.5</v>
      </c>
    </row>
    <row r="97" spans="1:17" x14ac:dyDescent="0.35">
      <c r="A97">
        <v>2021</v>
      </c>
      <c r="B97" s="15">
        <v>186</v>
      </c>
      <c r="C97" s="15">
        <v>20</v>
      </c>
      <c r="D97" s="12">
        <f t="shared" si="14"/>
        <v>23.25</v>
      </c>
      <c r="E97" s="27">
        <f t="shared" si="15"/>
        <v>0.46500000000000002</v>
      </c>
      <c r="F97" s="27">
        <f t="shared" si="16"/>
        <v>0.4</v>
      </c>
      <c r="G97">
        <f t="shared" si="17"/>
        <v>43.25</v>
      </c>
      <c r="H97">
        <f t="shared" si="18"/>
        <v>0</v>
      </c>
      <c r="I97">
        <f t="shared" si="19"/>
        <v>0.16630678632505219</v>
      </c>
      <c r="J97">
        <f t="shared" si="20"/>
        <v>-1.2489938292010385</v>
      </c>
      <c r="K97">
        <f t="shared" si="21"/>
        <v>1.0549975762352312E-3</v>
      </c>
      <c r="L97">
        <f t="shared" si="22"/>
        <v>-1.0555544778992738E-3</v>
      </c>
      <c r="M97">
        <f t="shared" si="23"/>
        <v>0.46242774566473988</v>
      </c>
      <c r="N97">
        <f t="shared" si="24"/>
        <v>0.53757225433526012</v>
      </c>
      <c r="P97">
        <f t="shared" si="25"/>
        <v>411.5</v>
      </c>
      <c r="Q97">
        <f t="shared" si="26"/>
        <v>996</v>
      </c>
    </row>
    <row r="98" spans="1:17" x14ac:dyDescent="0.35">
      <c r="A98">
        <v>2021</v>
      </c>
      <c r="B98" s="15">
        <v>161</v>
      </c>
      <c r="C98" s="15">
        <v>23</v>
      </c>
      <c r="D98" s="12">
        <f t="shared" si="14"/>
        <v>20.125</v>
      </c>
      <c r="E98" s="27">
        <f t="shared" si="15"/>
        <v>0.40250000000000002</v>
      </c>
      <c r="F98" s="27">
        <f t="shared" si="16"/>
        <v>0.46</v>
      </c>
      <c r="G98">
        <f t="shared" si="17"/>
        <v>43.125</v>
      </c>
      <c r="H98">
        <f t="shared" si="18"/>
        <v>0</v>
      </c>
      <c r="I98">
        <f t="shared" si="19"/>
        <v>-0.72245633677918919</v>
      </c>
      <c r="J98">
        <f t="shared" si="20"/>
        <v>-0.90237681395902158</v>
      </c>
      <c r="K98">
        <f t="shared" si="21"/>
        <v>4.9287345613916681E-4</v>
      </c>
      <c r="L98">
        <f t="shared" si="22"/>
        <v>-4.9299495818607721E-4</v>
      </c>
      <c r="M98">
        <f t="shared" si="23"/>
        <v>0.53333333333333333</v>
      </c>
      <c r="N98">
        <f t="shared" si="24"/>
        <v>0.46666666666666667</v>
      </c>
      <c r="P98">
        <f t="shared" si="25"/>
        <v>892.5</v>
      </c>
      <c r="Q98">
        <f t="shared" si="26"/>
        <v>904</v>
      </c>
    </row>
    <row r="99" spans="1:17" x14ac:dyDescent="0.35">
      <c r="A99">
        <v>2021</v>
      </c>
      <c r="B99" s="15">
        <v>128</v>
      </c>
      <c r="C99" s="15">
        <v>27</v>
      </c>
      <c r="D99" s="12">
        <f t="shared" si="14"/>
        <v>16</v>
      </c>
      <c r="E99" s="27">
        <f t="shared" si="15"/>
        <v>0.32</v>
      </c>
      <c r="F99" s="27">
        <f t="shared" si="16"/>
        <v>0.54</v>
      </c>
      <c r="G99">
        <f t="shared" si="17"/>
        <v>43</v>
      </c>
      <c r="H99">
        <f t="shared" si="18"/>
        <v>0</v>
      </c>
      <c r="I99">
        <f t="shared" si="19"/>
        <v>-1.8956236592767879</v>
      </c>
      <c r="J99">
        <f t="shared" si="20"/>
        <v>-0.44022079363633243</v>
      </c>
      <c r="K99">
        <f t="shared" si="21"/>
        <v>1.8809124673776871E-4</v>
      </c>
      <c r="L99">
        <f t="shared" si="22"/>
        <v>-1.8810893811477809E-4</v>
      </c>
      <c r="M99">
        <f t="shared" si="23"/>
        <v>0.62790697674418605</v>
      </c>
      <c r="N99">
        <f t="shared" si="24"/>
        <v>0.37209302325581395</v>
      </c>
      <c r="P99">
        <f t="shared" si="25"/>
        <v>1135.5</v>
      </c>
      <c r="Q99">
        <f t="shared" si="26"/>
        <v>752.5</v>
      </c>
    </row>
    <row r="100" spans="1:17" x14ac:dyDescent="0.35">
      <c r="A100">
        <v>2021</v>
      </c>
      <c r="B100" s="15">
        <v>167</v>
      </c>
      <c r="C100" s="15">
        <v>22</v>
      </c>
      <c r="D100" s="12">
        <f t="shared" si="14"/>
        <v>20.875</v>
      </c>
      <c r="E100" s="27">
        <f t="shared" si="15"/>
        <v>0.41749999999999998</v>
      </c>
      <c r="F100" s="27">
        <f t="shared" si="16"/>
        <v>0.44</v>
      </c>
      <c r="G100">
        <f t="shared" si="17"/>
        <v>42.875</v>
      </c>
      <c r="H100">
        <f t="shared" si="18"/>
        <v>0</v>
      </c>
      <c r="I100">
        <f t="shared" si="19"/>
        <v>-0.50915318723417125</v>
      </c>
      <c r="J100">
        <f t="shared" si="20"/>
        <v>-1.017915819039694</v>
      </c>
      <c r="K100">
        <f t="shared" si="21"/>
        <v>4.419866850164598E-4</v>
      </c>
      <c r="L100">
        <f t="shared" si="22"/>
        <v>-4.4208438992193136E-4</v>
      </c>
      <c r="M100">
        <f t="shared" si="23"/>
        <v>0.51311953352769679</v>
      </c>
      <c r="N100">
        <f t="shared" si="24"/>
        <v>0.48688046647230321</v>
      </c>
      <c r="P100">
        <f t="shared" si="25"/>
        <v>789.5</v>
      </c>
      <c r="Q100">
        <f t="shared" si="26"/>
        <v>936.5</v>
      </c>
    </row>
    <row r="101" spans="1:17" x14ac:dyDescent="0.35">
      <c r="A101">
        <v>2021</v>
      </c>
      <c r="B101" s="15">
        <v>149</v>
      </c>
      <c r="C101" s="15">
        <v>24</v>
      </c>
      <c r="D101" s="12">
        <f t="shared" si="14"/>
        <v>18.625</v>
      </c>
      <c r="E101" s="27">
        <f t="shared" si="15"/>
        <v>0.3725</v>
      </c>
      <c r="F101" s="27">
        <f t="shared" si="16"/>
        <v>0.48</v>
      </c>
      <c r="G101">
        <f t="shared" si="17"/>
        <v>42.625</v>
      </c>
      <c r="H101">
        <f t="shared" si="18"/>
        <v>0</v>
      </c>
      <c r="I101">
        <f t="shared" si="19"/>
        <v>-1.1490626358692251</v>
      </c>
      <c r="J101">
        <f t="shared" si="20"/>
        <v>-0.78683780887834931</v>
      </c>
      <c r="K101">
        <f t="shared" si="21"/>
        <v>2.1624306354298223E-4</v>
      </c>
      <c r="L101">
        <f t="shared" si="22"/>
        <v>-2.1626644744535063E-4</v>
      </c>
      <c r="M101">
        <f t="shared" si="23"/>
        <v>0.56304985337243407</v>
      </c>
      <c r="N101">
        <f t="shared" si="24"/>
        <v>0.43695014662756598</v>
      </c>
      <c r="P101">
        <f t="shared" si="25"/>
        <v>1051.5</v>
      </c>
      <c r="Q101">
        <f t="shared" si="26"/>
        <v>870</v>
      </c>
    </row>
    <row r="102" spans="1:17" x14ac:dyDescent="0.35">
      <c r="A102">
        <v>2021</v>
      </c>
      <c r="B102" s="15">
        <v>149</v>
      </c>
      <c r="C102" s="15">
        <v>24</v>
      </c>
      <c r="D102" s="12">
        <f t="shared" si="14"/>
        <v>18.625</v>
      </c>
      <c r="E102" s="27">
        <f t="shared" si="15"/>
        <v>0.3725</v>
      </c>
      <c r="F102" s="27">
        <f t="shared" si="16"/>
        <v>0.48</v>
      </c>
      <c r="G102">
        <f t="shared" si="17"/>
        <v>42.625</v>
      </c>
      <c r="H102">
        <f t="shared" si="18"/>
        <v>0</v>
      </c>
      <c r="I102">
        <f t="shared" si="19"/>
        <v>-1.1490626358692251</v>
      </c>
      <c r="J102">
        <f t="shared" si="20"/>
        <v>-0.78683780887834931</v>
      </c>
      <c r="K102">
        <f t="shared" si="21"/>
        <v>2.1624306354298223E-4</v>
      </c>
      <c r="L102">
        <f t="shared" si="22"/>
        <v>-2.1626644744535063E-4</v>
      </c>
      <c r="M102">
        <f t="shared" si="23"/>
        <v>0.56304985337243407</v>
      </c>
      <c r="N102">
        <f t="shared" si="24"/>
        <v>0.43695014662756598</v>
      </c>
      <c r="P102">
        <f t="shared" si="25"/>
        <v>1051.5</v>
      </c>
      <c r="Q102">
        <f t="shared" si="26"/>
        <v>870</v>
      </c>
    </row>
    <row r="103" spans="1:17" x14ac:dyDescent="0.35">
      <c r="A103">
        <v>2021</v>
      </c>
      <c r="B103" s="15">
        <v>148</v>
      </c>
      <c r="C103" s="15">
        <v>24</v>
      </c>
      <c r="D103" s="12">
        <f t="shared" si="14"/>
        <v>18.5</v>
      </c>
      <c r="E103" s="27">
        <f t="shared" si="15"/>
        <v>0.37</v>
      </c>
      <c r="F103" s="27">
        <f t="shared" si="16"/>
        <v>0.48</v>
      </c>
      <c r="G103">
        <f t="shared" si="17"/>
        <v>42.5</v>
      </c>
      <c r="H103">
        <f t="shared" si="18"/>
        <v>0</v>
      </c>
      <c r="I103">
        <f t="shared" si="19"/>
        <v>-1.1846131607933947</v>
      </c>
      <c r="J103">
        <f t="shared" si="20"/>
        <v>-0.78683780887834931</v>
      </c>
      <c r="K103">
        <f t="shared" si="21"/>
        <v>1.8510241392861323E-4</v>
      </c>
      <c r="L103">
        <f t="shared" si="22"/>
        <v>-1.8511954749482503E-4</v>
      </c>
      <c r="M103">
        <f t="shared" si="23"/>
        <v>0.56470588235294117</v>
      </c>
      <c r="N103">
        <f t="shared" si="24"/>
        <v>0.43529411764705883</v>
      </c>
      <c r="P103">
        <f t="shared" si="25"/>
        <v>1061</v>
      </c>
      <c r="Q103">
        <f t="shared" si="26"/>
        <v>870</v>
      </c>
    </row>
    <row r="104" spans="1:17" x14ac:dyDescent="0.35">
      <c r="A104">
        <v>2021</v>
      </c>
      <c r="B104" s="15">
        <v>140</v>
      </c>
      <c r="C104" s="15">
        <v>25</v>
      </c>
      <c r="D104" s="12">
        <f t="shared" si="14"/>
        <v>17.5</v>
      </c>
      <c r="E104" s="27">
        <f t="shared" si="15"/>
        <v>0.35</v>
      </c>
      <c r="F104" s="27">
        <f t="shared" si="16"/>
        <v>0.5</v>
      </c>
      <c r="G104">
        <f t="shared" si="17"/>
        <v>42.5</v>
      </c>
      <c r="H104">
        <f t="shared" si="18"/>
        <v>0</v>
      </c>
      <c r="I104">
        <f t="shared" si="19"/>
        <v>-1.469017360186752</v>
      </c>
      <c r="J104">
        <f t="shared" si="20"/>
        <v>-0.67129880379767704</v>
      </c>
      <c r="K104">
        <f t="shared" si="21"/>
        <v>1.5124738746905177E-4</v>
      </c>
      <c r="L104">
        <f t="shared" si="22"/>
        <v>-1.5125882650861706E-4</v>
      </c>
      <c r="M104">
        <f t="shared" si="23"/>
        <v>0.58823529411764708</v>
      </c>
      <c r="N104">
        <f t="shared" si="24"/>
        <v>0.41176470588235292</v>
      </c>
      <c r="P104">
        <f t="shared" si="25"/>
        <v>1106.5</v>
      </c>
      <c r="Q104">
        <f t="shared" si="26"/>
        <v>835</v>
      </c>
    </row>
    <row r="105" spans="1:17" x14ac:dyDescent="0.35">
      <c r="A105">
        <v>2021</v>
      </c>
      <c r="B105" s="15">
        <v>147</v>
      </c>
      <c r="C105" s="15">
        <v>24</v>
      </c>
      <c r="D105" s="12">
        <f t="shared" si="14"/>
        <v>18.375</v>
      </c>
      <c r="E105" s="27">
        <f t="shared" si="15"/>
        <v>0.36749999999999999</v>
      </c>
      <c r="F105" s="27">
        <f t="shared" si="16"/>
        <v>0.48</v>
      </c>
      <c r="G105">
        <f t="shared" si="17"/>
        <v>42.375</v>
      </c>
      <c r="H105">
        <f t="shared" si="18"/>
        <v>0</v>
      </c>
      <c r="I105">
        <f t="shared" si="19"/>
        <v>-1.2201636857175644</v>
      </c>
      <c r="J105">
        <f t="shared" si="20"/>
        <v>-0.78683780887834931</v>
      </c>
      <c r="K105">
        <f t="shared" si="21"/>
        <v>1.5844554454882951E-4</v>
      </c>
      <c r="L105">
        <f t="shared" si="22"/>
        <v>-1.5845809837017791E-4</v>
      </c>
      <c r="M105">
        <f t="shared" si="23"/>
        <v>0.5663716814159292</v>
      </c>
      <c r="N105">
        <f t="shared" si="24"/>
        <v>0.4336283185840708</v>
      </c>
      <c r="P105">
        <f t="shared" si="25"/>
        <v>1069.5</v>
      </c>
      <c r="Q105">
        <f t="shared" si="26"/>
        <v>870</v>
      </c>
    </row>
    <row r="106" spans="1:17" x14ac:dyDescent="0.35">
      <c r="A106">
        <v>2021</v>
      </c>
      <c r="B106" s="15">
        <v>139</v>
      </c>
      <c r="C106" s="15">
        <v>25</v>
      </c>
      <c r="D106" s="12">
        <f t="shared" si="14"/>
        <v>17.375</v>
      </c>
      <c r="E106" s="27">
        <f t="shared" si="15"/>
        <v>0.34749999999999998</v>
      </c>
      <c r="F106" s="27">
        <f t="shared" si="16"/>
        <v>0.5</v>
      </c>
      <c r="G106">
        <f t="shared" si="17"/>
        <v>42.375</v>
      </c>
      <c r="H106">
        <f t="shared" si="18"/>
        <v>0</v>
      </c>
      <c r="I106">
        <f t="shared" si="19"/>
        <v>-1.5045678851109217</v>
      </c>
      <c r="J106">
        <f t="shared" si="20"/>
        <v>-0.67129880379767704</v>
      </c>
      <c r="K106">
        <f t="shared" si="21"/>
        <v>1.2946539864262113E-4</v>
      </c>
      <c r="L106">
        <f t="shared" si="22"/>
        <v>-1.2947378001079848E-4</v>
      </c>
      <c r="M106">
        <f t="shared" si="23"/>
        <v>0.58997050147492625</v>
      </c>
      <c r="N106">
        <f t="shared" si="24"/>
        <v>0.41002949852507375</v>
      </c>
      <c r="P106">
        <f t="shared" si="25"/>
        <v>1110.5</v>
      </c>
      <c r="Q106">
        <f t="shared" si="26"/>
        <v>835</v>
      </c>
    </row>
    <row r="107" spans="1:17" x14ac:dyDescent="0.35">
      <c r="A107">
        <v>2021</v>
      </c>
      <c r="B107" s="15">
        <v>130</v>
      </c>
      <c r="C107" s="15">
        <v>26</v>
      </c>
      <c r="D107" s="12">
        <f t="shared" si="14"/>
        <v>16.25</v>
      </c>
      <c r="E107" s="27">
        <f t="shared" si="15"/>
        <v>0.32500000000000001</v>
      </c>
      <c r="F107" s="27">
        <f t="shared" si="16"/>
        <v>0.52</v>
      </c>
      <c r="G107">
        <f t="shared" si="17"/>
        <v>42.25</v>
      </c>
      <c r="H107">
        <f t="shared" si="18"/>
        <v>0</v>
      </c>
      <c r="I107">
        <f t="shared" si="19"/>
        <v>-1.8245226094284486</v>
      </c>
      <c r="J107">
        <f t="shared" si="20"/>
        <v>-0.55575979871700476</v>
      </c>
      <c r="K107">
        <f t="shared" si="21"/>
        <v>9.054992175856351E-5</v>
      </c>
      <c r="L107">
        <f t="shared" si="22"/>
        <v>-9.0554021650272897E-5</v>
      </c>
      <c r="M107">
        <f t="shared" si="23"/>
        <v>0.61538461538461542</v>
      </c>
      <c r="N107">
        <f t="shared" si="24"/>
        <v>0.38461538461538464</v>
      </c>
      <c r="P107">
        <f t="shared" si="25"/>
        <v>1128.5</v>
      </c>
      <c r="Q107">
        <f t="shared" si="26"/>
        <v>796</v>
      </c>
    </row>
    <row r="108" spans="1:17" x14ac:dyDescent="0.35">
      <c r="A108">
        <v>2021</v>
      </c>
      <c r="B108" s="15">
        <v>160</v>
      </c>
      <c r="C108" s="15">
        <v>22</v>
      </c>
      <c r="D108" s="12">
        <f t="shared" si="14"/>
        <v>20</v>
      </c>
      <c r="E108" s="27">
        <f t="shared" si="15"/>
        <v>0.4</v>
      </c>
      <c r="F108" s="27">
        <f t="shared" si="16"/>
        <v>0.44</v>
      </c>
      <c r="G108">
        <f t="shared" si="17"/>
        <v>42</v>
      </c>
      <c r="H108">
        <f t="shared" si="18"/>
        <v>0</v>
      </c>
      <c r="I108">
        <f t="shared" si="19"/>
        <v>-0.75800686170335885</v>
      </c>
      <c r="J108">
        <f t="shared" si="20"/>
        <v>-1.017915819039694</v>
      </c>
      <c r="K108">
        <f t="shared" si="21"/>
        <v>1.4884392874566987E-4</v>
      </c>
      <c r="L108">
        <f t="shared" si="22"/>
        <v>-1.4885500710257437E-4</v>
      </c>
      <c r="M108">
        <f t="shared" si="23"/>
        <v>0.52380952380952384</v>
      </c>
      <c r="N108">
        <f t="shared" si="24"/>
        <v>0.47619047619047616</v>
      </c>
      <c r="P108">
        <f t="shared" si="25"/>
        <v>908</v>
      </c>
      <c r="Q108">
        <f t="shared" si="26"/>
        <v>936.5</v>
      </c>
    </row>
    <row r="109" spans="1:17" x14ac:dyDescent="0.35">
      <c r="A109">
        <v>2021</v>
      </c>
      <c r="B109" s="15">
        <v>158</v>
      </c>
      <c r="C109" s="15">
        <v>22</v>
      </c>
      <c r="D109" s="12">
        <f t="shared" si="14"/>
        <v>19.75</v>
      </c>
      <c r="E109" s="27">
        <f t="shared" si="15"/>
        <v>0.39500000000000002</v>
      </c>
      <c r="F109" s="27">
        <f t="shared" si="16"/>
        <v>0.44</v>
      </c>
      <c r="G109">
        <f t="shared" si="17"/>
        <v>41.75</v>
      </c>
      <c r="H109">
        <f t="shared" si="18"/>
        <v>0</v>
      </c>
      <c r="I109">
        <f t="shared" si="19"/>
        <v>-0.82910791155169816</v>
      </c>
      <c r="J109">
        <f t="shared" si="20"/>
        <v>-1.017915819039694</v>
      </c>
      <c r="K109">
        <f t="shared" si="21"/>
        <v>1.0905890818106874E-4</v>
      </c>
      <c r="L109">
        <f t="shared" si="22"/>
        <v>-1.0906485553616438E-4</v>
      </c>
      <c r="M109">
        <f t="shared" si="23"/>
        <v>0.52694610778443118</v>
      </c>
      <c r="N109">
        <f t="shared" si="24"/>
        <v>0.47305389221556887</v>
      </c>
      <c r="P109">
        <f t="shared" si="25"/>
        <v>940.5</v>
      </c>
      <c r="Q109">
        <f t="shared" si="26"/>
        <v>936.5</v>
      </c>
    </row>
    <row r="110" spans="1:17" x14ac:dyDescent="0.35">
      <c r="A110">
        <v>2021</v>
      </c>
      <c r="B110" s="15">
        <v>165</v>
      </c>
      <c r="C110" s="15">
        <v>21</v>
      </c>
      <c r="D110" s="12">
        <f t="shared" si="14"/>
        <v>20.625</v>
      </c>
      <c r="E110" s="27">
        <f t="shared" si="15"/>
        <v>0.41249999999999998</v>
      </c>
      <c r="F110" s="27">
        <f t="shared" si="16"/>
        <v>0.42</v>
      </c>
      <c r="G110">
        <f t="shared" si="17"/>
        <v>41.625</v>
      </c>
      <c r="H110">
        <f t="shared" si="18"/>
        <v>0</v>
      </c>
      <c r="I110">
        <f t="shared" si="19"/>
        <v>-0.58025423708251056</v>
      </c>
      <c r="J110">
        <f t="shared" si="20"/>
        <v>-1.1334548241203661</v>
      </c>
      <c r="K110">
        <f t="shared" si="21"/>
        <v>1.1424946297754389E-4</v>
      </c>
      <c r="L110">
        <f t="shared" si="22"/>
        <v>-1.1425598994459094E-4</v>
      </c>
      <c r="M110">
        <f t="shared" si="23"/>
        <v>0.50450450450450446</v>
      </c>
      <c r="N110">
        <f t="shared" si="24"/>
        <v>0.49549549549549549</v>
      </c>
      <c r="P110">
        <f t="shared" si="25"/>
        <v>826.5</v>
      </c>
      <c r="Q110">
        <f t="shared" si="26"/>
        <v>967.5</v>
      </c>
    </row>
    <row r="111" spans="1:17" x14ac:dyDescent="0.35">
      <c r="A111">
        <v>2021</v>
      </c>
      <c r="B111" s="15">
        <v>148</v>
      </c>
      <c r="C111" s="15">
        <v>23</v>
      </c>
      <c r="D111" s="12">
        <f t="shared" si="14"/>
        <v>18.5</v>
      </c>
      <c r="E111" s="27">
        <f t="shared" si="15"/>
        <v>0.37</v>
      </c>
      <c r="F111" s="27">
        <f t="shared" si="16"/>
        <v>0.46</v>
      </c>
      <c r="G111">
        <f t="shared" si="17"/>
        <v>41.5</v>
      </c>
      <c r="H111">
        <f t="shared" si="18"/>
        <v>0</v>
      </c>
      <c r="I111">
        <f t="shared" si="19"/>
        <v>-1.1846131607933947</v>
      </c>
      <c r="J111">
        <f t="shared" si="20"/>
        <v>-0.90237681395902158</v>
      </c>
      <c r="K111">
        <f t="shared" si="21"/>
        <v>6.5291100558500866E-5</v>
      </c>
      <c r="L111">
        <f t="shared" si="22"/>
        <v>-6.5293232115216519E-5</v>
      </c>
      <c r="M111">
        <f t="shared" si="23"/>
        <v>0.55421686746987953</v>
      </c>
      <c r="N111">
        <f t="shared" si="24"/>
        <v>0.44578313253012047</v>
      </c>
      <c r="P111">
        <f t="shared" si="25"/>
        <v>1061</v>
      </c>
      <c r="Q111">
        <f t="shared" si="26"/>
        <v>904</v>
      </c>
    </row>
    <row r="112" spans="1:17" x14ac:dyDescent="0.35">
      <c r="A112">
        <v>2021</v>
      </c>
      <c r="B112" s="15">
        <v>147</v>
      </c>
      <c r="C112" s="15">
        <v>23</v>
      </c>
      <c r="D112" s="12">
        <f t="shared" si="14"/>
        <v>18.375</v>
      </c>
      <c r="E112" s="27">
        <f t="shared" si="15"/>
        <v>0.36749999999999999</v>
      </c>
      <c r="F112" s="27">
        <f t="shared" si="16"/>
        <v>0.46</v>
      </c>
      <c r="G112">
        <f t="shared" si="17"/>
        <v>41.375</v>
      </c>
      <c r="H112">
        <f t="shared" si="18"/>
        <v>0</v>
      </c>
      <c r="I112">
        <f t="shared" si="19"/>
        <v>-1.2201636857175644</v>
      </c>
      <c r="J112">
        <f t="shared" si="20"/>
        <v>-0.90237681395902158</v>
      </c>
      <c r="K112">
        <f t="shared" si="21"/>
        <v>5.5887469193322441E-5</v>
      </c>
      <c r="L112">
        <f t="shared" si="22"/>
        <v>-5.5889030956067367E-5</v>
      </c>
      <c r="M112">
        <f t="shared" si="23"/>
        <v>0.5558912386706949</v>
      </c>
      <c r="N112">
        <f t="shared" si="24"/>
        <v>0.44410876132930516</v>
      </c>
      <c r="P112">
        <f t="shared" si="25"/>
        <v>1069.5</v>
      </c>
      <c r="Q112">
        <f t="shared" si="26"/>
        <v>904</v>
      </c>
    </row>
    <row r="113" spans="1:17" x14ac:dyDescent="0.35">
      <c r="A113">
        <v>2021</v>
      </c>
      <c r="B113" s="15">
        <v>155</v>
      </c>
      <c r="C113" s="15">
        <v>22</v>
      </c>
      <c r="D113" s="12">
        <f t="shared" si="14"/>
        <v>19.375</v>
      </c>
      <c r="E113" s="27">
        <f t="shared" si="15"/>
        <v>0.38750000000000001</v>
      </c>
      <c r="F113" s="27">
        <f t="shared" si="16"/>
        <v>0.44</v>
      </c>
      <c r="G113">
        <f t="shared" si="17"/>
        <v>41.375</v>
      </c>
      <c r="H113">
        <f t="shared" si="18"/>
        <v>0</v>
      </c>
      <c r="I113">
        <f t="shared" si="19"/>
        <v>-0.93575948632420713</v>
      </c>
      <c r="J113">
        <f t="shared" si="20"/>
        <v>-1.017915819039694</v>
      </c>
      <c r="K113">
        <f t="shared" si="21"/>
        <v>6.8398710760024476E-5</v>
      </c>
      <c r="L113">
        <f t="shared" si="22"/>
        <v>-6.8401050058518878E-5</v>
      </c>
      <c r="M113">
        <f t="shared" si="23"/>
        <v>0.53172205438066467</v>
      </c>
      <c r="N113">
        <f t="shared" si="24"/>
        <v>0.46827794561933533</v>
      </c>
      <c r="P113">
        <f t="shared" si="25"/>
        <v>985</v>
      </c>
      <c r="Q113">
        <f t="shared" si="26"/>
        <v>936.5</v>
      </c>
    </row>
    <row r="114" spans="1:17" x14ac:dyDescent="0.35">
      <c r="A114">
        <v>2021</v>
      </c>
      <c r="B114" s="15">
        <v>158</v>
      </c>
      <c r="C114" s="15">
        <v>21</v>
      </c>
      <c r="D114" s="12">
        <f t="shared" si="14"/>
        <v>19.75</v>
      </c>
      <c r="E114" s="27">
        <f t="shared" si="15"/>
        <v>0.39500000000000002</v>
      </c>
      <c r="F114" s="27">
        <f t="shared" si="16"/>
        <v>0.42</v>
      </c>
      <c r="G114">
        <f t="shared" si="17"/>
        <v>40.75</v>
      </c>
      <c r="H114">
        <f t="shared" si="18"/>
        <v>0</v>
      </c>
      <c r="I114">
        <f t="shared" si="19"/>
        <v>-0.82910791155169816</v>
      </c>
      <c r="J114">
        <f t="shared" si="20"/>
        <v>-1.1334548241203661</v>
      </c>
      <c r="K114">
        <f t="shared" si="21"/>
        <v>3.8466411443724435E-5</v>
      </c>
      <c r="L114">
        <f t="shared" si="22"/>
        <v>-3.8467151295049381E-5</v>
      </c>
      <c r="M114">
        <f t="shared" si="23"/>
        <v>0.51533742331288346</v>
      </c>
      <c r="N114">
        <f t="shared" si="24"/>
        <v>0.48466257668711654</v>
      </c>
      <c r="P114">
        <f t="shared" si="25"/>
        <v>940.5</v>
      </c>
      <c r="Q114">
        <f t="shared" si="26"/>
        <v>967.5</v>
      </c>
    </row>
    <row r="115" spans="1:17" x14ac:dyDescent="0.35">
      <c r="A115">
        <v>2021</v>
      </c>
      <c r="B115" s="15">
        <v>165</v>
      </c>
      <c r="C115" s="15">
        <v>20</v>
      </c>
      <c r="D115" s="12">
        <f t="shared" si="14"/>
        <v>20.625</v>
      </c>
      <c r="E115" s="27">
        <f t="shared" si="15"/>
        <v>0.41249999999999998</v>
      </c>
      <c r="F115" s="27">
        <f t="shared" si="16"/>
        <v>0.4</v>
      </c>
      <c r="G115">
        <f t="shared" si="17"/>
        <v>40.625</v>
      </c>
      <c r="H115">
        <f t="shared" si="18"/>
        <v>0</v>
      </c>
      <c r="I115">
        <f t="shared" si="19"/>
        <v>-0.58025423708251056</v>
      </c>
      <c r="J115">
        <f t="shared" si="20"/>
        <v>-1.2489938292010385</v>
      </c>
      <c r="K115">
        <f t="shared" si="21"/>
        <v>4.0297319041040437E-5</v>
      </c>
      <c r="L115">
        <f t="shared" si="22"/>
        <v>-4.0298130999867989E-5</v>
      </c>
      <c r="M115">
        <f t="shared" si="23"/>
        <v>0.49230769230769234</v>
      </c>
      <c r="N115">
        <f t="shared" si="24"/>
        <v>0.50769230769230766</v>
      </c>
      <c r="P115">
        <f t="shared" si="25"/>
        <v>826.5</v>
      </c>
      <c r="Q115">
        <f t="shared" si="26"/>
        <v>996</v>
      </c>
    </row>
    <row r="116" spans="1:17" x14ac:dyDescent="0.35">
      <c r="A116">
        <v>2021</v>
      </c>
      <c r="B116" s="15">
        <v>157</v>
      </c>
      <c r="C116" s="15">
        <v>21</v>
      </c>
      <c r="D116" s="12">
        <f t="shared" si="14"/>
        <v>19.625</v>
      </c>
      <c r="E116" s="27">
        <f t="shared" si="15"/>
        <v>0.39250000000000002</v>
      </c>
      <c r="F116" s="27">
        <f t="shared" si="16"/>
        <v>0.42</v>
      </c>
      <c r="G116">
        <f t="shared" si="17"/>
        <v>40.625</v>
      </c>
      <c r="H116">
        <f t="shared" si="18"/>
        <v>0</v>
      </c>
      <c r="I116">
        <f t="shared" si="19"/>
        <v>-0.86465843647586782</v>
      </c>
      <c r="J116">
        <f t="shared" si="20"/>
        <v>-1.1334548241203661</v>
      </c>
      <c r="K116">
        <f t="shared" si="21"/>
        <v>3.2926111828601212E-5</v>
      </c>
      <c r="L116">
        <f t="shared" si="22"/>
        <v>-3.2926653904909701E-5</v>
      </c>
      <c r="M116">
        <f t="shared" si="23"/>
        <v>0.51692307692307693</v>
      </c>
      <c r="N116">
        <f t="shared" si="24"/>
        <v>0.48307692307692307</v>
      </c>
      <c r="P116">
        <f t="shared" si="25"/>
        <v>954</v>
      </c>
      <c r="Q116">
        <f t="shared" si="26"/>
        <v>967.5</v>
      </c>
    </row>
    <row r="117" spans="1:17" x14ac:dyDescent="0.35">
      <c r="A117">
        <v>2021</v>
      </c>
      <c r="B117" s="15">
        <v>129</v>
      </c>
      <c r="C117" s="15">
        <v>24</v>
      </c>
      <c r="D117" s="12">
        <f t="shared" si="14"/>
        <v>16.125</v>
      </c>
      <c r="E117" s="27">
        <f t="shared" si="15"/>
        <v>0.32250000000000001</v>
      </c>
      <c r="F117" s="27">
        <f t="shared" si="16"/>
        <v>0.48</v>
      </c>
      <c r="G117">
        <f t="shared" si="17"/>
        <v>40.125</v>
      </c>
      <c r="H117">
        <f t="shared" si="18"/>
        <v>0</v>
      </c>
      <c r="I117">
        <f t="shared" si="19"/>
        <v>-1.8600731343526182</v>
      </c>
      <c r="J117">
        <f t="shared" si="20"/>
        <v>-0.78683780887834931</v>
      </c>
      <c r="K117">
        <f t="shared" si="21"/>
        <v>9.641826735113526E-6</v>
      </c>
      <c r="L117">
        <f t="shared" si="22"/>
        <v>-9.6418732178396584E-6</v>
      </c>
      <c r="M117">
        <f t="shared" si="23"/>
        <v>0.59813084112149528</v>
      </c>
      <c r="N117">
        <f t="shared" si="24"/>
        <v>0.40186915887850466</v>
      </c>
      <c r="P117">
        <f t="shared" si="25"/>
        <v>1132</v>
      </c>
      <c r="Q117">
        <f t="shared" si="26"/>
        <v>870</v>
      </c>
    </row>
    <row r="118" spans="1:17" ht="16" thickBot="1" x14ac:dyDescent="0.4">
      <c r="A118">
        <v>2021</v>
      </c>
      <c r="B118" s="16">
        <v>161</v>
      </c>
      <c r="C118" s="16">
        <v>20</v>
      </c>
      <c r="D118" s="12">
        <f t="shared" si="14"/>
        <v>20.125</v>
      </c>
      <c r="E118" s="27">
        <f t="shared" si="15"/>
        <v>0.40250000000000002</v>
      </c>
      <c r="F118" s="27">
        <f t="shared" si="16"/>
        <v>0.4</v>
      </c>
      <c r="G118">
        <f t="shared" si="17"/>
        <v>40.125</v>
      </c>
      <c r="H118">
        <f t="shared" si="18"/>
        <v>0</v>
      </c>
      <c r="I118">
        <f t="shared" si="19"/>
        <v>-0.72245633677918919</v>
      </c>
      <c r="J118">
        <f t="shared" si="20"/>
        <v>-1.2489938292010385</v>
      </c>
      <c r="K118">
        <f t="shared" si="21"/>
        <v>2.1632650820148515E-5</v>
      </c>
      <c r="L118">
        <f t="shared" si="22"/>
        <v>-2.1632884809278971E-5</v>
      </c>
      <c r="M118">
        <f t="shared" si="23"/>
        <v>0.49844236760124611</v>
      </c>
      <c r="N118">
        <f t="shared" si="24"/>
        <v>0.50155763239875384</v>
      </c>
      <c r="P118">
        <f t="shared" si="25"/>
        <v>892.5</v>
      </c>
      <c r="Q118">
        <f t="shared" si="26"/>
        <v>996</v>
      </c>
    </row>
    <row r="119" spans="1:17" x14ac:dyDescent="0.35">
      <c r="A119">
        <v>2021</v>
      </c>
      <c r="B119" s="17">
        <v>151</v>
      </c>
      <c r="C119" s="17">
        <v>21</v>
      </c>
      <c r="D119" s="12">
        <f t="shared" si="14"/>
        <v>18.875</v>
      </c>
      <c r="E119" s="27">
        <f t="shared" si="15"/>
        <v>0.3775</v>
      </c>
      <c r="F119" s="27">
        <f t="shared" si="16"/>
        <v>0.42</v>
      </c>
      <c r="G119">
        <f t="shared" si="17"/>
        <v>39.875</v>
      </c>
      <c r="H119">
        <f t="shared" si="18"/>
        <v>0</v>
      </c>
      <c r="I119">
        <f t="shared" si="19"/>
        <v>-1.0779615860208858</v>
      </c>
      <c r="J119">
        <f t="shared" si="20"/>
        <v>-1.1334548241203661</v>
      </c>
      <c r="K119">
        <f t="shared" si="21"/>
        <v>1.2950524112066807E-5</v>
      </c>
      <c r="L119">
        <f t="shared" si="22"/>
        <v>-1.2950607970860026E-5</v>
      </c>
      <c r="M119">
        <f t="shared" si="23"/>
        <v>0.52664576802507834</v>
      </c>
      <c r="N119">
        <f t="shared" si="24"/>
        <v>0.47335423197492166</v>
      </c>
      <c r="P119">
        <f t="shared" si="25"/>
        <v>1029</v>
      </c>
      <c r="Q119">
        <f t="shared" si="26"/>
        <v>967.5</v>
      </c>
    </row>
    <row r="120" spans="1:17" x14ac:dyDescent="0.35">
      <c r="A120">
        <v>2021</v>
      </c>
      <c r="B120" s="15">
        <v>151</v>
      </c>
      <c r="C120" s="15">
        <v>21</v>
      </c>
      <c r="D120" s="12">
        <f t="shared" si="14"/>
        <v>18.875</v>
      </c>
      <c r="E120" s="27">
        <f t="shared" si="15"/>
        <v>0.3775</v>
      </c>
      <c r="F120" s="27">
        <f t="shared" si="16"/>
        <v>0.42</v>
      </c>
      <c r="G120">
        <f t="shared" si="17"/>
        <v>39.875</v>
      </c>
      <c r="H120">
        <f t="shared" si="18"/>
        <v>0</v>
      </c>
      <c r="I120">
        <f t="shared" si="19"/>
        <v>-1.0779615860208858</v>
      </c>
      <c r="J120">
        <f t="shared" si="20"/>
        <v>-1.1334548241203661</v>
      </c>
      <c r="K120">
        <f t="shared" si="21"/>
        <v>1.2950524112066807E-5</v>
      </c>
      <c r="L120">
        <f t="shared" si="22"/>
        <v>-1.2950607970860026E-5</v>
      </c>
      <c r="M120">
        <f t="shared" si="23"/>
        <v>0.52664576802507834</v>
      </c>
      <c r="N120">
        <f t="shared" si="24"/>
        <v>0.47335423197492166</v>
      </c>
      <c r="P120">
        <f t="shared" si="25"/>
        <v>1029</v>
      </c>
      <c r="Q120">
        <f t="shared" si="26"/>
        <v>967.5</v>
      </c>
    </row>
    <row r="121" spans="1:17" x14ac:dyDescent="0.35">
      <c r="A121">
        <v>2021</v>
      </c>
      <c r="B121" s="15">
        <v>150</v>
      </c>
      <c r="C121" s="15">
        <v>21</v>
      </c>
      <c r="D121" s="12">
        <f t="shared" si="14"/>
        <v>18.75</v>
      </c>
      <c r="E121" s="27">
        <f t="shared" si="15"/>
        <v>0.375</v>
      </c>
      <c r="F121" s="27">
        <f t="shared" si="16"/>
        <v>0.42</v>
      </c>
      <c r="G121">
        <f t="shared" si="17"/>
        <v>39.75</v>
      </c>
      <c r="H121">
        <f t="shared" si="18"/>
        <v>0</v>
      </c>
      <c r="I121">
        <f t="shared" si="19"/>
        <v>-1.1135121109450554</v>
      </c>
      <c r="J121">
        <f t="shared" si="20"/>
        <v>-1.1334548241203661</v>
      </c>
      <c r="K121">
        <f t="shared" si="21"/>
        <v>1.108522531784E-5</v>
      </c>
      <c r="L121">
        <f t="shared" si="22"/>
        <v>-1.1085286759350453E-5</v>
      </c>
      <c r="M121">
        <f t="shared" si="23"/>
        <v>0.52830188679245282</v>
      </c>
      <c r="N121">
        <f t="shared" si="24"/>
        <v>0.47169811320754718</v>
      </c>
      <c r="P121">
        <f t="shared" si="25"/>
        <v>1041</v>
      </c>
      <c r="Q121">
        <f t="shared" si="26"/>
        <v>967.5</v>
      </c>
    </row>
    <row r="122" spans="1:17" x14ac:dyDescent="0.35">
      <c r="A122">
        <v>2021</v>
      </c>
      <c r="B122" s="15">
        <v>157</v>
      </c>
      <c r="C122" s="15">
        <v>20</v>
      </c>
      <c r="D122" s="12">
        <f t="shared" si="14"/>
        <v>19.625</v>
      </c>
      <c r="E122" s="27">
        <f t="shared" si="15"/>
        <v>0.39250000000000002</v>
      </c>
      <c r="F122" s="27">
        <f t="shared" si="16"/>
        <v>0.4</v>
      </c>
      <c r="G122">
        <f t="shared" si="17"/>
        <v>39.625</v>
      </c>
      <c r="H122">
        <f t="shared" si="18"/>
        <v>0</v>
      </c>
      <c r="I122">
        <f t="shared" si="19"/>
        <v>-0.86465843647586782</v>
      </c>
      <c r="J122">
        <f t="shared" si="20"/>
        <v>-1.2489938292010385</v>
      </c>
      <c r="K122">
        <f t="shared" si="21"/>
        <v>1.1612870208390525E-5</v>
      </c>
      <c r="L122">
        <f t="shared" si="22"/>
        <v>-1.1612937638243281E-5</v>
      </c>
      <c r="M122">
        <f t="shared" si="23"/>
        <v>0.50473186119873814</v>
      </c>
      <c r="N122">
        <f t="shared" si="24"/>
        <v>0.4952681388012618</v>
      </c>
      <c r="P122">
        <f t="shared" si="25"/>
        <v>954</v>
      </c>
      <c r="Q122">
        <f t="shared" si="26"/>
        <v>996</v>
      </c>
    </row>
    <row r="123" spans="1:17" x14ac:dyDescent="0.35">
      <c r="A123">
        <v>2021</v>
      </c>
      <c r="B123" s="15">
        <v>133</v>
      </c>
      <c r="C123" s="15">
        <v>23</v>
      </c>
      <c r="D123" s="12">
        <f t="shared" si="14"/>
        <v>16.625</v>
      </c>
      <c r="E123" s="27">
        <f t="shared" si="15"/>
        <v>0.33250000000000002</v>
      </c>
      <c r="F123" s="27">
        <f t="shared" si="16"/>
        <v>0.46</v>
      </c>
      <c r="G123">
        <f t="shared" si="17"/>
        <v>39.625</v>
      </c>
      <c r="H123">
        <f t="shared" si="18"/>
        <v>0</v>
      </c>
      <c r="I123">
        <f t="shared" si="19"/>
        <v>-1.7178710346559396</v>
      </c>
      <c r="J123">
        <f t="shared" si="20"/>
        <v>-0.90237681395902158</v>
      </c>
      <c r="K123">
        <f t="shared" si="21"/>
        <v>6.3346867765531159E-6</v>
      </c>
      <c r="L123">
        <f t="shared" si="22"/>
        <v>-6.3347068407897938E-6</v>
      </c>
      <c r="M123">
        <f t="shared" si="23"/>
        <v>0.58044164037854895</v>
      </c>
      <c r="N123">
        <f t="shared" si="24"/>
        <v>0.4195583596214511</v>
      </c>
      <c r="P123">
        <f t="shared" si="25"/>
        <v>1124.5</v>
      </c>
      <c r="Q123">
        <f t="shared" si="26"/>
        <v>904</v>
      </c>
    </row>
    <row r="124" spans="1:17" x14ac:dyDescent="0.35">
      <c r="A124">
        <v>2021</v>
      </c>
      <c r="B124" s="15">
        <v>171</v>
      </c>
      <c r="C124" s="15">
        <v>18</v>
      </c>
      <c r="D124" s="12">
        <f t="shared" si="14"/>
        <v>21.375</v>
      </c>
      <c r="E124" s="27">
        <f t="shared" si="15"/>
        <v>0.42749999999999999</v>
      </c>
      <c r="F124" s="27">
        <f t="shared" si="16"/>
        <v>0.36</v>
      </c>
      <c r="G124">
        <f t="shared" si="17"/>
        <v>39.375</v>
      </c>
      <c r="H124">
        <f t="shared" si="18"/>
        <v>0</v>
      </c>
      <c r="I124">
        <f t="shared" si="19"/>
        <v>-0.36695108753749267</v>
      </c>
      <c r="J124">
        <f t="shared" si="20"/>
        <v>-1.4800718393623831</v>
      </c>
      <c r="K124">
        <f t="shared" si="21"/>
        <v>1.2744700477473977E-5</v>
      </c>
      <c r="L124">
        <f t="shared" si="22"/>
        <v>-1.2744781691903467E-5</v>
      </c>
      <c r="M124">
        <f t="shared" si="23"/>
        <v>0.45714285714285713</v>
      </c>
      <c r="N124">
        <f t="shared" si="24"/>
        <v>0.54285714285714282</v>
      </c>
      <c r="P124">
        <f t="shared" si="25"/>
        <v>700</v>
      </c>
      <c r="Q124">
        <f t="shared" si="26"/>
        <v>1044.5</v>
      </c>
    </row>
    <row r="125" spans="1:17" x14ac:dyDescent="0.35">
      <c r="A125">
        <v>2021</v>
      </c>
      <c r="B125" s="15">
        <v>146</v>
      </c>
      <c r="C125" s="15">
        <v>21</v>
      </c>
      <c r="D125" s="12">
        <f t="shared" si="14"/>
        <v>18.25</v>
      </c>
      <c r="E125" s="27">
        <f t="shared" si="15"/>
        <v>0.36499999999999999</v>
      </c>
      <c r="F125" s="27">
        <f t="shared" si="16"/>
        <v>0.42</v>
      </c>
      <c r="G125">
        <f t="shared" si="17"/>
        <v>39.25</v>
      </c>
      <c r="H125">
        <f t="shared" si="18"/>
        <v>0</v>
      </c>
      <c r="I125">
        <f t="shared" si="19"/>
        <v>-1.2557142106417341</v>
      </c>
      <c r="J125">
        <f t="shared" si="20"/>
        <v>-1.1334548241203661</v>
      </c>
      <c r="K125">
        <f t="shared" si="21"/>
        <v>5.9507572608768826E-6</v>
      </c>
      <c r="L125">
        <f t="shared" si="22"/>
        <v>-5.9507749666681632E-6</v>
      </c>
      <c r="M125">
        <f t="shared" si="23"/>
        <v>0.53503184713375795</v>
      </c>
      <c r="N125">
        <f t="shared" si="24"/>
        <v>0.46496815286624205</v>
      </c>
      <c r="P125">
        <f t="shared" si="25"/>
        <v>1079</v>
      </c>
      <c r="Q125">
        <f t="shared" si="26"/>
        <v>967.5</v>
      </c>
    </row>
    <row r="126" spans="1:17" x14ac:dyDescent="0.35">
      <c r="A126">
        <v>2021</v>
      </c>
      <c r="B126" s="15">
        <v>178</v>
      </c>
      <c r="C126" s="15">
        <v>17</v>
      </c>
      <c r="D126" s="12">
        <f t="shared" si="14"/>
        <v>22.25</v>
      </c>
      <c r="E126" s="27">
        <f t="shared" si="15"/>
        <v>0.44500000000000001</v>
      </c>
      <c r="F126" s="27">
        <f t="shared" si="16"/>
        <v>0.34</v>
      </c>
      <c r="G126">
        <f t="shared" si="17"/>
        <v>39.25</v>
      </c>
      <c r="H126">
        <f t="shared" si="18"/>
        <v>0</v>
      </c>
      <c r="I126">
        <f t="shared" si="19"/>
        <v>-0.11809741306830505</v>
      </c>
      <c r="J126">
        <f t="shared" si="20"/>
        <v>-1.5956108444430555</v>
      </c>
      <c r="K126">
        <f t="shared" si="21"/>
        <v>1.3351333559345121E-5</v>
      </c>
      <c r="L126">
        <f t="shared" si="22"/>
        <v>-1.3351422689244347E-5</v>
      </c>
      <c r="M126">
        <f t="shared" si="23"/>
        <v>0.43312101910828027</v>
      </c>
      <c r="N126">
        <f t="shared" si="24"/>
        <v>0.56687898089171973</v>
      </c>
      <c r="P126">
        <f t="shared" si="25"/>
        <v>564.5</v>
      </c>
      <c r="Q126">
        <f t="shared" si="26"/>
        <v>1063.5</v>
      </c>
    </row>
    <row r="127" spans="1:17" x14ac:dyDescent="0.35">
      <c r="A127">
        <v>2021</v>
      </c>
      <c r="B127" s="15">
        <v>146</v>
      </c>
      <c r="C127" s="15">
        <v>21</v>
      </c>
      <c r="D127" s="12">
        <f t="shared" si="14"/>
        <v>18.25</v>
      </c>
      <c r="E127" s="27">
        <f t="shared" si="15"/>
        <v>0.36499999999999999</v>
      </c>
      <c r="F127" s="27">
        <f t="shared" si="16"/>
        <v>0.42</v>
      </c>
      <c r="G127">
        <f t="shared" si="17"/>
        <v>39.25</v>
      </c>
      <c r="H127">
        <f t="shared" si="18"/>
        <v>0</v>
      </c>
      <c r="I127">
        <f t="shared" si="19"/>
        <v>-1.2557142106417341</v>
      </c>
      <c r="J127">
        <f t="shared" si="20"/>
        <v>-1.1334548241203661</v>
      </c>
      <c r="K127">
        <f t="shared" si="21"/>
        <v>5.9507572608768826E-6</v>
      </c>
      <c r="L127">
        <f t="shared" si="22"/>
        <v>-5.9507749666681632E-6</v>
      </c>
      <c r="M127">
        <f t="shared" si="23"/>
        <v>0.53503184713375795</v>
      </c>
      <c r="N127">
        <f t="shared" si="24"/>
        <v>0.46496815286624205</v>
      </c>
      <c r="P127">
        <f t="shared" si="25"/>
        <v>1079</v>
      </c>
      <c r="Q127">
        <f t="shared" si="26"/>
        <v>967.5</v>
      </c>
    </row>
    <row r="128" spans="1:17" x14ac:dyDescent="0.35">
      <c r="A128">
        <v>2021</v>
      </c>
      <c r="B128" s="15">
        <v>159</v>
      </c>
      <c r="C128" s="15">
        <v>19</v>
      </c>
      <c r="D128" s="12">
        <f t="shared" si="14"/>
        <v>19.875</v>
      </c>
      <c r="E128" s="27">
        <f t="shared" si="15"/>
        <v>0.39750000000000002</v>
      </c>
      <c r="F128" s="27">
        <f t="shared" si="16"/>
        <v>0.38</v>
      </c>
      <c r="G128">
        <f t="shared" si="17"/>
        <v>38.875</v>
      </c>
      <c r="H128">
        <f t="shared" si="18"/>
        <v>0</v>
      </c>
      <c r="I128">
        <f t="shared" si="19"/>
        <v>-0.7935573866275285</v>
      </c>
      <c r="J128">
        <f t="shared" si="20"/>
        <v>-1.3645328342817109</v>
      </c>
      <c r="K128">
        <f t="shared" si="21"/>
        <v>5.5900966224491611E-6</v>
      </c>
      <c r="L128">
        <f t="shared" si="22"/>
        <v>-5.590112247135904E-6</v>
      </c>
      <c r="M128">
        <f t="shared" si="23"/>
        <v>0.4887459807073955</v>
      </c>
      <c r="N128">
        <f t="shared" si="24"/>
        <v>0.5112540192926045</v>
      </c>
      <c r="P128">
        <f t="shared" si="25"/>
        <v>923</v>
      </c>
      <c r="Q128">
        <f t="shared" si="26"/>
        <v>1022</v>
      </c>
    </row>
    <row r="129" spans="1:17" x14ac:dyDescent="0.35">
      <c r="A129">
        <v>2021</v>
      </c>
      <c r="B129" s="15">
        <v>145</v>
      </c>
      <c r="C129" s="15">
        <v>20</v>
      </c>
      <c r="D129" s="12">
        <f t="shared" si="14"/>
        <v>18.125</v>
      </c>
      <c r="E129" s="27">
        <f t="shared" si="15"/>
        <v>0.36249999999999999</v>
      </c>
      <c r="F129" s="27">
        <f t="shared" si="16"/>
        <v>0.4</v>
      </c>
      <c r="G129">
        <f t="shared" si="17"/>
        <v>38.125</v>
      </c>
      <c r="H129">
        <f t="shared" si="18"/>
        <v>0</v>
      </c>
      <c r="I129">
        <f t="shared" si="19"/>
        <v>-1.2912647355659037</v>
      </c>
      <c r="J129">
        <f t="shared" si="20"/>
        <v>-1.2489938292010385</v>
      </c>
      <c r="K129">
        <f t="shared" si="21"/>
        <v>1.7964712706636379E-6</v>
      </c>
      <c r="L129">
        <f t="shared" si="22"/>
        <v>-1.7964728842884287E-6</v>
      </c>
      <c r="M129">
        <f t="shared" si="23"/>
        <v>0.52459016393442626</v>
      </c>
      <c r="N129">
        <f t="shared" si="24"/>
        <v>0.47540983606557374</v>
      </c>
      <c r="P129">
        <f t="shared" si="25"/>
        <v>1086</v>
      </c>
      <c r="Q129">
        <f t="shared" si="26"/>
        <v>996</v>
      </c>
    </row>
    <row r="130" spans="1:17" x14ac:dyDescent="0.35">
      <c r="A130">
        <v>2021</v>
      </c>
      <c r="B130" s="15">
        <v>165</v>
      </c>
      <c r="C130" s="15">
        <v>17</v>
      </c>
      <c r="D130" s="12">
        <f t="shared" si="14"/>
        <v>20.625</v>
      </c>
      <c r="E130" s="27">
        <f t="shared" si="15"/>
        <v>0.41249999999999998</v>
      </c>
      <c r="F130" s="27">
        <f t="shared" si="16"/>
        <v>0.34</v>
      </c>
      <c r="G130">
        <f t="shared" si="17"/>
        <v>37.625</v>
      </c>
      <c r="H130">
        <f t="shared" si="18"/>
        <v>0</v>
      </c>
      <c r="I130">
        <f t="shared" si="19"/>
        <v>-0.58025423708251056</v>
      </c>
      <c r="J130">
        <f t="shared" si="20"/>
        <v>-1.5956108444430555</v>
      </c>
      <c r="K130">
        <f t="shared" si="21"/>
        <v>1.7679195068929287E-6</v>
      </c>
      <c r="L130">
        <f t="shared" si="22"/>
        <v>-1.7679210696724501E-6</v>
      </c>
      <c r="M130">
        <f t="shared" si="23"/>
        <v>0.45182724252491696</v>
      </c>
      <c r="N130">
        <f t="shared" si="24"/>
        <v>0.54817275747508309</v>
      </c>
      <c r="P130">
        <f t="shared" si="25"/>
        <v>826.5</v>
      </c>
      <c r="Q130">
        <f t="shared" si="26"/>
        <v>1063.5</v>
      </c>
    </row>
    <row r="131" spans="1:17" x14ac:dyDescent="0.35">
      <c r="A131">
        <v>2021</v>
      </c>
      <c r="B131" s="15">
        <v>141</v>
      </c>
      <c r="C131" s="15">
        <v>20</v>
      </c>
      <c r="D131" s="12">
        <f t="shared" ref="D131:D194" si="27">B131/8</f>
        <v>17.625</v>
      </c>
      <c r="E131" s="27">
        <f t="shared" ref="E131:E194" si="28">B131/400</f>
        <v>0.35249999999999998</v>
      </c>
      <c r="F131" s="27">
        <f t="shared" ref="F131:F194" si="29">C131/50</f>
        <v>0.4</v>
      </c>
      <c r="G131">
        <f t="shared" ref="G131:G194" si="30">SUM(C131+D131)</f>
        <v>37.625</v>
      </c>
      <c r="H131">
        <f t="shared" ref="H131:H194" si="31">IF(G131&gt;=50,1,0)</f>
        <v>0</v>
      </c>
      <c r="I131">
        <f t="shared" ref="I131:I194" si="32" xml:space="preserve"> (D:D - AVERAGE(D:D)) / STDEV(D:D)</f>
        <v>-1.4334668352625823</v>
      </c>
      <c r="J131">
        <f t="shared" ref="J131:J194" si="33" xml:space="preserve"> (C:C - AVERAGE(C:C)) / STDEV(C:C)</f>
        <v>-1.2489938292010385</v>
      </c>
      <c r="K131">
        <f t="shared" ref="K131:K194" si="34">1/(1+EXP(-($AD$25 +$AD$26 * I131 +$AD$27 * J131 )))</f>
        <v>9.6437538769473664E-7</v>
      </c>
      <c r="L131">
        <f t="shared" ref="L131:L194" si="35">IF(K131=0, -1000, IF(K131=1, -1000, H131 * LN(K131) + (1 - H131) * LN(1 - K131)))</f>
        <v>-9.6437585266783307E-7</v>
      </c>
      <c r="M131">
        <f t="shared" ref="M131:M194" si="36">IF(G131=0, 0,  C131  / G131 )</f>
        <v>0.53156146179401997</v>
      </c>
      <c r="N131">
        <f t="shared" ref="N131:N194" si="37">IF(G131=0, 0,  D131  / G131 )</f>
        <v>0.46843853820598008</v>
      </c>
      <c r="P131">
        <f t="shared" ref="P131:P194" si="38">_xlfn.RANK.AVG(B131,$B$2:$B$1144)</f>
        <v>1101.5</v>
      </c>
      <c r="Q131">
        <f t="shared" ref="Q131:Q194" si="39">_xlfn.RANK.AVG(C131,$C$2:$C$1144)</f>
        <v>996</v>
      </c>
    </row>
    <row r="132" spans="1:17" x14ac:dyDescent="0.35">
      <c r="A132">
        <v>2021</v>
      </c>
      <c r="B132" s="15">
        <v>148</v>
      </c>
      <c r="C132" s="15">
        <v>19</v>
      </c>
      <c r="D132" s="12">
        <f t="shared" si="27"/>
        <v>18.5</v>
      </c>
      <c r="E132" s="27">
        <f t="shared" si="28"/>
        <v>0.37</v>
      </c>
      <c r="F132" s="27">
        <f t="shared" si="29"/>
        <v>0.38</v>
      </c>
      <c r="G132">
        <f t="shared" si="30"/>
        <v>37.5</v>
      </c>
      <c r="H132">
        <f t="shared" si="31"/>
        <v>0</v>
      </c>
      <c r="I132">
        <f t="shared" si="32"/>
        <v>-1.1846131607933947</v>
      </c>
      <c r="J132">
        <f t="shared" si="33"/>
        <v>-1.3645328342817109</v>
      </c>
      <c r="K132">
        <f t="shared" si="34"/>
        <v>1.0102791132814523E-6</v>
      </c>
      <c r="L132">
        <f t="shared" si="35"/>
        <v>-1.0102796235883056E-6</v>
      </c>
      <c r="M132">
        <f t="shared" si="36"/>
        <v>0.50666666666666671</v>
      </c>
      <c r="N132">
        <f t="shared" si="37"/>
        <v>0.49333333333333335</v>
      </c>
      <c r="P132">
        <f t="shared" si="38"/>
        <v>1061</v>
      </c>
      <c r="Q132">
        <f t="shared" si="39"/>
        <v>1022</v>
      </c>
    </row>
    <row r="133" spans="1:17" x14ac:dyDescent="0.35">
      <c r="A133">
        <v>2021</v>
      </c>
      <c r="B133" s="15">
        <v>148</v>
      </c>
      <c r="C133" s="15">
        <v>19</v>
      </c>
      <c r="D133" s="12">
        <f t="shared" si="27"/>
        <v>18.5</v>
      </c>
      <c r="E133" s="27">
        <f t="shared" si="28"/>
        <v>0.37</v>
      </c>
      <c r="F133" s="27">
        <f t="shared" si="29"/>
        <v>0.38</v>
      </c>
      <c r="G133">
        <f t="shared" si="30"/>
        <v>37.5</v>
      </c>
      <c r="H133">
        <f t="shared" si="31"/>
        <v>0</v>
      </c>
      <c r="I133">
        <f t="shared" si="32"/>
        <v>-1.1846131607933947</v>
      </c>
      <c r="J133">
        <f t="shared" si="33"/>
        <v>-1.3645328342817109</v>
      </c>
      <c r="K133">
        <f t="shared" si="34"/>
        <v>1.0102791132814523E-6</v>
      </c>
      <c r="L133">
        <f t="shared" si="35"/>
        <v>-1.0102796235883056E-6</v>
      </c>
      <c r="M133">
        <f t="shared" si="36"/>
        <v>0.50666666666666671</v>
      </c>
      <c r="N133">
        <f t="shared" si="37"/>
        <v>0.49333333333333335</v>
      </c>
      <c r="P133">
        <f t="shared" si="38"/>
        <v>1061</v>
      </c>
      <c r="Q133">
        <f t="shared" si="39"/>
        <v>1022</v>
      </c>
    </row>
    <row r="134" spans="1:17" x14ac:dyDescent="0.35">
      <c r="A134">
        <v>2021</v>
      </c>
      <c r="B134" s="15">
        <v>140</v>
      </c>
      <c r="C134" s="15">
        <v>19</v>
      </c>
      <c r="D134" s="12">
        <f t="shared" si="27"/>
        <v>17.5</v>
      </c>
      <c r="E134" s="27">
        <f t="shared" si="28"/>
        <v>0.35</v>
      </c>
      <c r="F134" s="27">
        <f t="shared" si="29"/>
        <v>0.38</v>
      </c>
      <c r="G134">
        <f t="shared" si="30"/>
        <v>36.5</v>
      </c>
      <c r="H134">
        <f t="shared" si="31"/>
        <v>0</v>
      </c>
      <c r="I134">
        <f t="shared" si="32"/>
        <v>-1.469017360186752</v>
      </c>
      <c r="J134">
        <f t="shared" si="33"/>
        <v>-1.3645328342817109</v>
      </c>
      <c r="K134">
        <f t="shared" si="34"/>
        <v>2.9113381227760324E-7</v>
      </c>
      <c r="L134">
        <f t="shared" si="35"/>
        <v>-2.911338546596431E-7</v>
      </c>
      <c r="M134">
        <f t="shared" si="36"/>
        <v>0.52054794520547942</v>
      </c>
      <c r="N134">
        <f t="shared" si="37"/>
        <v>0.47945205479452052</v>
      </c>
      <c r="P134">
        <f t="shared" si="38"/>
        <v>1106.5</v>
      </c>
      <c r="Q134">
        <f t="shared" si="39"/>
        <v>1022</v>
      </c>
    </row>
    <row r="135" spans="1:17" x14ac:dyDescent="0.35">
      <c r="A135">
        <v>2021</v>
      </c>
      <c r="B135" s="15">
        <v>137</v>
      </c>
      <c r="C135" s="15">
        <v>19</v>
      </c>
      <c r="D135" s="12">
        <f t="shared" si="27"/>
        <v>17.125</v>
      </c>
      <c r="E135" s="27">
        <f t="shared" si="28"/>
        <v>0.34250000000000003</v>
      </c>
      <c r="F135" s="27">
        <f t="shared" si="29"/>
        <v>0.38</v>
      </c>
      <c r="G135">
        <f t="shared" si="30"/>
        <v>36.125</v>
      </c>
      <c r="H135">
        <f t="shared" si="31"/>
        <v>0</v>
      </c>
      <c r="I135">
        <f t="shared" si="32"/>
        <v>-1.575668934959261</v>
      </c>
      <c r="J135">
        <f t="shared" si="33"/>
        <v>-1.3645328342817109</v>
      </c>
      <c r="K135">
        <f t="shared" si="34"/>
        <v>1.8258361634944447E-7</v>
      </c>
      <c r="L135">
        <f t="shared" si="35"/>
        <v>-1.8258363300555241E-7</v>
      </c>
      <c r="M135">
        <f t="shared" si="36"/>
        <v>0.52595155709342556</v>
      </c>
      <c r="N135">
        <f t="shared" si="37"/>
        <v>0.47404844290657439</v>
      </c>
      <c r="P135">
        <f t="shared" si="38"/>
        <v>1116.5</v>
      </c>
      <c r="Q135">
        <f t="shared" si="39"/>
        <v>1022</v>
      </c>
    </row>
    <row r="136" spans="1:17" x14ac:dyDescent="0.35">
      <c r="A136">
        <v>2021</v>
      </c>
      <c r="B136" s="15">
        <v>137</v>
      </c>
      <c r="C136" s="15">
        <v>19</v>
      </c>
      <c r="D136" s="12">
        <f t="shared" si="27"/>
        <v>17.125</v>
      </c>
      <c r="E136" s="27">
        <f t="shared" si="28"/>
        <v>0.34250000000000003</v>
      </c>
      <c r="F136" s="27">
        <f t="shared" si="29"/>
        <v>0.38</v>
      </c>
      <c r="G136">
        <f t="shared" si="30"/>
        <v>36.125</v>
      </c>
      <c r="H136">
        <f t="shared" si="31"/>
        <v>0</v>
      </c>
      <c r="I136">
        <f t="shared" si="32"/>
        <v>-1.575668934959261</v>
      </c>
      <c r="J136">
        <f t="shared" si="33"/>
        <v>-1.3645328342817109</v>
      </c>
      <c r="K136">
        <f t="shared" si="34"/>
        <v>1.8258361634944447E-7</v>
      </c>
      <c r="L136">
        <f t="shared" si="35"/>
        <v>-1.8258363300555241E-7</v>
      </c>
      <c r="M136">
        <f t="shared" si="36"/>
        <v>0.52595155709342556</v>
      </c>
      <c r="N136">
        <f t="shared" si="37"/>
        <v>0.47404844290657439</v>
      </c>
      <c r="P136">
        <f t="shared" si="38"/>
        <v>1116.5</v>
      </c>
      <c r="Q136">
        <f t="shared" si="39"/>
        <v>1022</v>
      </c>
    </row>
    <row r="137" spans="1:17" x14ac:dyDescent="0.35">
      <c r="A137">
        <v>2021</v>
      </c>
      <c r="B137" s="15">
        <v>152</v>
      </c>
      <c r="C137" s="15">
        <v>17</v>
      </c>
      <c r="D137" s="12">
        <f t="shared" si="27"/>
        <v>19</v>
      </c>
      <c r="E137" s="27">
        <f t="shared" si="28"/>
        <v>0.38</v>
      </c>
      <c r="F137" s="27">
        <f t="shared" si="29"/>
        <v>0.34</v>
      </c>
      <c r="G137">
        <f t="shared" si="30"/>
        <v>36</v>
      </c>
      <c r="H137">
        <f t="shared" si="31"/>
        <v>0</v>
      </c>
      <c r="I137">
        <f t="shared" si="32"/>
        <v>-1.0424110610967161</v>
      </c>
      <c r="J137">
        <f t="shared" si="33"/>
        <v>-1.5956108444430555</v>
      </c>
      <c r="K137">
        <f t="shared" si="34"/>
        <v>2.3409706292293588E-7</v>
      </c>
      <c r="L137">
        <f t="shared" si="35"/>
        <v>-2.340970903573503E-7</v>
      </c>
      <c r="M137">
        <f t="shared" si="36"/>
        <v>0.47222222222222221</v>
      </c>
      <c r="N137">
        <f t="shared" si="37"/>
        <v>0.52777777777777779</v>
      </c>
      <c r="P137">
        <f t="shared" si="38"/>
        <v>1016</v>
      </c>
      <c r="Q137">
        <f t="shared" si="39"/>
        <v>1063.5</v>
      </c>
    </row>
    <row r="138" spans="1:17" x14ac:dyDescent="0.35">
      <c r="A138">
        <v>2021</v>
      </c>
      <c r="B138" s="15">
        <v>142</v>
      </c>
      <c r="C138" s="15">
        <v>18</v>
      </c>
      <c r="D138" s="12">
        <f t="shared" si="27"/>
        <v>17.75</v>
      </c>
      <c r="E138" s="27">
        <f t="shared" si="28"/>
        <v>0.35499999999999998</v>
      </c>
      <c r="F138" s="27">
        <f t="shared" si="29"/>
        <v>0.36</v>
      </c>
      <c r="G138">
        <f t="shared" si="30"/>
        <v>35.75</v>
      </c>
      <c r="H138">
        <f t="shared" si="31"/>
        <v>0</v>
      </c>
      <c r="I138">
        <f t="shared" si="32"/>
        <v>-1.3979163103384127</v>
      </c>
      <c r="J138">
        <f t="shared" si="33"/>
        <v>-1.4800718393623831</v>
      </c>
      <c r="K138">
        <f t="shared" si="34"/>
        <v>1.4014249322573889E-7</v>
      </c>
      <c r="L138">
        <f t="shared" si="35"/>
        <v>-1.4014250309672268E-7</v>
      </c>
      <c r="M138">
        <f t="shared" si="36"/>
        <v>0.50349650349650354</v>
      </c>
      <c r="N138">
        <f t="shared" si="37"/>
        <v>0.49650349650349651</v>
      </c>
      <c r="P138">
        <f t="shared" si="38"/>
        <v>1098</v>
      </c>
      <c r="Q138">
        <f t="shared" si="39"/>
        <v>1044.5</v>
      </c>
    </row>
    <row r="139" spans="1:17" x14ac:dyDescent="0.35">
      <c r="A139">
        <v>2021</v>
      </c>
      <c r="B139" s="15">
        <v>164</v>
      </c>
      <c r="C139" s="15">
        <v>15</v>
      </c>
      <c r="D139" s="12">
        <f t="shared" si="27"/>
        <v>20.5</v>
      </c>
      <c r="E139" s="27">
        <f t="shared" si="28"/>
        <v>0.41</v>
      </c>
      <c r="F139" s="27">
        <f t="shared" si="29"/>
        <v>0.3</v>
      </c>
      <c r="G139">
        <f t="shared" si="30"/>
        <v>35.5</v>
      </c>
      <c r="H139">
        <f t="shared" si="31"/>
        <v>0</v>
      </c>
      <c r="I139">
        <f t="shared" si="32"/>
        <v>-0.61580476200668022</v>
      </c>
      <c r="J139">
        <f t="shared" si="33"/>
        <v>-1.8266888546044</v>
      </c>
      <c r="K139">
        <f t="shared" si="34"/>
        <v>1.8823452290909961E-7</v>
      </c>
      <c r="L139">
        <f t="shared" si="35"/>
        <v>-1.8823454057377542E-7</v>
      </c>
      <c r="M139">
        <f t="shared" si="36"/>
        <v>0.42253521126760563</v>
      </c>
      <c r="N139">
        <f t="shared" si="37"/>
        <v>0.57746478873239437</v>
      </c>
      <c r="P139">
        <f t="shared" si="38"/>
        <v>844.5</v>
      </c>
      <c r="Q139">
        <f t="shared" si="39"/>
        <v>1094</v>
      </c>
    </row>
    <row r="140" spans="1:17" x14ac:dyDescent="0.35">
      <c r="A140">
        <v>2021</v>
      </c>
      <c r="B140" s="15">
        <v>131</v>
      </c>
      <c r="C140" s="15">
        <v>19</v>
      </c>
      <c r="D140" s="12">
        <f t="shared" si="27"/>
        <v>16.375</v>
      </c>
      <c r="E140" s="27">
        <f t="shared" si="28"/>
        <v>0.32750000000000001</v>
      </c>
      <c r="F140" s="27">
        <f t="shared" si="29"/>
        <v>0.38</v>
      </c>
      <c r="G140">
        <f t="shared" si="30"/>
        <v>35.375</v>
      </c>
      <c r="H140">
        <f t="shared" si="31"/>
        <v>0</v>
      </c>
      <c r="I140">
        <f t="shared" si="32"/>
        <v>-1.7889720845042789</v>
      </c>
      <c r="J140">
        <f t="shared" si="33"/>
        <v>-1.3645328342817109</v>
      </c>
      <c r="K140">
        <f t="shared" si="34"/>
        <v>7.1812504503154481E-8</v>
      </c>
      <c r="L140">
        <f t="shared" si="35"/>
        <v>-7.1812507077020991E-8</v>
      </c>
      <c r="M140">
        <f t="shared" si="36"/>
        <v>0.53710247349823326</v>
      </c>
      <c r="N140">
        <f t="shared" si="37"/>
        <v>0.4628975265017668</v>
      </c>
      <c r="P140">
        <f t="shared" si="38"/>
        <v>1127</v>
      </c>
      <c r="Q140">
        <f t="shared" si="39"/>
        <v>1022</v>
      </c>
    </row>
    <row r="141" spans="1:17" x14ac:dyDescent="0.35">
      <c r="A141">
        <v>2021</v>
      </c>
      <c r="B141" s="15">
        <v>141</v>
      </c>
      <c r="C141" s="15">
        <v>17</v>
      </c>
      <c r="D141" s="12">
        <f t="shared" si="27"/>
        <v>17.625</v>
      </c>
      <c r="E141" s="27">
        <f t="shared" si="28"/>
        <v>0.35249999999999998</v>
      </c>
      <c r="F141" s="27">
        <f t="shared" si="29"/>
        <v>0.34</v>
      </c>
      <c r="G141">
        <f t="shared" si="30"/>
        <v>34.625</v>
      </c>
      <c r="H141">
        <f t="shared" si="31"/>
        <v>0</v>
      </c>
      <c r="I141">
        <f t="shared" si="32"/>
        <v>-1.4334668352625823</v>
      </c>
      <c r="J141">
        <f t="shared" si="33"/>
        <v>-1.5956108444430555</v>
      </c>
      <c r="K141">
        <f t="shared" si="34"/>
        <v>4.2307378805786179E-8</v>
      </c>
      <c r="L141">
        <f t="shared" si="35"/>
        <v>-4.2307379717449759E-8</v>
      </c>
      <c r="M141">
        <f t="shared" si="36"/>
        <v>0.49097472924187724</v>
      </c>
      <c r="N141">
        <f t="shared" si="37"/>
        <v>0.50902527075812276</v>
      </c>
      <c r="P141">
        <f t="shared" si="38"/>
        <v>1101.5</v>
      </c>
      <c r="Q141">
        <f t="shared" si="39"/>
        <v>1063.5</v>
      </c>
    </row>
    <row r="142" spans="1:17" x14ac:dyDescent="0.35">
      <c r="A142">
        <v>2021</v>
      </c>
      <c r="B142" s="15">
        <v>164</v>
      </c>
      <c r="C142" s="15">
        <v>13</v>
      </c>
      <c r="D142" s="12">
        <f t="shared" si="27"/>
        <v>20.5</v>
      </c>
      <c r="E142" s="27">
        <f t="shared" si="28"/>
        <v>0.41</v>
      </c>
      <c r="F142" s="27">
        <f t="shared" si="29"/>
        <v>0.26</v>
      </c>
      <c r="G142">
        <f t="shared" si="30"/>
        <v>33.5</v>
      </c>
      <c r="H142">
        <f t="shared" si="31"/>
        <v>0</v>
      </c>
      <c r="I142">
        <f t="shared" si="32"/>
        <v>-0.61580476200668022</v>
      </c>
      <c r="J142">
        <f t="shared" si="33"/>
        <v>-2.0577668647657448</v>
      </c>
      <c r="K142">
        <f t="shared" si="34"/>
        <v>2.341418701852793E-8</v>
      </c>
      <c r="L142">
        <f t="shared" si="35"/>
        <v>-2.3414187307777793E-8</v>
      </c>
      <c r="M142">
        <f t="shared" si="36"/>
        <v>0.38805970149253732</v>
      </c>
      <c r="N142">
        <f t="shared" si="37"/>
        <v>0.61194029850746268</v>
      </c>
      <c r="P142">
        <f t="shared" si="38"/>
        <v>844.5</v>
      </c>
      <c r="Q142">
        <f t="shared" si="39"/>
        <v>1116.5</v>
      </c>
    </row>
    <row r="143" spans="1:17" x14ac:dyDescent="0.35">
      <c r="A143">
        <v>2021</v>
      </c>
      <c r="B143" s="15">
        <v>126</v>
      </c>
      <c r="C143" s="15">
        <v>17</v>
      </c>
      <c r="D143" s="12">
        <f t="shared" si="27"/>
        <v>15.75</v>
      </c>
      <c r="E143" s="27">
        <f t="shared" si="28"/>
        <v>0.315</v>
      </c>
      <c r="F143" s="27">
        <f t="shared" si="29"/>
        <v>0.34</v>
      </c>
      <c r="G143">
        <f t="shared" si="30"/>
        <v>32.75</v>
      </c>
      <c r="H143">
        <f t="shared" si="31"/>
        <v>0</v>
      </c>
      <c r="I143">
        <f t="shared" si="32"/>
        <v>-1.9667247091251272</v>
      </c>
      <c r="J143">
        <f t="shared" si="33"/>
        <v>-1.5956108444430555</v>
      </c>
      <c r="K143">
        <f t="shared" si="34"/>
        <v>4.1045134844224824E-9</v>
      </c>
      <c r="L143">
        <f t="shared" si="35"/>
        <v>-4.10451351527644E-9</v>
      </c>
      <c r="M143">
        <f t="shared" si="36"/>
        <v>0.51908396946564883</v>
      </c>
      <c r="N143">
        <f t="shared" si="37"/>
        <v>0.48091603053435117</v>
      </c>
      <c r="P143">
        <f t="shared" si="38"/>
        <v>1137.5</v>
      </c>
      <c r="Q143">
        <f t="shared" si="39"/>
        <v>1063.5</v>
      </c>
    </row>
    <row r="144" spans="1:17" x14ac:dyDescent="0.35">
      <c r="A144">
        <v>2021</v>
      </c>
      <c r="B144" s="15">
        <v>155</v>
      </c>
      <c r="C144" s="15">
        <v>12</v>
      </c>
      <c r="D144" s="12">
        <f t="shared" si="27"/>
        <v>19.375</v>
      </c>
      <c r="E144" s="27">
        <f t="shared" si="28"/>
        <v>0.38750000000000001</v>
      </c>
      <c r="F144" s="27">
        <f t="shared" si="29"/>
        <v>0.24</v>
      </c>
      <c r="G144">
        <f t="shared" si="30"/>
        <v>31.375</v>
      </c>
      <c r="H144">
        <f t="shared" si="31"/>
        <v>0</v>
      </c>
      <c r="I144">
        <f t="shared" si="32"/>
        <v>-0.93575948632420713</v>
      </c>
      <c r="J144">
        <f t="shared" si="33"/>
        <v>-2.1733058698464167</v>
      </c>
      <c r="K144">
        <f t="shared" si="34"/>
        <v>2.0369308687149194E-9</v>
      </c>
      <c r="L144">
        <f t="shared" si="35"/>
        <v>-2.0369308482910219E-9</v>
      </c>
      <c r="M144">
        <f t="shared" si="36"/>
        <v>0.38247011952191234</v>
      </c>
      <c r="N144">
        <f t="shared" si="37"/>
        <v>0.61752988047808766</v>
      </c>
      <c r="P144">
        <f t="shared" si="38"/>
        <v>985</v>
      </c>
      <c r="Q144">
        <f t="shared" si="39"/>
        <v>1122.5</v>
      </c>
    </row>
    <row r="145" spans="1:17" x14ac:dyDescent="0.35">
      <c r="A145">
        <v>2021</v>
      </c>
      <c r="B145" s="15">
        <v>149</v>
      </c>
      <c r="C145" s="15">
        <v>11</v>
      </c>
      <c r="D145" s="12">
        <f t="shared" si="27"/>
        <v>18.625</v>
      </c>
      <c r="E145" s="27">
        <f t="shared" si="28"/>
        <v>0.3725</v>
      </c>
      <c r="F145" s="27">
        <f t="shared" si="29"/>
        <v>0.22</v>
      </c>
      <c r="G145">
        <f t="shared" si="30"/>
        <v>29.625</v>
      </c>
      <c r="H145">
        <f t="shared" si="31"/>
        <v>0</v>
      </c>
      <c r="I145">
        <f t="shared" si="32"/>
        <v>-1.1490626358692251</v>
      </c>
      <c r="J145">
        <f t="shared" si="33"/>
        <v>-2.2888448749270891</v>
      </c>
      <c r="K145">
        <f t="shared" si="34"/>
        <v>2.8255589849230569E-10</v>
      </c>
      <c r="L145">
        <f t="shared" si="35"/>
        <v>-2.8255586763221236E-10</v>
      </c>
      <c r="M145">
        <f t="shared" si="36"/>
        <v>0.37130801687763715</v>
      </c>
      <c r="N145">
        <f t="shared" si="37"/>
        <v>0.62869198312236285</v>
      </c>
      <c r="P145">
        <f t="shared" si="38"/>
        <v>1051.5</v>
      </c>
      <c r="Q145">
        <f t="shared" si="39"/>
        <v>1128</v>
      </c>
    </row>
    <row r="146" spans="1:17" x14ac:dyDescent="0.35">
      <c r="A146">
        <v>2021</v>
      </c>
      <c r="B146" s="15">
        <v>153</v>
      </c>
      <c r="C146" s="15">
        <v>10</v>
      </c>
      <c r="D146" s="12">
        <f t="shared" si="27"/>
        <v>19.125</v>
      </c>
      <c r="E146" s="27">
        <f t="shared" si="28"/>
        <v>0.38250000000000001</v>
      </c>
      <c r="F146" s="27">
        <f t="shared" si="29"/>
        <v>0.2</v>
      </c>
      <c r="G146">
        <f t="shared" si="30"/>
        <v>29.125</v>
      </c>
      <c r="H146">
        <f t="shared" si="31"/>
        <v>0</v>
      </c>
      <c r="I146">
        <f t="shared" si="32"/>
        <v>-1.0068605361725464</v>
      </c>
      <c r="J146">
        <f t="shared" si="33"/>
        <v>-2.4043838800077615</v>
      </c>
      <c r="K146">
        <f t="shared" si="34"/>
        <v>1.8563880514194755E-10</v>
      </c>
      <c r="L146">
        <f t="shared" si="35"/>
        <v>-1.8563883765256885E-10</v>
      </c>
      <c r="M146">
        <f t="shared" si="36"/>
        <v>0.34334763948497854</v>
      </c>
      <c r="N146">
        <f t="shared" si="37"/>
        <v>0.6566523605150214</v>
      </c>
      <c r="P146">
        <f t="shared" si="38"/>
        <v>1004.5</v>
      </c>
      <c r="Q146">
        <f t="shared" si="39"/>
        <v>1135</v>
      </c>
    </row>
    <row r="147" spans="1:17" x14ac:dyDescent="0.35">
      <c r="A147">
        <v>2021</v>
      </c>
      <c r="B147" s="15">
        <v>136</v>
      </c>
      <c r="C147" s="15">
        <v>11</v>
      </c>
      <c r="D147" s="12">
        <f t="shared" si="27"/>
        <v>17</v>
      </c>
      <c r="E147" s="27">
        <f t="shared" si="28"/>
        <v>0.34</v>
      </c>
      <c r="F147" s="27">
        <f t="shared" si="29"/>
        <v>0.22</v>
      </c>
      <c r="G147">
        <f t="shared" si="30"/>
        <v>28</v>
      </c>
      <c r="H147">
        <f t="shared" si="31"/>
        <v>0</v>
      </c>
      <c r="I147">
        <f t="shared" si="32"/>
        <v>-1.6112194598834306</v>
      </c>
      <c r="J147">
        <f t="shared" si="33"/>
        <v>-2.2888448749270891</v>
      </c>
      <c r="K147">
        <f t="shared" si="34"/>
        <v>3.7414262499755095E-11</v>
      </c>
      <c r="L147">
        <f t="shared" si="35"/>
        <v>-3.7414293885962768E-11</v>
      </c>
      <c r="M147">
        <f t="shared" si="36"/>
        <v>0.39285714285714285</v>
      </c>
      <c r="N147">
        <f t="shared" si="37"/>
        <v>0.6071428571428571</v>
      </c>
      <c r="P147">
        <f t="shared" si="38"/>
        <v>1120</v>
      </c>
      <c r="Q147">
        <f t="shared" si="39"/>
        <v>1128</v>
      </c>
    </row>
    <row r="148" spans="1:17" x14ac:dyDescent="0.35">
      <c r="A148">
        <v>2021</v>
      </c>
      <c r="B148" s="15">
        <v>181</v>
      </c>
      <c r="C148" s="15">
        <v>4</v>
      </c>
      <c r="D148" s="12">
        <f t="shared" si="27"/>
        <v>22.625</v>
      </c>
      <c r="E148" s="27">
        <f t="shared" si="28"/>
        <v>0.45250000000000001</v>
      </c>
      <c r="F148" s="27">
        <f t="shared" si="29"/>
        <v>0.08</v>
      </c>
      <c r="G148">
        <f t="shared" si="30"/>
        <v>26.625</v>
      </c>
      <c r="H148">
        <f t="shared" si="31"/>
        <v>0</v>
      </c>
      <c r="I148">
        <f t="shared" si="32"/>
        <v>-1.1445838295796084E-2</v>
      </c>
      <c r="J148">
        <f t="shared" si="33"/>
        <v>-3.0976179104917954</v>
      </c>
      <c r="K148">
        <f t="shared" si="34"/>
        <v>2.7811832396656982E-11</v>
      </c>
      <c r="L148">
        <f t="shared" si="35"/>
        <v>-2.7811863923364158E-11</v>
      </c>
      <c r="M148">
        <f t="shared" si="36"/>
        <v>0.15023474178403756</v>
      </c>
      <c r="N148">
        <f t="shared" si="37"/>
        <v>0.84976525821596249</v>
      </c>
      <c r="P148">
        <f t="shared" si="38"/>
        <v>505</v>
      </c>
      <c r="Q148">
        <f t="shared" si="39"/>
        <v>1143</v>
      </c>
    </row>
    <row r="149" spans="1:17" x14ac:dyDescent="0.35">
      <c r="A149">
        <v>2021</v>
      </c>
      <c r="B149" s="15">
        <v>237</v>
      </c>
      <c r="C149" s="15">
        <v>39</v>
      </c>
      <c r="D149" s="12">
        <f t="shared" si="27"/>
        <v>29.625</v>
      </c>
      <c r="E149" s="27">
        <f t="shared" si="28"/>
        <v>0.59250000000000003</v>
      </c>
      <c r="F149" s="27">
        <f t="shared" si="29"/>
        <v>0.78</v>
      </c>
      <c r="G149">
        <f t="shared" si="30"/>
        <v>68.625</v>
      </c>
      <c r="H149">
        <f t="shared" si="31"/>
        <v>1</v>
      </c>
      <c r="I149">
        <f t="shared" si="32"/>
        <v>1.9793835574577048</v>
      </c>
      <c r="J149">
        <f t="shared" si="33"/>
        <v>0.94624726733173525</v>
      </c>
      <c r="K149">
        <f t="shared" si="34"/>
        <v>0.99999999914498749</v>
      </c>
      <c r="L149">
        <f t="shared" si="35"/>
        <v>-8.5501250560641616E-10</v>
      </c>
      <c r="M149">
        <f t="shared" si="36"/>
        <v>0.56830601092896171</v>
      </c>
      <c r="N149">
        <f t="shared" si="37"/>
        <v>0.43169398907103823</v>
      </c>
      <c r="P149">
        <f t="shared" si="38"/>
        <v>49</v>
      </c>
      <c r="Q149">
        <f t="shared" si="39"/>
        <v>233</v>
      </c>
    </row>
    <row r="150" spans="1:17" x14ac:dyDescent="0.35">
      <c r="A150">
        <v>2021</v>
      </c>
      <c r="B150" s="15">
        <v>196</v>
      </c>
      <c r="C150" s="15">
        <v>39</v>
      </c>
      <c r="D150" s="12">
        <f t="shared" si="27"/>
        <v>24.5</v>
      </c>
      <c r="E150" s="27">
        <f t="shared" si="28"/>
        <v>0.49</v>
      </c>
      <c r="F150" s="27">
        <f t="shared" si="29"/>
        <v>0.78</v>
      </c>
      <c r="G150">
        <f t="shared" si="30"/>
        <v>63.5</v>
      </c>
      <c r="H150">
        <f t="shared" si="31"/>
        <v>1</v>
      </c>
      <c r="I150">
        <f t="shared" si="32"/>
        <v>0.52181203556674882</v>
      </c>
      <c r="J150">
        <f t="shared" si="33"/>
        <v>0.94624726733173525</v>
      </c>
      <c r="K150">
        <f t="shared" si="34"/>
        <v>0.9999994973553441</v>
      </c>
      <c r="L150">
        <f t="shared" si="35"/>
        <v>-5.026447822234224E-7</v>
      </c>
      <c r="M150">
        <f t="shared" si="36"/>
        <v>0.61417322834645671</v>
      </c>
      <c r="N150">
        <f t="shared" si="37"/>
        <v>0.38582677165354329</v>
      </c>
      <c r="P150">
        <f t="shared" si="38"/>
        <v>270</v>
      </c>
      <c r="Q150">
        <f t="shared" si="39"/>
        <v>233</v>
      </c>
    </row>
    <row r="151" spans="1:17" x14ac:dyDescent="0.35">
      <c r="A151">
        <v>2021</v>
      </c>
      <c r="B151" s="15">
        <v>278</v>
      </c>
      <c r="C151" s="15">
        <v>28</v>
      </c>
      <c r="D151" s="12">
        <f t="shared" si="27"/>
        <v>34.75</v>
      </c>
      <c r="E151" s="27">
        <f t="shared" si="28"/>
        <v>0.69499999999999995</v>
      </c>
      <c r="F151" s="27">
        <f t="shared" si="29"/>
        <v>0.56000000000000005</v>
      </c>
      <c r="G151">
        <f t="shared" si="30"/>
        <v>62.75</v>
      </c>
      <c r="H151">
        <f t="shared" si="31"/>
        <v>1</v>
      </c>
      <c r="I151">
        <f t="shared" si="32"/>
        <v>3.4369550793486607</v>
      </c>
      <c r="J151">
        <f t="shared" si="33"/>
        <v>-0.3246817885556601</v>
      </c>
      <c r="K151">
        <f t="shared" si="34"/>
        <v>0.99999986151745424</v>
      </c>
      <c r="L151">
        <f t="shared" si="35"/>
        <v>-1.3848255535269352E-7</v>
      </c>
      <c r="M151">
        <f t="shared" si="36"/>
        <v>0.44621513944223107</v>
      </c>
      <c r="N151">
        <f t="shared" si="37"/>
        <v>0.55378486055776888</v>
      </c>
      <c r="P151">
        <f t="shared" si="38"/>
        <v>12.5</v>
      </c>
      <c r="Q151">
        <f t="shared" si="39"/>
        <v>709.5</v>
      </c>
    </row>
    <row r="152" spans="1:17" x14ac:dyDescent="0.35">
      <c r="A152">
        <v>2021</v>
      </c>
      <c r="B152" s="15">
        <v>230</v>
      </c>
      <c r="C152" s="15">
        <v>34</v>
      </c>
      <c r="D152" s="12">
        <f t="shared" si="27"/>
        <v>28.75</v>
      </c>
      <c r="E152" s="27">
        <f t="shared" si="28"/>
        <v>0.57499999999999996</v>
      </c>
      <c r="F152" s="27">
        <f t="shared" si="29"/>
        <v>0.68</v>
      </c>
      <c r="G152">
        <f t="shared" si="30"/>
        <v>62.75</v>
      </c>
      <c r="H152">
        <f t="shared" si="31"/>
        <v>1</v>
      </c>
      <c r="I152">
        <f t="shared" si="32"/>
        <v>1.7305298829885172</v>
      </c>
      <c r="J152">
        <f t="shared" si="33"/>
        <v>0.36855224192837371</v>
      </c>
      <c r="K152">
        <f t="shared" si="34"/>
        <v>0.99999953459790503</v>
      </c>
      <c r="L152">
        <f t="shared" si="35"/>
        <v>-4.6540220327306576E-7</v>
      </c>
      <c r="M152">
        <f t="shared" si="36"/>
        <v>0.54183266932270913</v>
      </c>
      <c r="N152">
        <f t="shared" si="37"/>
        <v>0.45816733067729082</v>
      </c>
      <c r="P152">
        <f t="shared" si="38"/>
        <v>60.5</v>
      </c>
      <c r="Q152">
        <f t="shared" si="39"/>
        <v>484.5</v>
      </c>
    </row>
    <row r="153" spans="1:17" x14ac:dyDescent="0.35">
      <c r="A153">
        <v>2021</v>
      </c>
      <c r="B153" s="15">
        <v>178</v>
      </c>
      <c r="C153" s="15">
        <v>40</v>
      </c>
      <c r="D153" s="12">
        <f t="shared" si="27"/>
        <v>22.25</v>
      </c>
      <c r="E153" s="27">
        <f t="shared" si="28"/>
        <v>0.44500000000000001</v>
      </c>
      <c r="F153" s="27">
        <f t="shared" si="29"/>
        <v>0.8</v>
      </c>
      <c r="G153">
        <f t="shared" si="30"/>
        <v>62.25</v>
      </c>
      <c r="H153">
        <f t="shared" si="31"/>
        <v>1</v>
      </c>
      <c r="I153">
        <f t="shared" si="32"/>
        <v>-0.11809741306830505</v>
      </c>
      <c r="J153">
        <f t="shared" si="33"/>
        <v>1.0617862724124074</v>
      </c>
      <c r="K153">
        <f t="shared" si="34"/>
        <v>0.99999708636444706</v>
      </c>
      <c r="L153">
        <f t="shared" si="35"/>
        <v>-2.9136397975812012E-6</v>
      </c>
      <c r="M153">
        <f t="shared" si="36"/>
        <v>0.64257028112449799</v>
      </c>
      <c r="N153">
        <f t="shared" si="37"/>
        <v>0.35742971887550201</v>
      </c>
      <c r="P153">
        <f t="shared" si="38"/>
        <v>564.5</v>
      </c>
      <c r="Q153">
        <f t="shared" si="39"/>
        <v>173</v>
      </c>
    </row>
    <row r="154" spans="1:17" x14ac:dyDescent="0.35">
      <c r="A154">
        <v>2021</v>
      </c>
      <c r="B154" s="15">
        <v>159</v>
      </c>
      <c r="C154" s="15">
        <v>39</v>
      </c>
      <c r="D154" s="12">
        <f t="shared" si="27"/>
        <v>19.875</v>
      </c>
      <c r="E154" s="27">
        <f t="shared" si="28"/>
        <v>0.39750000000000002</v>
      </c>
      <c r="F154" s="27">
        <f t="shared" si="29"/>
        <v>0.78</v>
      </c>
      <c r="G154">
        <f t="shared" si="30"/>
        <v>58.875</v>
      </c>
      <c r="H154">
        <f t="shared" si="31"/>
        <v>1</v>
      </c>
      <c r="I154">
        <f t="shared" si="32"/>
        <v>-0.7935573866275285</v>
      </c>
      <c r="J154">
        <f t="shared" si="33"/>
        <v>0.94624726733173525</v>
      </c>
      <c r="K154">
        <f t="shared" si="34"/>
        <v>0.99984139871203737</v>
      </c>
      <c r="L154">
        <f t="shared" si="35"/>
        <v>-1.5861386647690251E-4</v>
      </c>
      <c r="M154">
        <f t="shared" si="36"/>
        <v>0.66242038216560506</v>
      </c>
      <c r="N154">
        <f t="shared" si="37"/>
        <v>0.33757961783439489</v>
      </c>
      <c r="P154">
        <f t="shared" si="38"/>
        <v>923</v>
      </c>
      <c r="Q154">
        <f t="shared" si="39"/>
        <v>233</v>
      </c>
    </row>
    <row r="155" spans="1:17" x14ac:dyDescent="0.35">
      <c r="A155">
        <v>2021</v>
      </c>
      <c r="B155" s="15">
        <v>158</v>
      </c>
      <c r="C155" s="15">
        <v>39</v>
      </c>
      <c r="D155" s="12">
        <f t="shared" si="27"/>
        <v>19.75</v>
      </c>
      <c r="E155" s="27">
        <f t="shared" si="28"/>
        <v>0.39500000000000002</v>
      </c>
      <c r="F155" s="27">
        <f t="shared" si="29"/>
        <v>0.78</v>
      </c>
      <c r="G155">
        <f t="shared" si="30"/>
        <v>58.75</v>
      </c>
      <c r="H155">
        <f t="shared" si="31"/>
        <v>1</v>
      </c>
      <c r="I155">
        <f t="shared" si="32"/>
        <v>-0.82910791155169816</v>
      </c>
      <c r="J155">
        <f t="shared" si="33"/>
        <v>0.94624726733173525</v>
      </c>
      <c r="K155">
        <f t="shared" si="34"/>
        <v>0.99981471564525015</v>
      </c>
      <c r="L155">
        <f t="shared" si="35"/>
        <v>-1.8530152201648927E-4</v>
      </c>
      <c r="M155">
        <f t="shared" si="36"/>
        <v>0.66382978723404251</v>
      </c>
      <c r="N155">
        <f t="shared" si="37"/>
        <v>0.33617021276595743</v>
      </c>
      <c r="P155">
        <f t="shared" si="38"/>
        <v>940.5</v>
      </c>
      <c r="Q155">
        <f t="shared" si="39"/>
        <v>233</v>
      </c>
    </row>
    <row r="156" spans="1:17" x14ac:dyDescent="0.35">
      <c r="A156">
        <v>2021</v>
      </c>
      <c r="B156" s="15">
        <v>237</v>
      </c>
      <c r="C156" s="15">
        <v>28</v>
      </c>
      <c r="D156" s="12">
        <f t="shared" si="27"/>
        <v>29.625</v>
      </c>
      <c r="E156" s="27">
        <f t="shared" si="28"/>
        <v>0.59250000000000003</v>
      </c>
      <c r="F156" s="27">
        <f t="shared" si="29"/>
        <v>0.56000000000000005</v>
      </c>
      <c r="G156">
        <f t="shared" si="30"/>
        <v>57.625</v>
      </c>
      <c r="H156">
        <f t="shared" si="31"/>
        <v>1</v>
      </c>
      <c r="I156">
        <f t="shared" si="32"/>
        <v>1.9793835574577048</v>
      </c>
      <c r="J156">
        <f t="shared" si="33"/>
        <v>-0.3246817885556601</v>
      </c>
      <c r="K156">
        <f t="shared" si="34"/>
        <v>0.99991859547050976</v>
      </c>
      <c r="L156">
        <f t="shared" si="35"/>
        <v>-8.1407843018772711E-5</v>
      </c>
      <c r="M156">
        <f t="shared" si="36"/>
        <v>0.48590021691973967</v>
      </c>
      <c r="N156">
        <f t="shared" si="37"/>
        <v>0.51409978308026028</v>
      </c>
      <c r="P156">
        <f t="shared" si="38"/>
        <v>49</v>
      </c>
      <c r="Q156">
        <f t="shared" si="39"/>
        <v>709.5</v>
      </c>
    </row>
    <row r="157" spans="1:17" x14ac:dyDescent="0.35">
      <c r="A157">
        <v>2021</v>
      </c>
      <c r="B157" s="15">
        <v>193</v>
      </c>
      <c r="C157" s="15">
        <v>33</v>
      </c>
      <c r="D157" s="12">
        <f t="shared" si="27"/>
        <v>24.125</v>
      </c>
      <c r="E157" s="27">
        <f t="shared" si="28"/>
        <v>0.48249999999999998</v>
      </c>
      <c r="F157" s="27">
        <f t="shared" si="29"/>
        <v>0.66</v>
      </c>
      <c r="G157">
        <f t="shared" si="30"/>
        <v>57.125</v>
      </c>
      <c r="H157">
        <f t="shared" si="31"/>
        <v>1</v>
      </c>
      <c r="I157">
        <f t="shared" si="32"/>
        <v>0.41516046079423979</v>
      </c>
      <c r="J157">
        <f t="shared" si="33"/>
        <v>0.25301323684770138</v>
      </c>
      <c r="K157">
        <f t="shared" si="34"/>
        <v>0.99958373283409152</v>
      </c>
      <c r="L157">
        <f t="shared" si="35"/>
        <v>-4.1635382913605794E-4</v>
      </c>
      <c r="M157">
        <f t="shared" si="36"/>
        <v>0.57768052516411383</v>
      </c>
      <c r="N157">
        <f t="shared" si="37"/>
        <v>0.42231947483588622</v>
      </c>
      <c r="P157">
        <f t="shared" si="38"/>
        <v>307</v>
      </c>
      <c r="Q157">
        <f t="shared" si="39"/>
        <v>523.5</v>
      </c>
    </row>
    <row r="158" spans="1:17" x14ac:dyDescent="0.35">
      <c r="A158">
        <v>2021</v>
      </c>
      <c r="B158" s="15">
        <v>140</v>
      </c>
      <c r="C158" s="15">
        <v>39</v>
      </c>
      <c r="D158" s="12">
        <f t="shared" si="27"/>
        <v>17.5</v>
      </c>
      <c r="E158" s="27">
        <f t="shared" si="28"/>
        <v>0.35</v>
      </c>
      <c r="F158" s="27">
        <f t="shared" si="29"/>
        <v>0.78</v>
      </c>
      <c r="G158">
        <f t="shared" si="30"/>
        <v>56.5</v>
      </c>
      <c r="H158">
        <f t="shared" si="31"/>
        <v>1</v>
      </c>
      <c r="I158">
        <f t="shared" si="32"/>
        <v>-1.469017360186752</v>
      </c>
      <c r="J158">
        <f t="shared" si="33"/>
        <v>0.94624726733173525</v>
      </c>
      <c r="K158">
        <f t="shared" si="34"/>
        <v>0.9969634265531675</v>
      </c>
      <c r="L158">
        <f t="shared" si="35"/>
        <v>-3.0411931904791409E-3</v>
      </c>
      <c r="M158">
        <f t="shared" si="36"/>
        <v>0.69026548672566368</v>
      </c>
      <c r="N158">
        <f t="shared" si="37"/>
        <v>0.30973451327433627</v>
      </c>
      <c r="P158">
        <f t="shared" si="38"/>
        <v>1106.5</v>
      </c>
      <c r="Q158">
        <f t="shared" si="39"/>
        <v>233</v>
      </c>
    </row>
    <row r="159" spans="1:17" x14ac:dyDescent="0.35">
      <c r="A159">
        <v>2021</v>
      </c>
      <c r="B159" s="15">
        <v>162</v>
      </c>
      <c r="C159" s="15">
        <v>36</v>
      </c>
      <c r="D159" s="12">
        <f t="shared" si="27"/>
        <v>20.25</v>
      </c>
      <c r="E159" s="27">
        <f t="shared" si="28"/>
        <v>0.40500000000000003</v>
      </c>
      <c r="F159" s="27">
        <f t="shared" si="29"/>
        <v>0.72</v>
      </c>
      <c r="G159">
        <f t="shared" si="30"/>
        <v>56.25</v>
      </c>
      <c r="H159">
        <f t="shared" si="31"/>
        <v>1</v>
      </c>
      <c r="I159">
        <f t="shared" si="32"/>
        <v>-0.68690581185501953</v>
      </c>
      <c r="J159">
        <f t="shared" si="33"/>
        <v>0.59963025208971832</v>
      </c>
      <c r="K159">
        <f t="shared" si="34"/>
        <v>0.99773748538271023</v>
      </c>
      <c r="L159">
        <f t="shared" si="35"/>
        <v>-2.265077970632631E-3</v>
      </c>
      <c r="M159">
        <f t="shared" si="36"/>
        <v>0.64</v>
      </c>
      <c r="N159">
        <f t="shared" si="37"/>
        <v>0.36</v>
      </c>
      <c r="P159">
        <f t="shared" si="38"/>
        <v>876</v>
      </c>
      <c r="Q159">
        <f t="shared" si="39"/>
        <v>403.5</v>
      </c>
    </row>
    <row r="160" spans="1:17" x14ac:dyDescent="0.35">
      <c r="A160">
        <v>2021</v>
      </c>
      <c r="B160" s="15">
        <v>209</v>
      </c>
      <c r="C160" s="15">
        <v>30</v>
      </c>
      <c r="D160" s="12">
        <f t="shared" si="27"/>
        <v>26.125</v>
      </c>
      <c r="E160" s="27">
        <f t="shared" si="28"/>
        <v>0.52249999999999996</v>
      </c>
      <c r="F160" s="27">
        <f t="shared" si="29"/>
        <v>0.6</v>
      </c>
      <c r="G160">
        <f t="shared" si="30"/>
        <v>56.125</v>
      </c>
      <c r="H160">
        <f t="shared" si="31"/>
        <v>1</v>
      </c>
      <c r="I160">
        <f t="shared" si="32"/>
        <v>0.98396885958095437</v>
      </c>
      <c r="J160">
        <f t="shared" si="33"/>
        <v>-9.3603778394315509E-2</v>
      </c>
      <c r="K160">
        <f t="shared" si="34"/>
        <v>0.99921233221695427</v>
      </c>
      <c r="L160">
        <f t="shared" si="35"/>
        <v>-7.8797815630533591E-4</v>
      </c>
      <c r="M160">
        <f t="shared" si="36"/>
        <v>0.534521158129176</v>
      </c>
      <c r="N160">
        <f t="shared" si="37"/>
        <v>0.46547884187082406</v>
      </c>
      <c r="P160">
        <f t="shared" si="38"/>
        <v>150.5</v>
      </c>
      <c r="Q160">
        <f t="shared" si="39"/>
        <v>639</v>
      </c>
    </row>
    <row r="161" spans="1:17" x14ac:dyDescent="0.35">
      <c r="A161">
        <v>2021</v>
      </c>
      <c r="B161" s="15">
        <v>213</v>
      </c>
      <c r="C161" s="15">
        <v>28</v>
      </c>
      <c r="D161" s="12">
        <f t="shared" si="27"/>
        <v>26.625</v>
      </c>
      <c r="E161" s="27">
        <f t="shared" si="28"/>
        <v>0.53249999999999997</v>
      </c>
      <c r="F161" s="27">
        <f t="shared" si="29"/>
        <v>0.56000000000000005</v>
      </c>
      <c r="G161">
        <f t="shared" si="30"/>
        <v>54.625</v>
      </c>
      <c r="H161">
        <f t="shared" si="31"/>
        <v>1</v>
      </c>
      <c r="I161">
        <f t="shared" si="32"/>
        <v>1.126170959277633</v>
      </c>
      <c r="J161">
        <f t="shared" si="33"/>
        <v>-0.3246817885556601</v>
      </c>
      <c r="K161">
        <f t="shared" si="34"/>
        <v>0.99660955977217325</v>
      </c>
      <c r="L161">
        <f t="shared" si="35"/>
        <v>-3.3962007945528829E-3</v>
      </c>
      <c r="M161">
        <f t="shared" si="36"/>
        <v>0.51258581235697942</v>
      </c>
      <c r="N161">
        <f t="shared" si="37"/>
        <v>0.48741418764302058</v>
      </c>
      <c r="P161">
        <f t="shared" si="38"/>
        <v>116</v>
      </c>
      <c r="Q161">
        <f t="shared" si="39"/>
        <v>709.5</v>
      </c>
    </row>
    <row r="162" spans="1:17" x14ac:dyDescent="0.35">
      <c r="A162">
        <v>2021</v>
      </c>
      <c r="B162" s="15">
        <v>124</v>
      </c>
      <c r="C162" s="15">
        <v>39</v>
      </c>
      <c r="D162" s="12">
        <f t="shared" si="27"/>
        <v>15.5</v>
      </c>
      <c r="E162" s="27">
        <f t="shared" si="28"/>
        <v>0.31</v>
      </c>
      <c r="F162" s="27">
        <f t="shared" si="29"/>
        <v>0.78</v>
      </c>
      <c r="G162">
        <f t="shared" si="30"/>
        <v>54.5</v>
      </c>
      <c r="H162">
        <f t="shared" si="31"/>
        <v>1</v>
      </c>
      <c r="I162">
        <f t="shared" si="32"/>
        <v>-2.0378257589734665</v>
      </c>
      <c r="J162">
        <f t="shared" si="33"/>
        <v>0.94624726733173525</v>
      </c>
      <c r="K162">
        <f t="shared" si="34"/>
        <v>0.96461991545952275</v>
      </c>
      <c r="L162">
        <f t="shared" si="35"/>
        <v>-3.6021125220441062E-2</v>
      </c>
      <c r="M162">
        <f t="shared" si="36"/>
        <v>0.7155963302752294</v>
      </c>
      <c r="N162">
        <f t="shared" si="37"/>
        <v>0.28440366972477066</v>
      </c>
      <c r="P162">
        <f t="shared" si="38"/>
        <v>1140</v>
      </c>
      <c r="Q162">
        <f t="shared" si="39"/>
        <v>233</v>
      </c>
    </row>
    <row r="163" spans="1:17" x14ac:dyDescent="0.35">
      <c r="A163">
        <v>2021</v>
      </c>
      <c r="B163" s="15">
        <v>144</v>
      </c>
      <c r="C163" s="15">
        <v>36</v>
      </c>
      <c r="D163" s="12">
        <f t="shared" si="27"/>
        <v>18</v>
      </c>
      <c r="E163" s="27">
        <f t="shared" si="28"/>
        <v>0.36</v>
      </c>
      <c r="F163" s="27">
        <f t="shared" si="29"/>
        <v>0.72</v>
      </c>
      <c r="G163">
        <f t="shared" si="30"/>
        <v>54</v>
      </c>
      <c r="H163">
        <f t="shared" si="31"/>
        <v>1</v>
      </c>
      <c r="I163">
        <f t="shared" si="32"/>
        <v>-1.3268152604900734</v>
      </c>
      <c r="J163">
        <f t="shared" si="33"/>
        <v>0.59963025208971832</v>
      </c>
      <c r="K163">
        <f t="shared" si="34"/>
        <v>0.9640690592550949</v>
      </c>
      <c r="L163">
        <f t="shared" si="35"/>
        <v>-3.6592348706060755E-2</v>
      </c>
      <c r="M163">
        <f t="shared" si="36"/>
        <v>0.66666666666666663</v>
      </c>
      <c r="N163">
        <f t="shared" si="37"/>
        <v>0.33333333333333331</v>
      </c>
      <c r="P163">
        <f t="shared" si="38"/>
        <v>1090</v>
      </c>
      <c r="Q163">
        <f t="shared" si="39"/>
        <v>403.5</v>
      </c>
    </row>
    <row r="164" spans="1:17" x14ac:dyDescent="0.35">
      <c r="A164">
        <v>2021</v>
      </c>
      <c r="B164" s="15">
        <v>180</v>
      </c>
      <c r="C164" s="15">
        <v>31</v>
      </c>
      <c r="D164" s="12">
        <f t="shared" si="27"/>
        <v>22.5</v>
      </c>
      <c r="E164" s="27">
        <f t="shared" si="28"/>
        <v>0.45</v>
      </c>
      <c r="F164" s="27">
        <f t="shared" si="29"/>
        <v>0.62</v>
      </c>
      <c r="G164">
        <f t="shared" si="30"/>
        <v>53.5</v>
      </c>
      <c r="H164">
        <f t="shared" si="31"/>
        <v>1</v>
      </c>
      <c r="I164">
        <f t="shared" si="32"/>
        <v>-4.6996363219965739E-2</v>
      </c>
      <c r="J164">
        <f t="shared" si="33"/>
        <v>2.1935226686356796E-2</v>
      </c>
      <c r="K164">
        <f t="shared" si="34"/>
        <v>0.97533981198093611</v>
      </c>
      <c r="L164">
        <f t="shared" si="35"/>
        <v>-2.4969343596405069E-2</v>
      </c>
      <c r="M164">
        <f t="shared" si="36"/>
        <v>0.57943925233644855</v>
      </c>
      <c r="N164">
        <f t="shared" si="37"/>
        <v>0.42056074766355139</v>
      </c>
      <c r="P164">
        <f t="shared" si="38"/>
        <v>528</v>
      </c>
      <c r="Q164">
        <f t="shared" si="39"/>
        <v>605</v>
      </c>
    </row>
    <row r="165" spans="1:17" x14ac:dyDescent="0.35">
      <c r="A165">
        <v>2021</v>
      </c>
      <c r="B165" s="15">
        <v>180</v>
      </c>
      <c r="C165" s="15">
        <v>31</v>
      </c>
      <c r="D165" s="12">
        <f t="shared" si="27"/>
        <v>22.5</v>
      </c>
      <c r="E165" s="27">
        <f t="shared" si="28"/>
        <v>0.45</v>
      </c>
      <c r="F165" s="27">
        <f t="shared" si="29"/>
        <v>0.62</v>
      </c>
      <c r="G165">
        <f t="shared" si="30"/>
        <v>53.5</v>
      </c>
      <c r="H165">
        <f t="shared" si="31"/>
        <v>1</v>
      </c>
      <c r="I165">
        <f t="shared" si="32"/>
        <v>-4.6996363219965739E-2</v>
      </c>
      <c r="J165">
        <f t="shared" si="33"/>
        <v>2.1935226686356796E-2</v>
      </c>
      <c r="K165">
        <f t="shared" si="34"/>
        <v>0.97533981198093611</v>
      </c>
      <c r="L165">
        <f t="shared" si="35"/>
        <v>-2.4969343596405069E-2</v>
      </c>
      <c r="M165">
        <f t="shared" si="36"/>
        <v>0.57943925233644855</v>
      </c>
      <c r="N165">
        <f t="shared" si="37"/>
        <v>0.42056074766355139</v>
      </c>
      <c r="P165">
        <f t="shared" si="38"/>
        <v>528</v>
      </c>
      <c r="Q165">
        <f t="shared" si="39"/>
        <v>605</v>
      </c>
    </row>
    <row r="166" spans="1:17" x14ac:dyDescent="0.35">
      <c r="A166">
        <v>2021</v>
      </c>
      <c r="B166" s="15">
        <v>146</v>
      </c>
      <c r="C166" s="15">
        <v>35</v>
      </c>
      <c r="D166" s="12">
        <f t="shared" si="27"/>
        <v>18.25</v>
      </c>
      <c r="E166" s="27">
        <f t="shared" si="28"/>
        <v>0.36499999999999999</v>
      </c>
      <c r="F166" s="27">
        <f t="shared" si="29"/>
        <v>0.7</v>
      </c>
      <c r="G166">
        <f t="shared" si="30"/>
        <v>53.25</v>
      </c>
      <c r="H166">
        <f t="shared" si="31"/>
        <v>1</v>
      </c>
      <c r="I166">
        <f t="shared" si="32"/>
        <v>-1.2557142106417341</v>
      </c>
      <c r="J166">
        <f t="shared" si="33"/>
        <v>0.48409124700904599</v>
      </c>
      <c r="K166">
        <f t="shared" si="34"/>
        <v>0.92813852668571006</v>
      </c>
      <c r="L166">
        <f t="shared" si="35"/>
        <v>-7.4574282890449678E-2</v>
      </c>
      <c r="M166">
        <f t="shared" si="36"/>
        <v>0.65727699530516437</v>
      </c>
      <c r="N166">
        <f t="shared" si="37"/>
        <v>0.34272300469483569</v>
      </c>
      <c r="P166">
        <f t="shared" si="38"/>
        <v>1079</v>
      </c>
      <c r="Q166">
        <f t="shared" si="39"/>
        <v>448.5</v>
      </c>
    </row>
    <row r="167" spans="1:17" x14ac:dyDescent="0.35">
      <c r="A167">
        <v>2021</v>
      </c>
      <c r="B167" s="15">
        <v>202</v>
      </c>
      <c r="C167" s="15">
        <v>28</v>
      </c>
      <c r="D167" s="12">
        <f t="shared" si="27"/>
        <v>25.25</v>
      </c>
      <c r="E167" s="27">
        <f t="shared" si="28"/>
        <v>0.505</v>
      </c>
      <c r="F167" s="27">
        <f t="shared" si="29"/>
        <v>0.56000000000000005</v>
      </c>
      <c r="G167">
        <f t="shared" si="30"/>
        <v>53.25</v>
      </c>
      <c r="H167">
        <f t="shared" si="31"/>
        <v>1</v>
      </c>
      <c r="I167">
        <f t="shared" si="32"/>
        <v>0.73511518511176677</v>
      </c>
      <c r="J167">
        <f t="shared" si="33"/>
        <v>-0.3246817885556601</v>
      </c>
      <c r="K167">
        <f t="shared" si="34"/>
        <v>0.98152383537352839</v>
      </c>
      <c r="L167">
        <f t="shared" si="35"/>
        <v>-1.8648980921131895E-2</v>
      </c>
      <c r="M167">
        <f t="shared" si="36"/>
        <v>0.5258215962441315</v>
      </c>
      <c r="N167">
        <f t="shared" si="37"/>
        <v>0.47417840375586856</v>
      </c>
      <c r="P167">
        <f t="shared" si="38"/>
        <v>211</v>
      </c>
      <c r="Q167">
        <f t="shared" si="39"/>
        <v>709.5</v>
      </c>
    </row>
    <row r="168" spans="1:17" x14ac:dyDescent="0.35">
      <c r="A168">
        <v>2021</v>
      </c>
      <c r="B168" s="15">
        <v>155</v>
      </c>
      <c r="C168" s="15">
        <v>33</v>
      </c>
      <c r="D168" s="12">
        <f t="shared" si="27"/>
        <v>19.375</v>
      </c>
      <c r="E168" s="27">
        <f t="shared" si="28"/>
        <v>0.38750000000000001</v>
      </c>
      <c r="F168" s="27">
        <f t="shared" si="29"/>
        <v>0.66</v>
      </c>
      <c r="G168">
        <f t="shared" si="30"/>
        <v>52.375</v>
      </c>
      <c r="H168">
        <f t="shared" si="31"/>
        <v>1</v>
      </c>
      <c r="I168">
        <f t="shared" si="32"/>
        <v>-0.93575948632420713</v>
      </c>
      <c r="J168">
        <f t="shared" si="33"/>
        <v>0.25301323684770138</v>
      </c>
      <c r="K168">
        <f t="shared" si="34"/>
        <v>0.86689950558424933</v>
      </c>
      <c r="L168">
        <f t="shared" si="35"/>
        <v>-0.14283221943386792</v>
      </c>
      <c r="M168">
        <f t="shared" si="36"/>
        <v>0.63007159904534604</v>
      </c>
      <c r="N168">
        <f t="shared" si="37"/>
        <v>0.36992840095465396</v>
      </c>
      <c r="P168">
        <f t="shared" si="38"/>
        <v>985</v>
      </c>
      <c r="Q168">
        <f t="shared" si="39"/>
        <v>523.5</v>
      </c>
    </row>
    <row r="169" spans="1:17" x14ac:dyDescent="0.35">
      <c r="A169">
        <v>2021</v>
      </c>
      <c r="B169" s="15">
        <v>167</v>
      </c>
      <c r="C169" s="15">
        <v>31</v>
      </c>
      <c r="D169" s="12">
        <f t="shared" si="27"/>
        <v>20.875</v>
      </c>
      <c r="E169" s="27">
        <f t="shared" si="28"/>
        <v>0.41749999999999998</v>
      </c>
      <c r="F169" s="27">
        <f t="shared" si="29"/>
        <v>0.62</v>
      </c>
      <c r="G169">
        <f t="shared" si="30"/>
        <v>51.875</v>
      </c>
      <c r="H169">
        <f t="shared" si="31"/>
        <v>1</v>
      </c>
      <c r="I169">
        <f t="shared" si="32"/>
        <v>-0.50915318723417125</v>
      </c>
      <c r="J169">
        <f t="shared" si="33"/>
        <v>2.1935226686356796E-2</v>
      </c>
      <c r="K169">
        <f t="shared" si="34"/>
        <v>0.8396695458951936</v>
      </c>
      <c r="L169">
        <f t="shared" si="35"/>
        <v>-0.17474686228978761</v>
      </c>
      <c r="M169">
        <f t="shared" si="36"/>
        <v>0.59759036144578315</v>
      </c>
      <c r="N169">
        <f t="shared" si="37"/>
        <v>0.40240963855421685</v>
      </c>
      <c r="P169">
        <f t="shared" si="38"/>
        <v>789.5</v>
      </c>
      <c r="Q169">
        <f t="shared" si="39"/>
        <v>605</v>
      </c>
    </row>
    <row r="170" spans="1:17" x14ac:dyDescent="0.35">
      <c r="A170">
        <v>2021</v>
      </c>
      <c r="B170" s="15">
        <v>170</v>
      </c>
      <c r="C170" s="15">
        <v>30</v>
      </c>
      <c r="D170" s="12">
        <f t="shared" si="27"/>
        <v>21.25</v>
      </c>
      <c r="E170" s="27">
        <f t="shared" si="28"/>
        <v>0.42499999999999999</v>
      </c>
      <c r="F170" s="27">
        <f t="shared" si="29"/>
        <v>0.6</v>
      </c>
      <c r="G170">
        <f t="shared" si="30"/>
        <v>51.25</v>
      </c>
      <c r="H170">
        <f t="shared" si="31"/>
        <v>1</v>
      </c>
      <c r="I170">
        <f t="shared" si="32"/>
        <v>-0.40250161246166233</v>
      </c>
      <c r="J170">
        <f t="shared" si="33"/>
        <v>-9.3603778394315509E-2</v>
      </c>
      <c r="K170">
        <f t="shared" si="34"/>
        <v>0.7465267042822904</v>
      </c>
      <c r="L170">
        <f t="shared" si="35"/>
        <v>-0.29232388999396991</v>
      </c>
      <c r="M170">
        <f t="shared" si="36"/>
        <v>0.58536585365853655</v>
      </c>
      <c r="N170">
        <f t="shared" si="37"/>
        <v>0.41463414634146339</v>
      </c>
      <c r="P170">
        <f t="shared" si="38"/>
        <v>720</v>
      </c>
      <c r="Q170">
        <f t="shared" si="39"/>
        <v>639</v>
      </c>
    </row>
    <row r="171" spans="1:17" x14ac:dyDescent="0.35">
      <c r="A171">
        <v>2021</v>
      </c>
      <c r="B171" s="15">
        <v>167</v>
      </c>
      <c r="C171" s="15">
        <v>30</v>
      </c>
      <c r="D171" s="12">
        <f t="shared" si="27"/>
        <v>20.875</v>
      </c>
      <c r="E171" s="27">
        <f t="shared" si="28"/>
        <v>0.41749999999999998</v>
      </c>
      <c r="F171" s="27">
        <f t="shared" si="29"/>
        <v>0.6</v>
      </c>
      <c r="G171">
        <f t="shared" si="30"/>
        <v>50.875</v>
      </c>
      <c r="H171">
        <f t="shared" si="31"/>
        <v>1</v>
      </c>
      <c r="I171">
        <f t="shared" si="32"/>
        <v>-0.50915318723417125</v>
      </c>
      <c r="J171">
        <f t="shared" si="33"/>
        <v>-9.3603778394315509E-2</v>
      </c>
      <c r="K171">
        <f t="shared" si="34"/>
        <v>0.64876112785569451</v>
      </c>
      <c r="L171">
        <f t="shared" si="35"/>
        <v>-0.43269069188506931</v>
      </c>
      <c r="M171">
        <f t="shared" si="36"/>
        <v>0.58968058968058967</v>
      </c>
      <c r="N171">
        <f t="shared" si="37"/>
        <v>0.41031941031941033</v>
      </c>
      <c r="P171">
        <f t="shared" si="38"/>
        <v>789.5</v>
      </c>
      <c r="Q171">
        <f t="shared" si="39"/>
        <v>639</v>
      </c>
    </row>
    <row r="172" spans="1:17" x14ac:dyDescent="0.35">
      <c r="A172">
        <v>2021</v>
      </c>
      <c r="B172" s="15">
        <v>170</v>
      </c>
      <c r="C172" s="15">
        <v>29</v>
      </c>
      <c r="D172" s="12">
        <f t="shared" si="27"/>
        <v>21.25</v>
      </c>
      <c r="E172" s="27">
        <f t="shared" si="28"/>
        <v>0.42499999999999999</v>
      </c>
      <c r="F172" s="27">
        <f t="shared" si="29"/>
        <v>0.57999999999999996</v>
      </c>
      <c r="G172">
        <f t="shared" si="30"/>
        <v>50.25</v>
      </c>
      <c r="H172">
        <f t="shared" si="31"/>
        <v>1</v>
      </c>
      <c r="I172">
        <f t="shared" si="32"/>
        <v>-0.40250161246166233</v>
      </c>
      <c r="J172">
        <f t="shared" si="33"/>
        <v>-0.2091427834749878</v>
      </c>
      <c r="K172">
        <f t="shared" si="34"/>
        <v>0.50949874912207171</v>
      </c>
      <c r="L172">
        <f t="shared" si="35"/>
        <v>-0.67432788143116085</v>
      </c>
      <c r="M172">
        <f t="shared" si="36"/>
        <v>0.57711442786069655</v>
      </c>
      <c r="N172">
        <f t="shared" si="37"/>
        <v>0.4228855721393035</v>
      </c>
      <c r="P172">
        <f t="shared" si="38"/>
        <v>720</v>
      </c>
      <c r="Q172">
        <f t="shared" si="39"/>
        <v>671</v>
      </c>
    </row>
    <row r="173" spans="1:17" x14ac:dyDescent="0.35">
      <c r="A173">
        <v>2021</v>
      </c>
      <c r="B173" s="15">
        <v>186</v>
      </c>
      <c r="C173" s="15">
        <v>27</v>
      </c>
      <c r="D173" s="12">
        <f t="shared" si="27"/>
        <v>23.25</v>
      </c>
      <c r="E173" s="27">
        <f t="shared" si="28"/>
        <v>0.46500000000000002</v>
      </c>
      <c r="F173" s="27">
        <f t="shared" si="29"/>
        <v>0.54</v>
      </c>
      <c r="G173">
        <f t="shared" si="30"/>
        <v>50.25</v>
      </c>
      <c r="H173">
        <f t="shared" si="31"/>
        <v>1</v>
      </c>
      <c r="I173">
        <f t="shared" si="32"/>
        <v>0.16630678632505219</v>
      </c>
      <c r="J173">
        <f t="shared" si="33"/>
        <v>-0.44022079363633243</v>
      </c>
      <c r="K173">
        <f t="shared" si="34"/>
        <v>0.60874791145382723</v>
      </c>
      <c r="L173">
        <f t="shared" si="35"/>
        <v>-0.49635103546789283</v>
      </c>
      <c r="M173">
        <f t="shared" si="36"/>
        <v>0.53731343283582089</v>
      </c>
      <c r="N173">
        <f t="shared" si="37"/>
        <v>0.46268656716417911</v>
      </c>
      <c r="P173">
        <f t="shared" si="38"/>
        <v>411.5</v>
      </c>
      <c r="Q173">
        <f t="shared" si="39"/>
        <v>752.5</v>
      </c>
    </row>
    <row r="174" spans="1:17" x14ac:dyDescent="0.35">
      <c r="A174">
        <v>2021</v>
      </c>
      <c r="B174" s="15">
        <v>145</v>
      </c>
      <c r="C174" s="15">
        <v>32</v>
      </c>
      <c r="D174" s="12">
        <f t="shared" si="27"/>
        <v>18.125</v>
      </c>
      <c r="E174" s="27">
        <f t="shared" si="28"/>
        <v>0.36249999999999999</v>
      </c>
      <c r="F174" s="27">
        <f t="shared" si="29"/>
        <v>0.64</v>
      </c>
      <c r="G174">
        <f t="shared" si="30"/>
        <v>50.125</v>
      </c>
      <c r="H174">
        <f t="shared" si="31"/>
        <v>1</v>
      </c>
      <c r="I174">
        <f t="shared" si="32"/>
        <v>-1.2912647355659037</v>
      </c>
      <c r="J174">
        <f t="shared" si="33"/>
        <v>0.13747423176702911</v>
      </c>
      <c r="K174">
        <f t="shared" si="34"/>
        <v>0.32659979026032376</v>
      </c>
      <c r="L174">
        <f t="shared" si="35"/>
        <v>-1.1190197406372713</v>
      </c>
      <c r="M174">
        <f t="shared" si="36"/>
        <v>0.63840399002493764</v>
      </c>
      <c r="N174">
        <f t="shared" si="37"/>
        <v>0.36159600997506236</v>
      </c>
      <c r="P174">
        <f t="shared" si="38"/>
        <v>1086</v>
      </c>
      <c r="Q174">
        <f t="shared" si="39"/>
        <v>564</v>
      </c>
    </row>
    <row r="175" spans="1:17" x14ac:dyDescent="0.35">
      <c r="A175">
        <v>2021</v>
      </c>
      <c r="B175" s="15">
        <v>184</v>
      </c>
      <c r="C175" s="15">
        <v>27</v>
      </c>
      <c r="D175" s="12">
        <f t="shared" si="27"/>
        <v>23</v>
      </c>
      <c r="E175" s="27">
        <f t="shared" si="28"/>
        <v>0.46</v>
      </c>
      <c r="F175" s="27">
        <f t="shared" si="29"/>
        <v>0.54</v>
      </c>
      <c r="G175">
        <f t="shared" si="30"/>
        <v>50</v>
      </c>
      <c r="H175">
        <f t="shared" si="31"/>
        <v>1</v>
      </c>
      <c r="I175">
        <f t="shared" si="32"/>
        <v>9.5205736476712891E-2</v>
      </c>
      <c r="J175">
        <f t="shared" si="33"/>
        <v>-0.44022079363633243</v>
      </c>
      <c r="K175">
        <f t="shared" si="34"/>
        <v>0.53270380578640886</v>
      </c>
      <c r="L175">
        <f t="shared" si="35"/>
        <v>-0.62978972075129169</v>
      </c>
      <c r="M175">
        <f t="shared" si="36"/>
        <v>0.54</v>
      </c>
      <c r="N175">
        <f t="shared" si="37"/>
        <v>0.46</v>
      </c>
      <c r="P175">
        <f t="shared" si="38"/>
        <v>445</v>
      </c>
      <c r="Q175">
        <f t="shared" si="39"/>
        <v>752.5</v>
      </c>
    </row>
    <row r="176" spans="1:17" x14ac:dyDescent="0.35">
      <c r="A176">
        <v>2021</v>
      </c>
      <c r="B176" s="15">
        <v>149</v>
      </c>
      <c r="C176" s="15">
        <v>31</v>
      </c>
      <c r="D176" s="12">
        <f t="shared" si="27"/>
        <v>18.625</v>
      </c>
      <c r="E176" s="27">
        <f t="shared" si="28"/>
        <v>0.3725</v>
      </c>
      <c r="F176" s="27">
        <f t="shared" si="29"/>
        <v>0.62</v>
      </c>
      <c r="G176">
        <f t="shared" si="30"/>
        <v>49.625</v>
      </c>
      <c r="H176">
        <f t="shared" si="31"/>
        <v>0</v>
      </c>
      <c r="I176">
        <f t="shared" si="32"/>
        <v>-1.1490626358692251</v>
      </c>
      <c r="J176">
        <f t="shared" si="33"/>
        <v>2.1935226686356796E-2</v>
      </c>
      <c r="K176">
        <f t="shared" si="34"/>
        <v>0.24164575187643378</v>
      </c>
      <c r="L176">
        <f t="shared" si="35"/>
        <v>-0.27660465670235135</v>
      </c>
      <c r="M176">
        <f t="shared" si="36"/>
        <v>0.62468513853904284</v>
      </c>
      <c r="N176">
        <f t="shared" si="37"/>
        <v>0.37531486146095716</v>
      </c>
      <c r="P176">
        <f t="shared" si="38"/>
        <v>1051.5</v>
      </c>
      <c r="Q176">
        <f t="shared" si="39"/>
        <v>605</v>
      </c>
    </row>
    <row r="177" spans="1:17" x14ac:dyDescent="0.35">
      <c r="A177">
        <v>2021</v>
      </c>
      <c r="B177" s="15">
        <v>137</v>
      </c>
      <c r="C177" s="15">
        <v>32</v>
      </c>
      <c r="D177" s="12">
        <f t="shared" si="27"/>
        <v>17.125</v>
      </c>
      <c r="E177" s="27">
        <f t="shared" si="28"/>
        <v>0.34250000000000003</v>
      </c>
      <c r="F177" s="27">
        <f t="shared" si="29"/>
        <v>0.64</v>
      </c>
      <c r="G177">
        <f t="shared" si="30"/>
        <v>49.125</v>
      </c>
      <c r="H177">
        <f t="shared" si="31"/>
        <v>0</v>
      </c>
      <c r="I177">
        <f t="shared" si="32"/>
        <v>-1.575668934959261</v>
      </c>
      <c r="J177">
        <f t="shared" si="33"/>
        <v>0.13747423176702911</v>
      </c>
      <c r="K177">
        <f t="shared" si="34"/>
        <v>0.12262496279786242</v>
      </c>
      <c r="L177">
        <f t="shared" si="35"/>
        <v>-0.13082074152991385</v>
      </c>
      <c r="M177">
        <f t="shared" si="36"/>
        <v>0.65139949109414763</v>
      </c>
      <c r="N177">
        <f t="shared" si="37"/>
        <v>0.34860050890585242</v>
      </c>
      <c r="P177">
        <f t="shared" si="38"/>
        <v>1116.5</v>
      </c>
      <c r="Q177">
        <f t="shared" si="39"/>
        <v>564</v>
      </c>
    </row>
    <row r="178" spans="1:17" x14ac:dyDescent="0.35">
      <c r="A178">
        <v>2021</v>
      </c>
      <c r="B178" s="15">
        <v>168</v>
      </c>
      <c r="C178" s="15">
        <v>28</v>
      </c>
      <c r="D178" s="12">
        <f t="shared" si="27"/>
        <v>21</v>
      </c>
      <c r="E178" s="27">
        <f t="shared" si="28"/>
        <v>0.42</v>
      </c>
      <c r="F178" s="27">
        <f t="shared" si="29"/>
        <v>0.56000000000000005</v>
      </c>
      <c r="G178">
        <f t="shared" si="30"/>
        <v>49</v>
      </c>
      <c r="H178">
        <f t="shared" si="31"/>
        <v>0</v>
      </c>
      <c r="I178">
        <f t="shared" si="32"/>
        <v>-0.47360266231000164</v>
      </c>
      <c r="J178">
        <f t="shared" si="33"/>
        <v>-0.3246817885556601</v>
      </c>
      <c r="K178">
        <f t="shared" si="34"/>
        <v>0.2116140449334552</v>
      </c>
      <c r="L178">
        <f t="shared" si="35"/>
        <v>-0.23776751833898313</v>
      </c>
      <c r="M178">
        <f t="shared" si="36"/>
        <v>0.5714285714285714</v>
      </c>
      <c r="N178">
        <f t="shared" si="37"/>
        <v>0.42857142857142855</v>
      </c>
      <c r="P178">
        <f t="shared" si="38"/>
        <v>767</v>
      </c>
      <c r="Q178">
        <f t="shared" si="39"/>
        <v>709.5</v>
      </c>
    </row>
    <row r="179" spans="1:17" x14ac:dyDescent="0.35">
      <c r="A179">
        <v>2021</v>
      </c>
      <c r="B179" s="15">
        <v>184</v>
      </c>
      <c r="C179" s="15">
        <v>26</v>
      </c>
      <c r="D179" s="12">
        <f t="shared" si="27"/>
        <v>23</v>
      </c>
      <c r="E179" s="27">
        <f t="shared" si="28"/>
        <v>0.46</v>
      </c>
      <c r="F179" s="27">
        <f t="shared" si="29"/>
        <v>0.52</v>
      </c>
      <c r="G179">
        <f t="shared" si="30"/>
        <v>49</v>
      </c>
      <c r="H179">
        <f t="shared" si="31"/>
        <v>0</v>
      </c>
      <c r="I179">
        <f t="shared" si="32"/>
        <v>9.5205736476712891E-2</v>
      </c>
      <c r="J179">
        <f t="shared" si="33"/>
        <v>-0.55575979871700476</v>
      </c>
      <c r="K179">
        <f t="shared" si="34"/>
        <v>0.2867602552394608</v>
      </c>
      <c r="L179">
        <f t="shared" si="35"/>
        <v>-0.33793766717550611</v>
      </c>
      <c r="M179">
        <f t="shared" si="36"/>
        <v>0.53061224489795922</v>
      </c>
      <c r="N179">
        <f t="shared" si="37"/>
        <v>0.46938775510204084</v>
      </c>
      <c r="P179">
        <f t="shared" si="38"/>
        <v>445</v>
      </c>
      <c r="Q179">
        <f t="shared" si="39"/>
        <v>796</v>
      </c>
    </row>
    <row r="180" spans="1:17" x14ac:dyDescent="0.35">
      <c r="A180">
        <v>2021</v>
      </c>
      <c r="B180" s="15">
        <v>135</v>
      </c>
      <c r="C180" s="15">
        <v>32</v>
      </c>
      <c r="D180" s="12">
        <f t="shared" si="27"/>
        <v>16.875</v>
      </c>
      <c r="E180" s="27">
        <f t="shared" si="28"/>
        <v>0.33750000000000002</v>
      </c>
      <c r="F180" s="27">
        <f t="shared" si="29"/>
        <v>0.64</v>
      </c>
      <c r="G180">
        <f t="shared" si="30"/>
        <v>48.875</v>
      </c>
      <c r="H180">
        <f t="shared" si="31"/>
        <v>0</v>
      </c>
      <c r="I180">
        <f t="shared" si="32"/>
        <v>-1.6467699848076003</v>
      </c>
      <c r="J180">
        <f t="shared" si="33"/>
        <v>0.13747423176702911</v>
      </c>
      <c r="K180">
        <f t="shared" si="34"/>
        <v>9.2889485212698047E-2</v>
      </c>
      <c r="L180">
        <f t="shared" si="35"/>
        <v>-9.7490989776671769E-2</v>
      </c>
      <c r="M180">
        <f t="shared" si="36"/>
        <v>0.65473145780051156</v>
      </c>
      <c r="N180">
        <f t="shared" si="37"/>
        <v>0.34526854219948849</v>
      </c>
      <c r="P180">
        <f t="shared" si="38"/>
        <v>1122</v>
      </c>
      <c r="Q180">
        <f t="shared" si="39"/>
        <v>564</v>
      </c>
    </row>
    <row r="181" spans="1:17" x14ac:dyDescent="0.35">
      <c r="A181">
        <v>2021</v>
      </c>
      <c r="B181" s="15">
        <v>180</v>
      </c>
      <c r="C181" s="15">
        <v>26</v>
      </c>
      <c r="D181" s="12">
        <f t="shared" si="27"/>
        <v>22.5</v>
      </c>
      <c r="E181" s="27">
        <f t="shared" si="28"/>
        <v>0.45</v>
      </c>
      <c r="F181" s="27">
        <f t="shared" si="29"/>
        <v>0.52</v>
      </c>
      <c r="G181">
        <f t="shared" si="30"/>
        <v>48.5</v>
      </c>
      <c r="H181">
        <f t="shared" si="31"/>
        <v>0</v>
      </c>
      <c r="I181">
        <f t="shared" si="32"/>
        <v>-4.6996363219965739E-2</v>
      </c>
      <c r="J181">
        <f t="shared" si="33"/>
        <v>-0.55575979871700476</v>
      </c>
      <c r="K181">
        <f t="shared" si="34"/>
        <v>0.17751561594707332</v>
      </c>
      <c r="L181">
        <f t="shared" si="35"/>
        <v>-0.19542578247673414</v>
      </c>
      <c r="M181">
        <f t="shared" si="36"/>
        <v>0.53608247422680411</v>
      </c>
      <c r="N181">
        <f t="shared" si="37"/>
        <v>0.46391752577319589</v>
      </c>
      <c r="P181">
        <f t="shared" si="38"/>
        <v>528</v>
      </c>
      <c r="Q181">
        <f t="shared" si="39"/>
        <v>796</v>
      </c>
    </row>
    <row r="182" spans="1:17" x14ac:dyDescent="0.35">
      <c r="A182">
        <v>2021</v>
      </c>
      <c r="B182" s="15">
        <v>130</v>
      </c>
      <c r="C182" s="15">
        <v>32</v>
      </c>
      <c r="D182" s="12">
        <f t="shared" si="27"/>
        <v>16.25</v>
      </c>
      <c r="E182" s="27">
        <f t="shared" si="28"/>
        <v>0.32500000000000001</v>
      </c>
      <c r="F182" s="27">
        <f t="shared" si="29"/>
        <v>0.64</v>
      </c>
      <c r="G182">
        <f t="shared" si="30"/>
        <v>48.25</v>
      </c>
      <c r="H182">
        <f t="shared" si="31"/>
        <v>0</v>
      </c>
      <c r="I182">
        <f t="shared" si="32"/>
        <v>-1.8245226094284486</v>
      </c>
      <c r="J182">
        <f t="shared" si="33"/>
        <v>0.13747423176702911</v>
      </c>
      <c r="K182">
        <f t="shared" si="34"/>
        <v>4.4938596022306369E-2</v>
      </c>
      <c r="L182">
        <f t="shared" si="35"/>
        <v>-4.5979643209551835E-2</v>
      </c>
      <c r="M182">
        <f t="shared" si="36"/>
        <v>0.66321243523316065</v>
      </c>
      <c r="N182">
        <f t="shared" si="37"/>
        <v>0.33678756476683935</v>
      </c>
      <c r="P182">
        <f t="shared" si="38"/>
        <v>1128.5</v>
      </c>
      <c r="Q182">
        <f t="shared" si="39"/>
        <v>564</v>
      </c>
    </row>
    <row r="183" spans="1:17" x14ac:dyDescent="0.35">
      <c r="A183">
        <v>2021</v>
      </c>
      <c r="B183" s="15">
        <v>168</v>
      </c>
      <c r="C183" s="15">
        <v>27</v>
      </c>
      <c r="D183" s="12">
        <f t="shared" si="27"/>
        <v>21</v>
      </c>
      <c r="E183" s="27">
        <f t="shared" si="28"/>
        <v>0.42</v>
      </c>
      <c r="F183" s="27">
        <f t="shared" si="29"/>
        <v>0.54</v>
      </c>
      <c r="G183">
        <f t="shared" si="30"/>
        <v>48</v>
      </c>
      <c r="H183">
        <f t="shared" si="31"/>
        <v>0</v>
      </c>
      <c r="I183">
        <f t="shared" si="32"/>
        <v>-0.47360266231000164</v>
      </c>
      <c r="J183">
        <f t="shared" si="33"/>
        <v>-0.44022079363633243</v>
      </c>
      <c r="K183">
        <f t="shared" si="34"/>
        <v>8.6479609941742142E-2</v>
      </c>
      <c r="L183">
        <f t="shared" si="35"/>
        <v>-9.044958260501719E-2</v>
      </c>
      <c r="M183">
        <f t="shared" si="36"/>
        <v>0.5625</v>
      </c>
      <c r="N183">
        <f t="shared" si="37"/>
        <v>0.4375</v>
      </c>
      <c r="P183">
        <f t="shared" si="38"/>
        <v>767</v>
      </c>
      <c r="Q183">
        <f t="shared" si="39"/>
        <v>752.5</v>
      </c>
    </row>
    <row r="184" spans="1:17" x14ac:dyDescent="0.35">
      <c r="A184">
        <v>2021</v>
      </c>
      <c r="B184" s="15">
        <v>150</v>
      </c>
      <c r="C184" s="15">
        <v>29</v>
      </c>
      <c r="D184" s="12">
        <f t="shared" si="27"/>
        <v>18.75</v>
      </c>
      <c r="E184" s="27">
        <f t="shared" si="28"/>
        <v>0.375</v>
      </c>
      <c r="F184" s="27">
        <f t="shared" si="29"/>
        <v>0.57999999999999996</v>
      </c>
      <c r="G184">
        <f t="shared" si="30"/>
        <v>47.75</v>
      </c>
      <c r="H184">
        <f t="shared" si="31"/>
        <v>0</v>
      </c>
      <c r="I184">
        <f t="shared" si="32"/>
        <v>-1.1135121109450554</v>
      </c>
      <c r="J184">
        <f t="shared" si="33"/>
        <v>-0.2091427834749878</v>
      </c>
      <c r="K184">
        <f t="shared" si="34"/>
        <v>4.4255983075346457E-2</v>
      </c>
      <c r="L184">
        <f t="shared" si="35"/>
        <v>-4.5265166509275735E-2</v>
      </c>
      <c r="M184">
        <f t="shared" si="36"/>
        <v>0.60732984293193715</v>
      </c>
      <c r="N184">
        <f t="shared" si="37"/>
        <v>0.39267015706806285</v>
      </c>
      <c r="P184">
        <f t="shared" si="38"/>
        <v>1041</v>
      </c>
      <c r="Q184">
        <f t="shared" si="39"/>
        <v>671</v>
      </c>
    </row>
    <row r="185" spans="1:17" x14ac:dyDescent="0.35">
      <c r="A185">
        <v>2021</v>
      </c>
      <c r="B185" s="15">
        <v>161</v>
      </c>
      <c r="C185" s="15">
        <v>27</v>
      </c>
      <c r="D185" s="12">
        <f t="shared" si="27"/>
        <v>20.125</v>
      </c>
      <c r="E185" s="27">
        <f t="shared" si="28"/>
        <v>0.40250000000000002</v>
      </c>
      <c r="F185" s="27">
        <f t="shared" si="29"/>
        <v>0.54</v>
      </c>
      <c r="G185">
        <f t="shared" si="30"/>
        <v>47.125</v>
      </c>
      <c r="H185">
        <f t="shared" si="31"/>
        <v>0</v>
      </c>
      <c r="I185">
        <f t="shared" si="32"/>
        <v>-0.72245633677918919</v>
      </c>
      <c r="J185">
        <f t="shared" si="33"/>
        <v>-0.44022079363633243</v>
      </c>
      <c r="K185">
        <f t="shared" si="34"/>
        <v>3.0886225211707131E-2</v>
      </c>
      <c r="L185">
        <f t="shared" si="35"/>
        <v>-3.1373259341729312E-2</v>
      </c>
      <c r="M185">
        <f t="shared" si="36"/>
        <v>0.57294429708222816</v>
      </c>
      <c r="N185">
        <f t="shared" si="37"/>
        <v>0.4270557029177719</v>
      </c>
      <c r="P185">
        <f t="shared" si="38"/>
        <v>892.5</v>
      </c>
      <c r="Q185">
        <f t="shared" si="39"/>
        <v>752.5</v>
      </c>
    </row>
    <row r="186" spans="1:17" x14ac:dyDescent="0.35">
      <c r="A186">
        <v>2021</v>
      </c>
      <c r="B186" s="15">
        <v>169</v>
      </c>
      <c r="C186" s="15">
        <v>26</v>
      </c>
      <c r="D186" s="12">
        <f t="shared" si="27"/>
        <v>21.125</v>
      </c>
      <c r="E186" s="27">
        <f t="shared" si="28"/>
        <v>0.42249999999999999</v>
      </c>
      <c r="F186" s="27">
        <f t="shared" si="29"/>
        <v>0.52</v>
      </c>
      <c r="G186">
        <f t="shared" si="30"/>
        <v>47.125</v>
      </c>
      <c r="H186">
        <f t="shared" si="31"/>
        <v>0</v>
      </c>
      <c r="I186">
        <f t="shared" si="32"/>
        <v>-0.43805213738583199</v>
      </c>
      <c r="J186">
        <f t="shared" si="33"/>
        <v>-0.55575979871700476</v>
      </c>
      <c r="K186">
        <f t="shared" si="34"/>
        <v>3.7541447140586742E-2</v>
      </c>
      <c r="L186">
        <f t="shared" si="35"/>
        <v>-3.8264275711636701E-2</v>
      </c>
      <c r="M186">
        <f t="shared" si="36"/>
        <v>0.55172413793103448</v>
      </c>
      <c r="N186">
        <f t="shared" si="37"/>
        <v>0.44827586206896552</v>
      </c>
      <c r="P186">
        <f t="shared" si="38"/>
        <v>744.5</v>
      </c>
      <c r="Q186">
        <f t="shared" si="39"/>
        <v>796</v>
      </c>
    </row>
    <row r="187" spans="1:17" x14ac:dyDescent="0.35">
      <c r="A187">
        <v>2021</v>
      </c>
      <c r="B187" s="15">
        <v>176</v>
      </c>
      <c r="C187" s="15">
        <v>25</v>
      </c>
      <c r="D187" s="12">
        <f t="shared" si="27"/>
        <v>22</v>
      </c>
      <c r="E187" s="27">
        <f t="shared" si="28"/>
        <v>0.44</v>
      </c>
      <c r="F187" s="27">
        <f t="shared" si="29"/>
        <v>0.5</v>
      </c>
      <c r="G187">
        <f t="shared" si="30"/>
        <v>47</v>
      </c>
      <c r="H187">
        <f t="shared" si="31"/>
        <v>0</v>
      </c>
      <c r="I187">
        <f t="shared" si="32"/>
        <v>-0.18919846291664436</v>
      </c>
      <c r="J187">
        <f t="shared" si="33"/>
        <v>-0.67129880379767704</v>
      </c>
      <c r="K187">
        <f t="shared" si="34"/>
        <v>3.9258248030981935E-2</v>
      </c>
      <c r="L187">
        <f t="shared" si="35"/>
        <v>-4.0049634565949628E-2</v>
      </c>
      <c r="M187">
        <f t="shared" si="36"/>
        <v>0.53191489361702127</v>
      </c>
      <c r="N187">
        <f t="shared" si="37"/>
        <v>0.46808510638297873</v>
      </c>
      <c r="P187">
        <f t="shared" si="38"/>
        <v>607.5</v>
      </c>
      <c r="Q187">
        <f t="shared" si="39"/>
        <v>835</v>
      </c>
    </row>
    <row r="188" spans="1:17" x14ac:dyDescent="0.35">
      <c r="A188">
        <v>2021</v>
      </c>
      <c r="B188" s="15">
        <v>145</v>
      </c>
      <c r="C188" s="15">
        <v>28</v>
      </c>
      <c r="D188" s="12">
        <f t="shared" si="27"/>
        <v>18.125</v>
      </c>
      <c r="E188" s="27">
        <f t="shared" si="28"/>
        <v>0.36249999999999999</v>
      </c>
      <c r="F188" s="27">
        <f t="shared" si="29"/>
        <v>0.56000000000000005</v>
      </c>
      <c r="G188">
        <f t="shared" si="30"/>
        <v>46.125</v>
      </c>
      <c r="H188">
        <f t="shared" si="31"/>
        <v>0</v>
      </c>
      <c r="I188">
        <f t="shared" si="32"/>
        <v>-1.2912647355659037</v>
      </c>
      <c r="J188">
        <f t="shared" si="33"/>
        <v>-0.3246817885556601</v>
      </c>
      <c r="K188">
        <f t="shared" si="34"/>
        <v>7.4482676312794148E-3</v>
      </c>
      <c r="L188">
        <f t="shared" si="35"/>
        <v>-7.4761444857419411E-3</v>
      </c>
      <c r="M188">
        <f t="shared" si="36"/>
        <v>0.60704607046070458</v>
      </c>
      <c r="N188">
        <f t="shared" si="37"/>
        <v>0.39295392953929537</v>
      </c>
      <c r="P188">
        <f t="shared" si="38"/>
        <v>1086</v>
      </c>
      <c r="Q188">
        <f t="shared" si="39"/>
        <v>709.5</v>
      </c>
    </row>
    <row r="189" spans="1:17" x14ac:dyDescent="0.35">
      <c r="A189">
        <v>2021</v>
      </c>
      <c r="B189" s="15">
        <v>141</v>
      </c>
      <c r="C189" s="15">
        <v>28</v>
      </c>
      <c r="D189" s="12">
        <f t="shared" si="27"/>
        <v>17.625</v>
      </c>
      <c r="E189" s="27">
        <f t="shared" si="28"/>
        <v>0.35249999999999998</v>
      </c>
      <c r="F189" s="27">
        <f t="shared" si="29"/>
        <v>0.56000000000000005</v>
      </c>
      <c r="G189">
        <f t="shared" si="30"/>
        <v>45.625</v>
      </c>
      <c r="H189">
        <f t="shared" si="31"/>
        <v>0</v>
      </c>
      <c r="I189">
        <f t="shared" si="32"/>
        <v>-1.4334668352625823</v>
      </c>
      <c r="J189">
        <f t="shared" si="33"/>
        <v>-0.3246817885556601</v>
      </c>
      <c r="K189">
        <f t="shared" si="34"/>
        <v>4.0121912317522832E-3</v>
      </c>
      <c r="L189">
        <f t="shared" si="35"/>
        <v>-4.020261664973014E-3</v>
      </c>
      <c r="M189">
        <f t="shared" si="36"/>
        <v>0.61369863013698633</v>
      </c>
      <c r="N189">
        <f t="shared" si="37"/>
        <v>0.38630136986301372</v>
      </c>
      <c r="P189">
        <f t="shared" si="38"/>
        <v>1101.5</v>
      </c>
      <c r="Q189">
        <f t="shared" si="39"/>
        <v>709.5</v>
      </c>
    </row>
    <row r="190" spans="1:17" x14ac:dyDescent="0.35">
      <c r="A190">
        <v>2021</v>
      </c>
      <c r="B190" s="15">
        <v>158</v>
      </c>
      <c r="C190" s="15">
        <v>25</v>
      </c>
      <c r="D190" s="12">
        <f t="shared" si="27"/>
        <v>19.75</v>
      </c>
      <c r="E190" s="27">
        <f t="shared" si="28"/>
        <v>0.39500000000000002</v>
      </c>
      <c r="F190" s="27">
        <f t="shared" si="29"/>
        <v>0.5</v>
      </c>
      <c r="G190">
        <f t="shared" si="30"/>
        <v>44.75</v>
      </c>
      <c r="H190">
        <f t="shared" si="31"/>
        <v>0</v>
      </c>
      <c r="I190">
        <f t="shared" si="32"/>
        <v>-0.82910791155169816</v>
      </c>
      <c r="J190">
        <f t="shared" si="33"/>
        <v>-0.67129880379767704</v>
      </c>
      <c r="K190">
        <f t="shared" si="34"/>
        <v>2.4800503685425807E-3</v>
      </c>
      <c r="L190">
        <f t="shared" si="35"/>
        <v>-2.4831307875747368E-3</v>
      </c>
      <c r="M190">
        <f t="shared" si="36"/>
        <v>0.55865921787709494</v>
      </c>
      <c r="N190">
        <f t="shared" si="37"/>
        <v>0.44134078212290501</v>
      </c>
      <c r="P190">
        <f t="shared" si="38"/>
        <v>940.5</v>
      </c>
      <c r="Q190">
        <f t="shared" si="39"/>
        <v>835</v>
      </c>
    </row>
    <row r="191" spans="1:17" x14ac:dyDescent="0.35">
      <c r="A191">
        <v>2021</v>
      </c>
      <c r="B191" s="15">
        <v>156</v>
      </c>
      <c r="C191" s="15">
        <v>25</v>
      </c>
      <c r="D191" s="12">
        <f t="shared" si="27"/>
        <v>19.5</v>
      </c>
      <c r="E191" s="27">
        <f t="shared" si="28"/>
        <v>0.39</v>
      </c>
      <c r="F191" s="27">
        <f t="shared" si="29"/>
        <v>0.5</v>
      </c>
      <c r="G191">
        <f t="shared" si="30"/>
        <v>44.5</v>
      </c>
      <c r="H191">
        <f t="shared" si="31"/>
        <v>0</v>
      </c>
      <c r="I191">
        <f t="shared" si="32"/>
        <v>-0.90020896140003748</v>
      </c>
      <c r="J191">
        <f t="shared" si="33"/>
        <v>-0.67129880379767704</v>
      </c>
      <c r="K191">
        <f t="shared" si="34"/>
        <v>1.8182820972099073E-3</v>
      </c>
      <c r="L191">
        <f t="shared" si="35"/>
        <v>-1.8199371786767208E-3</v>
      </c>
      <c r="M191">
        <f t="shared" si="36"/>
        <v>0.5617977528089888</v>
      </c>
      <c r="N191">
        <f t="shared" si="37"/>
        <v>0.43820224719101125</v>
      </c>
      <c r="P191">
        <f t="shared" si="38"/>
        <v>968</v>
      </c>
      <c r="Q191">
        <f t="shared" si="39"/>
        <v>835</v>
      </c>
    </row>
    <row r="192" spans="1:17" x14ac:dyDescent="0.35">
      <c r="A192">
        <v>2021</v>
      </c>
      <c r="B192" s="15">
        <v>175</v>
      </c>
      <c r="C192" s="15">
        <v>22</v>
      </c>
      <c r="D192" s="12">
        <f t="shared" si="27"/>
        <v>21.875</v>
      </c>
      <c r="E192" s="27">
        <f t="shared" si="28"/>
        <v>0.4375</v>
      </c>
      <c r="F192" s="27">
        <f t="shared" si="29"/>
        <v>0.44</v>
      </c>
      <c r="G192">
        <f t="shared" si="30"/>
        <v>43.875</v>
      </c>
      <c r="H192">
        <f t="shared" si="31"/>
        <v>0</v>
      </c>
      <c r="I192">
        <f t="shared" si="32"/>
        <v>-0.22474898784081401</v>
      </c>
      <c r="J192">
        <f t="shared" si="33"/>
        <v>-1.017915819039694</v>
      </c>
      <c r="K192">
        <f t="shared" si="34"/>
        <v>1.5320901905412298E-3</v>
      </c>
      <c r="L192">
        <f t="shared" si="35"/>
        <v>-1.5332650408549716E-3</v>
      </c>
      <c r="M192">
        <f t="shared" si="36"/>
        <v>0.50142450142450146</v>
      </c>
      <c r="N192">
        <f t="shared" si="37"/>
        <v>0.4985754985754986</v>
      </c>
      <c r="P192">
        <f t="shared" si="38"/>
        <v>631.5</v>
      </c>
      <c r="Q192">
        <f t="shared" si="39"/>
        <v>936.5</v>
      </c>
    </row>
    <row r="193" spans="1:17" x14ac:dyDescent="0.35">
      <c r="A193">
        <v>2021</v>
      </c>
      <c r="B193" s="15">
        <v>175</v>
      </c>
      <c r="C193" s="15">
        <v>22</v>
      </c>
      <c r="D193" s="12">
        <f t="shared" si="27"/>
        <v>21.875</v>
      </c>
      <c r="E193" s="27">
        <f t="shared" si="28"/>
        <v>0.4375</v>
      </c>
      <c r="F193" s="27">
        <f t="shared" si="29"/>
        <v>0.44</v>
      </c>
      <c r="G193">
        <f t="shared" si="30"/>
        <v>43.875</v>
      </c>
      <c r="H193">
        <f t="shared" si="31"/>
        <v>0</v>
      </c>
      <c r="I193">
        <f t="shared" si="32"/>
        <v>-0.22474898784081401</v>
      </c>
      <c r="J193">
        <f t="shared" si="33"/>
        <v>-1.017915819039694</v>
      </c>
      <c r="K193">
        <f t="shared" si="34"/>
        <v>1.5320901905412298E-3</v>
      </c>
      <c r="L193">
        <f t="shared" si="35"/>
        <v>-1.5332650408549716E-3</v>
      </c>
      <c r="M193">
        <f t="shared" si="36"/>
        <v>0.50142450142450146</v>
      </c>
      <c r="N193">
        <f t="shared" si="37"/>
        <v>0.4985754985754986</v>
      </c>
      <c r="P193">
        <f t="shared" si="38"/>
        <v>631.5</v>
      </c>
      <c r="Q193">
        <f t="shared" si="39"/>
        <v>936.5</v>
      </c>
    </row>
    <row r="194" spans="1:17" x14ac:dyDescent="0.35">
      <c r="A194">
        <v>2021</v>
      </c>
      <c r="B194" s="15">
        <v>166</v>
      </c>
      <c r="C194" s="15">
        <v>23</v>
      </c>
      <c r="D194" s="12">
        <f t="shared" si="27"/>
        <v>20.75</v>
      </c>
      <c r="E194" s="27">
        <f t="shared" si="28"/>
        <v>0.41499999999999998</v>
      </c>
      <c r="F194" s="27">
        <f t="shared" si="29"/>
        <v>0.46</v>
      </c>
      <c r="G194">
        <f t="shared" si="30"/>
        <v>43.75</v>
      </c>
      <c r="H194">
        <f t="shared" si="31"/>
        <v>0</v>
      </c>
      <c r="I194">
        <f t="shared" si="32"/>
        <v>-0.5447037121583409</v>
      </c>
      <c r="J194">
        <f t="shared" si="33"/>
        <v>-0.90237681395902158</v>
      </c>
      <c r="K194">
        <f t="shared" si="34"/>
        <v>1.0720174711787837E-3</v>
      </c>
      <c r="L194">
        <f t="shared" si="35"/>
        <v>-1.0725924929003434E-3</v>
      </c>
      <c r="M194">
        <f t="shared" si="36"/>
        <v>0.52571428571428569</v>
      </c>
      <c r="N194">
        <f t="shared" si="37"/>
        <v>0.47428571428571431</v>
      </c>
      <c r="P194">
        <f t="shared" si="38"/>
        <v>809</v>
      </c>
      <c r="Q194">
        <f t="shared" si="39"/>
        <v>904</v>
      </c>
    </row>
    <row r="195" spans="1:17" x14ac:dyDescent="0.35">
      <c r="A195">
        <v>2021</v>
      </c>
      <c r="B195" s="15">
        <v>149</v>
      </c>
      <c r="C195" s="15">
        <v>25</v>
      </c>
      <c r="D195" s="12">
        <f t="shared" ref="D195:D258" si="40">B195/8</f>
        <v>18.625</v>
      </c>
      <c r="E195" s="27">
        <f t="shared" ref="E195:E258" si="41">B195/400</f>
        <v>0.3725</v>
      </c>
      <c r="F195" s="27">
        <f t="shared" ref="F195:F258" si="42">C195/50</f>
        <v>0.5</v>
      </c>
      <c r="G195">
        <f t="shared" ref="G195:G258" si="43">SUM(C195+D195)</f>
        <v>43.625</v>
      </c>
      <c r="H195">
        <f t="shared" ref="H195:H258" si="44">IF(G195&gt;=50,1,0)</f>
        <v>0</v>
      </c>
      <c r="I195">
        <f t="shared" ref="I195:I258" si="45" xml:space="preserve"> (D:D - AVERAGE(D:D)) / STDEV(D:D)</f>
        <v>-1.1490626358692251</v>
      </c>
      <c r="J195">
        <f t="shared" ref="J195:J258" si="46" xml:space="preserve"> (C:C - AVERAGE(C:C)) / STDEV(C:C)</f>
        <v>-0.67129880379767704</v>
      </c>
      <c r="K195">
        <f t="shared" ref="K195:K258" si="47">1/(1+EXP(-($AD$25 +$AD$26 * I195 +$AD$27 * J195 )))</f>
        <v>6.1288640379745043E-4</v>
      </c>
      <c r="L195">
        <f t="shared" ref="L195:L258" si="48">IF(K195=0, -1000, IF(K195=1, -1000, H195 * LN(K195) + (1 - H195) * LN(1 - K195)))</f>
        <v>-6.1307429544414497E-4</v>
      </c>
      <c r="M195">
        <f t="shared" ref="M195:M258" si="49">IF(G195=0, 0,  C195  / G195 )</f>
        <v>0.57306590257879653</v>
      </c>
      <c r="N195">
        <f t="shared" ref="N195:N258" si="50">IF(G195=0, 0,  D195  / G195 )</f>
        <v>0.42693409742120342</v>
      </c>
      <c r="P195">
        <f t="shared" ref="P195:P258" si="51">_xlfn.RANK.AVG(B195,$B$2:$B$1144)</f>
        <v>1051.5</v>
      </c>
      <c r="Q195">
        <f t="shared" ref="Q195:Q258" si="52">_xlfn.RANK.AVG(C195,$C$2:$C$1144)</f>
        <v>835</v>
      </c>
    </row>
    <row r="196" spans="1:17" x14ac:dyDescent="0.35">
      <c r="A196">
        <v>2021</v>
      </c>
      <c r="B196" s="15">
        <v>165</v>
      </c>
      <c r="C196" s="15">
        <v>23</v>
      </c>
      <c r="D196" s="12">
        <f t="shared" si="40"/>
        <v>20.625</v>
      </c>
      <c r="E196" s="27">
        <f t="shared" si="41"/>
        <v>0.41249999999999998</v>
      </c>
      <c r="F196" s="27">
        <f t="shared" si="42"/>
        <v>0.46</v>
      </c>
      <c r="G196">
        <f t="shared" si="43"/>
        <v>43.625</v>
      </c>
      <c r="H196">
        <f t="shared" si="44"/>
        <v>0</v>
      </c>
      <c r="I196">
        <f t="shared" si="45"/>
        <v>-0.58025423708251056</v>
      </c>
      <c r="J196">
        <f t="shared" si="46"/>
        <v>-0.90237681395902158</v>
      </c>
      <c r="K196">
        <f t="shared" si="47"/>
        <v>9.1775190953307382E-4</v>
      </c>
      <c r="L196">
        <f t="shared" si="48"/>
        <v>-9.1817330165876556E-4</v>
      </c>
      <c r="M196">
        <f t="shared" si="49"/>
        <v>0.52722063037249278</v>
      </c>
      <c r="N196">
        <f t="shared" si="50"/>
        <v>0.47277936962750716</v>
      </c>
      <c r="P196">
        <f t="shared" si="51"/>
        <v>826.5</v>
      </c>
      <c r="Q196">
        <f t="shared" si="52"/>
        <v>904</v>
      </c>
    </row>
    <row r="197" spans="1:17" x14ac:dyDescent="0.35">
      <c r="A197">
        <v>2021</v>
      </c>
      <c r="B197" s="15">
        <v>152</v>
      </c>
      <c r="C197" s="15">
        <v>24</v>
      </c>
      <c r="D197" s="12">
        <f t="shared" si="40"/>
        <v>19</v>
      </c>
      <c r="E197" s="27">
        <f t="shared" si="41"/>
        <v>0.38</v>
      </c>
      <c r="F197" s="27">
        <f t="shared" si="42"/>
        <v>0.48</v>
      </c>
      <c r="G197">
        <f t="shared" si="43"/>
        <v>43</v>
      </c>
      <c r="H197">
        <f t="shared" si="44"/>
        <v>0</v>
      </c>
      <c r="I197">
        <f t="shared" si="45"/>
        <v>-1.0424110610967161</v>
      </c>
      <c r="J197">
        <f t="shared" si="46"/>
        <v>-0.78683780887834931</v>
      </c>
      <c r="K197">
        <f t="shared" si="47"/>
        <v>3.4476029624811659E-4</v>
      </c>
      <c r="L197">
        <f t="shared" si="48"/>
        <v>-3.4481973974191264E-4</v>
      </c>
      <c r="M197">
        <f t="shared" si="49"/>
        <v>0.55813953488372092</v>
      </c>
      <c r="N197">
        <f t="shared" si="50"/>
        <v>0.44186046511627908</v>
      </c>
      <c r="P197">
        <f t="shared" si="51"/>
        <v>1016</v>
      </c>
      <c r="Q197">
        <f t="shared" si="52"/>
        <v>870</v>
      </c>
    </row>
    <row r="198" spans="1:17" x14ac:dyDescent="0.35">
      <c r="A198">
        <v>2021</v>
      </c>
      <c r="B198" s="15">
        <v>160</v>
      </c>
      <c r="C198" s="15">
        <v>23</v>
      </c>
      <c r="D198" s="12">
        <f t="shared" si="40"/>
        <v>20</v>
      </c>
      <c r="E198" s="27">
        <f t="shared" si="41"/>
        <v>0.4</v>
      </c>
      <c r="F198" s="27">
        <f t="shared" si="42"/>
        <v>0.46</v>
      </c>
      <c r="G198">
        <f t="shared" si="43"/>
        <v>43</v>
      </c>
      <c r="H198">
        <f t="shared" si="44"/>
        <v>0</v>
      </c>
      <c r="I198">
        <f t="shared" si="45"/>
        <v>-0.75800686170335885</v>
      </c>
      <c r="J198">
        <f t="shared" si="46"/>
        <v>-0.90237681395902158</v>
      </c>
      <c r="K198">
        <f t="shared" si="47"/>
        <v>4.2191273250654737E-4</v>
      </c>
      <c r="L198">
        <f t="shared" si="48"/>
        <v>-4.2200176272637482E-4</v>
      </c>
      <c r="M198">
        <f t="shared" si="49"/>
        <v>0.53488372093023251</v>
      </c>
      <c r="N198">
        <f t="shared" si="50"/>
        <v>0.46511627906976744</v>
      </c>
      <c r="P198">
        <f t="shared" si="51"/>
        <v>908</v>
      </c>
      <c r="Q198">
        <f t="shared" si="52"/>
        <v>904</v>
      </c>
    </row>
    <row r="199" spans="1:17" x14ac:dyDescent="0.35">
      <c r="A199">
        <v>2021</v>
      </c>
      <c r="B199" s="15">
        <v>128</v>
      </c>
      <c r="C199" s="15">
        <v>27</v>
      </c>
      <c r="D199" s="12">
        <f t="shared" si="40"/>
        <v>16</v>
      </c>
      <c r="E199" s="27">
        <f t="shared" si="41"/>
        <v>0.32</v>
      </c>
      <c r="F199" s="27">
        <f t="shared" si="42"/>
        <v>0.54</v>
      </c>
      <c r="G199">
        <f t="shared" si="43"/>
        <v>43</v>
      </c>
      <c r="H199">
        <f t="shared" si="44"/>
        <v>0</v>
      </c>
      <c r="I199">
        <f t="shared" si="45"/>
        <v>-1.8956236592767879</v>
      </c>
      <c r="J199">
        <f t="shared" si="46"/>
        <v>-0.44022079363633243</v>
      </c>
      <c r="K199">
        <f t="shared" si="47"/>
        <v>1.8809124673776871E-4</v>
      </c>
      <c r="L199">
        <f t="shared" si="48"/>
        <v>-1.8810893811477809E-4</v>
      </c>
      <c r="M199">
        <f t="shared" si="49"/>
        <v>0.62790697674418605</v>
      </c>
      <c r="N199">
        <f t="shared" si="50"/>
        <v>0.37209302325581395</v>
      </c>
      <c r="P199">
        <f t="shared" si="51"/>
        <v>1135.5</v>
      </c>
      <c r="Q199">
        <f t="shared" si="52"/>
        <v>752.5</v>
      </c>
    </row>
    <row r="200" spans="1:17" x14ac:dyDescent="0.35">
      <c r="A200">
        <v>2021</v>
      </c>
      <c r="B200" s="15">
        <v>150</v>
      </c>
      <c r="C200" s="15">
        <v>23</v>
      </c>
      <c r="D200" s="12">
        <f t="shared" si="40"/>
        <v>18.75</v>
      </c>
      <c r="E200" s="27">
        <f t="shared" si="41"/>
        <v>0.375</v>
      </c>
      <c r="F200" s="27">
        <f t="shared" si="42"/>
        <v>0.46</v>
      </c>
      <c r="G200">
        <f t="shared" si="43"/>
        <v>41.75</v>
      </c>
      <c r="H200">
        <f t="shared" si="44"/>
        <v>0</v>
      </c>
      <c r="I200">
        <f t="shared" si="45"/>
        <v>-1.1135121109450554</v>
      </c>
      <c r="J200">
        <f t="shared" si="46"/>
        <v>-0.90237681395902158</v>
      </c>
      <c r="K200">
        <f t="shared" si="47"/>
        <v>8.9110915076832619E-5</v>
      </c>
      <c r="L200">
        <f t="shared" si="48"/>
        <v>-8.911488569027347E-5</v>
      </c>
      <c r="M200">
        <f t="shared" si="49"/>
        <v>0.55089820359281438</v>
      </c>
      <c r="N200">
        <f t="shared" si="50"/>
        <v>0.44910179640718562</v>
      </c>
      <c r="P200">
        <f t="shared" si="51"/>
        <v>1041</v>
      </c>
      <c r="Q200">
        <f t="shared" si="52"/>
        <v>904</v>
      </c>
    </row>
    <row r="201" spans="1:17" x14ac:dyDescent="0.35">
      <c r="A201">
        <v>2021</v>
      </c>
      <c r="B201" s="15">
        <v>164</v>
      </c>
      <c r="C201" s="15">
        <v>21</v>
      </c>
      <c r="D201" s="12">
        <f t="shared" si="40"/>
        <v>20.5</v>
      </c>
      <c r="E201" s="27">
        <f t="shared" si="41"/>
        <v>0.41</v>
      </c>
      <c r="F201" s="27">
        <f t="shared" si="42"/>
        <v>0.42</v>
      </c>
      <c r="G201">
        <f t="shared" si="43"/>
        <v>41.5</v>
      </c>
      <c r="H201">
        <f t="shared" si="44"/>
        <v>0</v>
      </c>
      <c r="I201">
        <f t="shared" si="45"/>
        <v>-0.61580476200668022</v>
      </c>
      <c r="J201">
        <f t="shared" si="46"/>
        <v>-1.1334548241203661</v>
      </c>
      <c r="K201">
        <f t="shared" si="47"/>
        <v>9.7795232649267399E-5</v>
      </c>
      <c r="L201">
        <f t="shared" si="48"/>
        <v>-9.7800014914855868E-5</v>
      </c>
      <c r="M201">
        <f t="shared" si="49"/>
        <v>0.50602409638554213</v>
      </c>
      <c r="N201">
        <f t="shared" si="50"/>
        <v>0.49397590361445781</v>
      </c>
      <c r="P201">
        <f t="shared" si="51"/>
        <v>844.5</v>
      </c>
      <c r="Q201">
        <f t="shared" si="52"/>
        <v>967.5</v>
      </c>
    </row>
    <row r="202" spans="1:17" x14ac:dyDescent="0.35">
      <c r="A202">
        <v>2021</v>
      </c>
      <c r="B202" s="15">
        <v>156</v>
      </c>
      <c r="C202" s="15">
        <v>22</v>
      </c>
      <c r="D202" s="12">
        <f t="shared" si="40"/>
        <v>19.5</v>
      </c>
      <c r="E202" s="27">
        <f t="shared" si="41"/>
        <v>0.39</v>
      </c>
      <c r="F202" s="27">
        <f t="shared" si="42"/>
        <v>0.44</v>
      </c>
      <c r="G202">
        <f t="shared" si="43"/>
        <v>41.5</v>
      </c>
      <c r="H202">
        <f t="shared" si="44"/>
        <v>0</v>
      </c>
      <c r="I202">
        <f t="shared" si="45"/>
        <v>-0.90020896140003748</v>
      </c>
      <c r="J202">
        <f t="shared" si="46"/>
        <v>-1.017915819039694</v>
      </c>
      <c r="K202">
        <f t="shared" si="47"/>
        <v>7.9907316703629378E-5</v>
      </c>
      <c r="L202">
        <f t="shared" si="48"/>
        <v>-7.9910509463313725E-5</v>
      </c>
      <c r="M202">
        <f t="shared" si="49"/>
        <v>0.53012048192771088</v>
      </c>
      <c r="N202">
        <f t="shared" si="50"/>
        <v>0.46987951807228917</v>
      </c>
      <c r="P202">
        <f t="shared" si="51"/>
        <v>968</v>
      </c>
      <c r="Q202">
        <f t="shared" si="52"/>
        <v>936.5</v>
      </c>
    </row>
    <row r="203" spans="1:17" x14ac:dyDescent="0.35">
      <c r="A203">
        <v>2021</v>
      </c>
      <c r="B203" s="15">
        <v>158</v>
      </c>
      <c r="C203" s="15">
        <v>21</v>
      </c>
      <c r="D203" s="12">
        <f t="shared" si="40"/>
        <v>19.75</v>
      </c>
      <c r="E203" s="27">
        <f t="shared" si="41"/>
        <v>0.39500000000000002</v>
      </c>
      <c r="F203" s="27">
        <f t="shared" si="42"/>
        <v>0.42</v>
      </c>
      <c r="G203">
        <f t="shared" si="43"/>
        <v>40.75</v>
      </c>
      <c r="H203">
        <f t="shared" si="44"/>
        <v>0</v>
      </c>
      <c r="I203">
        <f t="shared" si="45"/>
        <v>-0.82910791155169816</v>
      </c>
      <c r="J203">
        <f t="shared" si="46"/>
        <v>-1.1334548241203661</v>
      </c>
      <c r="K203">
        <f t="shared" si="47"/>
        <v>3.8466411443724435E-5</v>
      </c>
      <c r="L203">
        <f t="shared" si="48"/>
        <v>-3.8467151295049381E-5</v>
      </c>
      <c r="M203">
        <f t="shared" si="49"/>
        <v>0.51533742331288346</v>
      </c>
      <c r="N203">
        <f t="shared" si="50"/>
        <v>0.48466257668711654</v>
      </c>
      <c r="P203">
        <f t="shared" si="51"/>
        <v>940.5</v>
      </c>
      <c r="Q203">
        <f t="shared" si="52"/>
        <v>967.5</v>
      </c>
    </row>
    <row r="204" spans="1:17" x14ac:dyDescent="0.35">
      <c r="A204">
        <v>2021</v>
      </c>
      <c r="B204" s="15">
        <v>146</v>
      </c>
      <c r="C204" s="15">
        <v>22</v>
      </c>
      <c r="D204" s="12">
        <f t="shared" si="40"/>
        <v>18.25</v>
      </c>
      <c r="E204" s="27">
        <f t="shared" si="41"/>
        <v>0.36499999999999999</v>
      </c>
      <c r="F204" s="27">
        <f t="shared" si="42"/>
        <v>0.44</v>
      </c>
      <c r="G204">
        <f t="shared" si="43"/>
        <v>40.25</v>
      </c>
      <c r="H204">
        <f t="shared" si="44"/>
        <v>0</v>
      </c>
      <c r="I204">
        <f t="shared" si="45"/>
        <v>-1.2557142106417341</v>
      </c>
      <c r="J204">
        <f t="shared" si="46"/>
        <v>-1.017915819039694</v>
      </c>
      <c r="K204">
        <f t="shared" si="47"/>
        <v>1.6872429612561706E-5</v>
      </c>
      <c r="L204">
        <f t="shared" si="48"/>
        <v>-1.687257195361046E-5</v>
      </c>
      <c r="M204">
        <f t="shared" si="49"/>
        <v>0.54658385093167705</v>
      </c>
      <c r="N204">
        <f t="shared" si="50"/>
        <v>0.453416149068323</v>
      </c>
      <c r="P204">
        <f t="shared" si="51"/>
        <v>1079</v>
      </c>
      <c r="Q204">
        <f t="shared" si="52"/>
        <v>936.5</v>
      </c>
    </row>
    <row r="205" spans="1:17" x14ac:dyDescent="0.35">
      <c r="A205">
        <v>2021</v>
      </c>
      <c r="B205" s="15">
        <v>146</v>
      </c>
      <c r="C205" s="15">
        <v>22</v>
      </c>
      <c r="D205" s="12">
        <f t="shared" si="40"/>
        <v>18.25</v>
      </c>
      <c r="E205" s="27">
        <f t="shared" si="41"/>
        <v>0.36499999999999999</v>
      </c>
      <c r="F205" s="27">
        <f t="shared" si="42"/>
        <v>0.44</v>
      </c>
      <c r="G205">
        <f t="shared" si="43"/>
        <v>40.25</v>
      </c>
      <c r="H205">
        <f t="shared" si="44"/>
        <v>0</v>
      </c>
      <c r="I205">
        <f t="shared" si="45"/>
        <v>-1.2557142106417341</v>
      </c>
      <c r="J205">
        <f t="shared" si="46"/>
        <v>-1.017915819039694</v>
      </c>
      <c r="K205">
        <f t="shared" si="47"/>
        <v>1.6872429612561706E-5</v>
      </c>
      <c r="L205">
        <f t="shared" si="48"/>
        <v>-1.687257195361046E-5</v>
      </c>
      <c r="M205">
        <f t="shared" si="49"/>
        <v>0.54658385093167705</v>
      </c>
      <c r="N205">
        <f t="shared" si="50"/>
        <v>0.453416149068323</v>
      </c>
      <c r="P205">
        <f t="shared" si="51"/>
        <v>1079</v>
      </c>
      <c r="Q205">
        <f t="shared" si="52"/>
        <v>936.5</v>
      </c>
    </row>
    <row r="206" spans="1:17" x14ac:dyDescent="0.35">
      <c r="A206">
        <v>2021</v>
      </c>
      <c r="B206" s="15">
        <v>150</v>
      </c>
      <c r="C206" s="15">
        <v>21</v>
      </c>
      <c r="D206" s="12">
        <f t="shared" si="40"/>
        <v>18.75</v>
      </c>
      <c r="E206" s="27">
        <f t="shared" si="41"/>
        <v>0.375</v>
      </c>
      <c r="F206" s="27">
        <f t="shared" si="42"/>
        <v>0.42</v>
      </c>
      <c r="G206">
        <f t="shared" si="43"/>
        <v>39.75</v>
      </c>
      <c r="H206">
        <f t="shared" si="44"/>
        <v>0</v>
      </c>
      <c r="I206">
        <f t="shared" si="45"/>
        <v>-1.1135121109450554</v>
      </c>
      <c r="J206">
        <f t="shared" si="46"/>
        <v>-1.1334548241203661</v>
      </c>
      <c r="K206">
        <f t="shared" si="47"/>
        <v>1.108522531784E-5</v>
      </c>
      <c r="L206">
        <f t="shared" si="48"/>
        <v>-1.1085286759350453E-5</v>
      </c>
      <c r="M206">
        <f t="shared" si="49"/>
        <v>0.52830188679245282</v>
      </c>
      <c r="N206">
        <f t="shared" si="50"/>
        <v>0.47169811320754718</v>
      </c>
      <c r="P206">
        <f t="shared" si="51"/>
        <v>1041</v>
      </c>
      <c r="Q206">
        <f t="shared" si="52"/>
        <v>967.5</v>
      </c>
    </row>
    <row r="207" spans="1:17" x14ac:dyDescent="0.35">
      <c r="A207">
        <v>2021</v>
      </c>
      <c r="B207" s="15">
        <v>129</v>
      </c>
      <c r="C207" s="15">
        <v>23</v>
      </c>
      <c r="D207" s="12">
        <f t="shared" si="40"/>
        <v>16.125</v>
      </c>
      <c r="E207" s="27">
        <f t="shared" si="41"/>
        <v>0.32250000000000001</v>
      </c>
      <c r="F207" s="27">
        <f t="shared" si="42"/>
        <v>0.46</v>
      </c>
      <c r="G207">
        <f t="shared" si="43"/>
        <v>39.125</v>
      </c>
      <c r="H207">
        <f t="shared" si="44"/>
        <v>0</v>
      </c>
      <c r="I207">
        <f t="shared" si="45"/>
        <v>-1.8600731343526182</v>
      </c>
      <c r="J207">
        <f t="shared" si="46"/>
        <v>-0.90237681395902158</v>
      </c>
      <c r="K207">
        <f t="shared" si="47"/>
        <v>3.4005714186404789E-6</v>
      </c>
      <c r="L207">
        <f t="shared" si="48"/>
        <v>-3.4005772006329847E-6</v>
      </c>
      <c r="M207">
        <f t="shared" si="49"/>
        <v>0.58785942492012777</v>
      </c>
      <c r="N207">
        <f t="shared" si="50"/>
        <v>0.41214057507987223</v>
      </c>
      <c r="P207">
        <f t="shared" si="51"/>
        <v>1132</v>
      </c>
      <c r="Q207">
        <f t="shared" si="52"/>
        <v>904</v>
      </c>
    </row>
    <row r="208" spans="1:17" x14ac:dyDescent="0.35">
      <c r="A208">
        <v>2021</v>
      </c>
      <c r="B208" s="15">
        <v>159</v>
      </c>
      <c r="C208" s="15">
        <v>19</v>
      </c>
      <c r="D208" s="12">
        <f t="shared" si="40"/>
        <v>19.875</v>
      </c>
      <c r="E208" s="27">
        <f t="shared" si="41"/>
        <v>0.39750000000000002</v>
      </c>
      <c r="F208" s="27">
        <f t="shared" si="42"/>
        <v>0.38</v>
      </c>
      <c r="G208">
        <f t="shared" si="43"/>
        <v>38.875</v>
      </c>
      <c r="H208">
        <f t="shared" si="44"/>
        <v>0</v>
      </c>
      <c r="I208">
        <f t="shared" si="45"/>
        <v>-0.7935573866275285</v>
      </c>
      <c r="J208">
        <f t="shared" si="46"/>
        <v>-1.3645328342817109</v>
      </c>
      <c r="K208">
        <f t="shared" si="47"/>
        <v>5.5900966224491611E-6</v>
      </c>
      <c r="L208">
        <f t="shared" si="48"/>
        <v>-5.590112247135904E-6</v>
      </c>
      <c r="M208">
        <f t="shared" si="49"/>
        <v>0.4887459807073955</v>
      </c>
      <c r="N208">
        <f t="shared" si="50"/>
        <v>0.5112540192926045</v>
      </c>
      <c r="P208">
        <f t="shared" si="51"/>
        <v>923</v>
      </c>
      <c r="Q208">
        <f t="shared" si="52"/>
        <v>1022</v>
      </c>
    </row>
    <row r="209" spans="1:17" x14ac:dyDescent="0.35">
      <c r="A209">
        <v>2021</v>
      </c>
      <c r="B209" s="15">
        <v>163</v>
      </c>
      <c r="C209" s="15">
        <v>18</v>
      </c>
      <c r="D209" s="12">
        <f t="shared" si="40"/>
        <v>20.375</v>
      </c>
      <c r="E209" s="27">
        <f t="shared" si="41"/>
        <v>0.40749999999999997</v>
      </c>
      <c r="F209" s="27">
        <f t="shared" si="42"/>
        <v>0.36</v>
      </c>
      <c r="G209">
        <f t="shared" si="43"/>
        <v>38.375</v>
      </c>
      <c r="H209">
        <f t="shared" si="44"/>
        <v>0</v>
      </c>
      <c r="I209">
        <f t="shared" si="45"/>
        <v>-0.65135528693084987</v>
      </c>
      <c r="J209">
        <f t="shared" si="46"/>
        <v>-1.4800718393623831</v>
      </c>
      <c r="K209">
        <f t="shared" si="47"/>
        <v>3.6726922100455487E-6</v>
      </c>
      <c r="L209">
        <f t="shared" si="48"/>
        <v>-3.672698954372192E-6</v>
      </c>
      <c r="M209">
        <f t="shared" si="49"/>
        <v>0.46905537459283386</v>
      </c>
      <c r="N209">
        <f t="shared" si="50"/>
        <v>0.53094462540716614</v>
      </c>
      <c r="P209">
        <f t="shared" si="51"/>
        <v>860.5</v>
      </c>
      <c r="Q209">
        <f t="shared" si="52"/>
        <v>1044.5</v>
      </c>
    </row>
    <row r="210" spans="1:17" x14ac:dyDescent="0.35">
      <c r="A210">
        <v>2021</v>
      </c>
      <c r="B210" s="15">
        <v>152</v>
      </c>
      <c r="C210" s="15">
        <v>19</v>
      </c>
      <c r="D210" s="12">
        <f t="shared" si="40"/>
        <v>19</v>
      </c>
      <c r="E210" s="27">
        <f t="shared" si="41"/>
        <v>0.38</v>
      </c>
      <c r="F210" s="27">
        <f t="shared" si="42"/>
        <v>0.38</v>
      </c>
      <c r="G210">
        <f t="shared" si="43"/>
        <v>38</v>
      </c>
      <c r="H210">
        <f t="shared" si="44"/>
        <v>0</v>
      </c>
      <c r="I210">
        <f t="shared" si="45"/>
        <v>-1.0424110610967161</v>
      </c>
      <c r="J210">
        <f t="shared" si="46"/>
        <v>-1.3645328342817109</v>
      </c>
      <c r="K210">
        <f t="shared" si="47"/>
        <v>1.8819822173347871E-6</v>
      </c>
      <c r="L210">
        <f t="shared" si="48"/>
        <v>-1.8819839882196129E-6</v>
      </c>
      <c r="M210">
        <f t="shared" si="49"/>
        <v>0.5</v>
      </c>
      <c r="N210">
        <f t="shared" si="50"/>
        <v>0.5</v>
      </c>
      <c r="P210">
        <f t="shared" si="51"/>
        <v>1016</v>
      </c>
      <c r="Q210">
        <f t="shared" si="52"/>
        <v>1022</v>
      </c>
    </row>
    <row r="211" spans="1:17" x14ac:dyDescent="0.35">
      <c r="A211">
        <v>2021</v>
      </c>
      <c r="B211" s="15">
        <v>151</v>
      </c>
      <c r="C211" s="15">
        <v>19</v>
      </c>
      <c r="D211" s="12">
        <f t="shared" si="40"/>
        <v>18.875</v>
      </c>
      <c r="E211" s="27">
        <f t="shared" si="41"/>
        <v>0.3775</v>
      </c>
      <c r="F211" s="27">
        <f t="shared" si="42"/>
        <v>0.38</v>
      </c>
      <c r="G211">
        <f t="shared" si="43"/>
        <v>37.875</v>
      </c>
      <c r="H211">
        <f t="shared" si="44"/>
        <v>0</v>
      </c>
      <c r="I211">
        <f t="shared" si="45"/>
        <v>-1.0779615860208858</v>
      </c>
      <c r="J211">
        <f t="shared" si="46"/>
        <v>-1.3645328342817109</v>
      </c>
      <c r="K211">
        <f t="shared" si="47"/>
        <v>1.6109126922770232E-6</v>
      </c>
      <c r="L211">
        <f t="shared" si="48"/>
        <v>-1.610913989761585E-6</v>
      </c>
      <c r="M211">
        <f t="shared" si="49"/>
        <v>0.50165016501650161</v>
      </c>
      <c r="N211">
        <f t="shared" si="50"/>
        <v>0.49834983498349833</v>
      </c>
      <c r="P211">
        <f t="shared" si="51"/>
        <v>1029</v>
      </c>
      <c r="Q211">
        <f t="shared" si="52"/>
        <v>1022</v>
      </c>
    </row>
    <row r="212" spans="1:17" x14ac:dyDescent="0.35">
      <c r="A212">
        <v>2021</v>
      </c>
      <c r="B212" s="15">
        <v>148</v>
      </c>
      <c r="C212" s="15">
        <v>19</v>
      </c>
      <c r="D212" s="12">
        <f t="shared" si="40"/>
        <v>18.5</v>
      </c>
      <c r="E212" s="27">
        <f t="shared" si="41"/>
        <v>0.37</v>
      </c>
      <c r="F212" s="27">
        <f t="shared" si="42"/>
        <v>0.38</v>
      </c>
      <c r="G212">
        <f t="shared" si="43"/>
        <v>37.5</v>
      </c>
      <c r="H212">
        <f t="shared" si="44"/>
        <v>0</v>
      </c>
      <c r="I212">
        <f t="shared" si="45"/>
        <v>-1.1846131607933947</v>
      </c>
      <c r="J212">
        <f t="shared" si="46"/>
        <v>-1.3645328342817109</v>
      </c>
      <c r="K212">
        <f t="shared" si="47"/>
        <v>1.0102791132814523E-6</v>
      </c>
      <c r="L212">
        <f t="shared" si="48"/>
        <v>-1.0102796235883056E-6</v>
      </c>
      <c r="M212">
        <f t="shared" si="49"/>
        <v>0.50666666666666671</v>
      </c>
      <c r="N212">
        <f t="shared" si="50"/>
        <v>0.49333333333333335</v>
      </c>
      <c r="P212">
        <f t="shared" si="51"/>
        <v>1061</v>
      </c>
      <c r="Q212">
        <f t="shared" si="52"/>
        <v>1022</v>
      </c>
    </row>
    <row r="213" spans="1:17" x14ac:dyDescent="0.35">
      <c r="A213">
        <v>2021</v>
      </c>
      <c r="B213" s="15">
        <v>153</v>
      </c>
      <c r="C213" s="15">
        <v>17</v>
      </c>
      <c r="D213" s="12">
        <f t="shared" si="40"/>
        <v>19.125</v>
      </c>
      <c r="E213" s="27">
        <f t="shared" si="41"/>
        <v>0.38250000000000001</v>
      </c>
      <c r="F213" s="27">
        <f t="shared" si="42"/>
        <v>0.34</v>
      </c>
      <c r="G213">
        <f t="shared" si="43"/>
        <v>36.125</v>
      </c>
      <c r="H213">
        <f t="shared" si="44"/>
        <v>0</v>
      </c>
      <c r="I213">
        <f t="shared" si="45"/>
        <v>-1.0068605361725464</v>
      </c>
      <c r="J213">
        <f t="shared" si="46"/>
        <v>-1.5956108444430555</v>
      </c>
      <c r="K213">
        <f t="shared" si="47"/>
        <v>2.7348882017821214E-7</v>
      </c>
      <c r="L213">
        <f t="shared" si="48"/>
        <v>-2.7348885754418027E-7</v>
      </c>
      <c r="M213">
        <f t="shared" si="49"/>
        <v>0.47058823529411764</v>
      </c>
      <c r="N213">
        <f t="shared" si="50"/>
        <v>0.52941176470588236</v>
      </c>
      <c r="P213">
        <f t="shared" si="51"/>
        <v>1004.5</v>
      </c>
      <c r="Q213">
        <f t="shared" si="52"/>
        <v>1063.5</v>
      </c>
    </row>
    <row r="214" spans="1:17" x14ac:dyDescent="0.35">
      <c r="A214">
        <v>2021</v>
      </c>
      <c r="B214" s="15">
        <v>159</v>
      </c>
      <c r="C214" s="15">
        <v>16</v>
      </c>
      <c r="D214" s="12">
        <f t="shared" si="40"/>
        <v>19.875</v>
      </c>
      <c r="E214" s="27">
        <f t="shared" si="41"/>
        <v>0.39750000000000002</v>
      </c>
      <c r="F214" s="27">
        <f t="shared" si="42"/>
        <v>0.32</v>
      </c>
      <c r="G214">
        <f t="shared" si="43"/>
        <v>35.875</v>
      </c>
      <c r="H214">
        <f t="shared" si="44"/>
        <v>0</v>
      </c>
      <c r="I214">
        <f t="shared" si="45"/>
        <v>-0.7935573866275285</v>
      </c>
      <c r="J214">
        <f t="shared" si="46"/>
        <v>-1.7111498495237276</v>
      </c>
      <c r="K214">
        <f t="shared" si="47"/>
        <v>2.4523995986457331E-7</v>
      </c>
      <c r="L214">
        <f t="shared" si="48"/>
        <v>-2.4523998996643993E-7</v>
      </c>
      <c r="M214">
        <f t="shared" si="49"/>
        <v>0.44599303135888502</v>
      </c>
      <c r="N214">
        <f t="shared" si="50"/>
        <v>0.55400696864111498</v>
      </c>
      <c r="P214">
        <f t="shared" si="51"/>
        <v>923</v>
      </c>
      <c r="Q214">
        <f t="shared" si="52"/>
        <v>1079.5</v>
      </c>
    </row>
    <row r="215" spans="1:17" x14ac:dyDescent="0.35">
      <c r="A215">
        <v>2021</v>
      </c>
      <c r="B215" s="15">
        <v>167</v>
      </c>
      <c r="C215" s="15">
        <v>14</v>
      </c>
      <c r="D215" s="12">
        <f t="shared" si="40"/>
        <v>20.875</v>
      </c>
      <c r="E215" s="27">
        <f t="shared" si="41"/>
        <v>0.41749999999999998</v>
      </c>
      <c r="F215" s="27">
        <f t="shared" si="42"/>
        <v>0.28000000000000003</v>
      </c>
      <c r="G215">
        <f t="shared" si="43"/>
        <v>34.875</v>
      </c>
      <c r="H215">
        <f t="shared" si="44"/>
        <v>0</v>
      </c>
      <c r="I215">
        <f t="shared" si="45"/>
        <v>-0.50915318723417125</v>
      </c>
      <c r="J215">
        <f t="shared" si="46"/>
        <v>-1.9422278596850724</v>
      </c>
      <c r="K215">
        <f t="shared" si="47"/>
        <v>1.0585711898365991E-7</v>
      </c>
      <c r="L215">
        <f t="shared" si="48"/>
        <v>-1.0585712456225009E-7</v>
      </c>
      <c r="M215">
        <f t="shared" si="49"/>
        <v>0.40143369175627241</v>
      </c>
      <c r="N215">
        <f t="shared" si="50"/>
        <v>0.59856630824372759</v>
      </c>
      <c r="P215">
        <f t="shared" si="51"/>
        <v>789.5</v>
      </c>
      <c r="Q215">
        <f t="shared" si="52"/>
        <v>1107.5</v>
      </c>
    </row>
    <row r="216" spans="1:17" x14ac:dyDescent="0.35">
      <c r="A216">
        <v>2021</v>
      </c>
      <c r="B216" s="15">
        <v>159</v>
      </c>
      <c r="C216" s="15">
        <v>14</v>
      </c>
      <c r="D216" s="12">
        <f t="shared" si="40"/>
        <v>19.875</v>
      </c>
      <c r="E216" s="27">
        <f t="shared" si="41"/>
        <v>0.39750000000000002</v>
      </c>
      <c r="F216" s="27">
        <f t="shared" si="42"/>
        <v>0.28000000000000003</v>
      </c>
      <c r="G216">
        <f t="shared" si="43"/>
        <v>33.875</v>
      </c>
      <c r="H216">
        <f t="shared" si="44"/>
        <v>0</v>
      </c>
      <c r="I216">
        <f t="shared" si="45"/>
        <v>-0.7935573866275285</v>
      </c>
      <c r="J216">
        <f t="shared" si="46"/>
        <v>-1.9422278596850724</v>
      </c>
      <c r="K216">
        <f t="shared" si="47"/>
        <v>3.0505002390410914E-8</v>
      </c>
      <c r="L216">
        <f t="shared" si="48"/>
        <v>-3.0505002878250308E-8</v>
      </c>
      <c r="M216">
        <f t="shared" si="49"/>
        <v>0.41328413284132842</v>
      </c>
      <c r="N216">
        <f t="shared" si="50"/>
        <v>0.58671586715867163</v>
      </c>
      <c r="P216">
        <f t="shared" si="51"/>
        <v>923</v>
      </c>
      <c r="Q216">
        <f t="shared" si="52"/>
        <v>1107.5</v>
      </c>
    </row>
    <row r="217" spans="1:17" x14ac:dyDescent="0.35">
      <c r="A217">
        <v>2021</v>
      </c>
      <c r="B217" s="15">
        <v>157</v>
      </c>
      <c r="C217" s="15">
        <v>13</v>
      </c>
      <c r="D217" s="12">
        <f t="shared" si="40"/>
        <v>19.625</v>
      </c>
      <c r="E217" s="27">
        <f t="shared" si="41"/>
        <v>0.39250000000000002</v>
      </c>
      <c r="F217" s="27">
        <f t="shared" si="42"/>
        <v>0.26</v>
      </c>
      <c r="G217">
        <f t="shared" si="43"/>
        <v>32.625</v>
      </c>
      <c r="H217">
        <f t="shared" si="44"/>
        <v>0</v>
      </c>
      <c r="I217">
        <f t="shared" si="45"/>
        <v>-0.86465843647586782</v>
      </c>
      <c r="J217">
        <f t="shared" si="46"/>
        <v>-2.0577668647657448</v>
      </c>
      <c r="K217">
        <f t="shared" si="47"/>
        <v>7.8826760723557194E-9</v>
      </c>
      <c r="L217">
        <f t="shared" si="48"/>
        <v>-7.8826760985071569E-9</v>
      </c>
      <c r="M217">
        <f t="shared" si="49"/>
        <v>0.39846743295019155</v>
      </c>
      <c r="N217">
        <f t="shared" si="50"/>
        <v>0.6015325670498084</v>
      </c>
      <c r="P217">
        <f t="shared" si="51"/>
        <v>954</v>
      </c>
      <c r="Q217">
        <f t="shared" si="52"/>
        <v>1116.5</v>
      </c>
    </row>
    <row r="218" spans="1:17" x14ac:dyDescent="0.35">
      <c r="A218">
        <v>2021</v>
      </c>
      <c r="B218" s="15">
        <v>143</v>
      </c>
      <c r="C218" s="15">
        <v>14</v>
      </c>
      <c r="D218" s="12">
        <f t="shared" si="40"/>
        <v>17.875</v>
      </c>
      <c r="E218" s="27">
        <f t="shared" si="41"/>
        <v>0.35749999999999998</v>
      </c>
      <c r="F218" s="27">
        <f t="shared" si="42"/>
        <v>0.28000000000000003</v>
      </c>
      <c r="G218">
        <f t="shared" si="43"/>
        <v>31.875</v>
      </c>
      <c r="H218">
        <f t="shared" si="44"/>
        <v>0</v>
      </c>
      <c r="I218">
        <f t="shared" si="45"/>
        <v>-1.362365785414243</v>
      </c>
      <c r="J218">
        <f t="shared" si="46"/>
        <v>-1.9422278596850724</v>
      </c>
      <c r="K218">
        <f t="shared" si="47"/>
        <v>2.5332205166526328E-9</v>
      </c>
      <c r="L218">
        <f t="shared" si="48"/>
        <v>-2.5332205254469693E-9</v>
      </c>
      <c r="M218">
        <f t="shared" si="49"/>
        <v>0.4392156862745098</v>
      </c>
      <c r="N218">
        <f t="shared" si="50"/>
        <v>0.5607843137254902</v>
      </c>
      <c r="P218">
        <f t="shared" si="51"/>
        <v>1094</v>
      </c>
      <c r="Q218">
        <f t="shared" si="52"/>
        <v>1107.5</v>
      </c>
    </row>
    <row r="219" spans="1:17" x14ac:dyDescent="0.35">
      <c r="A219">
        <v>2021</v>
      </c>
      <c r="B219" s="15">
        <v>125</v>
      </c>
      <c r="C219" s="15">
        <v>16</v>
      </c>
      <c r="D219" s="12">
        <f t="shared" si="40"/>
        <v>15.625</v>
      </c>
      <c r="E219" s="27">
        <f t="shared" si="41"/>
        <v>0.3125</v>
      </c>
      <c r="F219" s="27">
        <f t="shared" si="42"/>
        <v>0.32</v>
      </c>
      <c r="G219">
        <f t="shared" si="43"/>
        <v>31.625</v>
      </c>
      <c r="H219">
        <f t="shared" si="44"/>
        <v>0</v>
      </c>
      <c r="I219">
        <f t="shared" si="45"/>
        <v>-2.0022752340492969</v>
      </c>
      <c r="J219">
        <f t="shared" si="46"/>
        <v>-1.7111498495237276</v>
      </c>
      <c r="K219">
        <f t="shared" si="47"/>
        <v>1.239104473670248E-9</v>
      </c>
      <c r="L219">
        <f t="shared" si="48"/>
        <v>-1.2391044864517849E-9</v>
      </c>
      <c r="M219">
        <f t="shared" si="49"/>
        <v>0.50592885375494068</v>
      </c>
      <c r="N219">
        <f t="shared" si="50"/>
        <v>0.49407114624505927</v>
      </c>
      <c r="P219">
        <f t="shared" si="51"/>
        <v>1139</v>
      </c>
      <c r="Q219">
        <f t="shared" si="52"/>
        <v>1079.5</v>
      </c>
    </row>
    <row r="220" spans="1:17" x14ac:dyDescent="0.35">
      <c r="A220">
        <v>2021</v>
      </c>
      <c r="B220" s="15">
        <v>146</v>
      </c>
      <c r="C220" s="15">
        <v>11</v>
      </c>
      <c r="D220" s="12">
        <f t="shared" si="40"/>
        <v>18.25</v>
      </c>
      <c r="E220" s="27">
        <f t="shared" si="41"/>
        <v>0.36499999999999999</v>
      </c>
      <c r="F220" s="27">
        <f t="shared" si="42"/>
        <v>0.22</v>
      </c>
      <c r="G220">
        <f t="shared" si="43"/>
        <v>29.25</v>
      </c>
      <c r="H220">
        <f t="shared" si="44"/>
        <v>0</v>
      </c>
      <c r="I220">
        <f t="shared" si="45"/>
        <v>-1.2557142106417341</v>
      </c>
      <c r="J220">
        <f t="shared" si="46"/>
        <v>-2.2888448749270891</v>
      </c>
      <c r="K220">
        <f t="shared" si="47"/>
        <v>1.7720398661121692E-10</v>
      </c>
      <c r="L220">
        <f t="shared" si="48"/>
        <v>-1.7720402924375142E-10</v>
      </c>
      <c r="M220">
        <f t="shared" si="49"/>
        <v>0.37606837606837606</v>
      </c>
      <c r="N220">
        <f t="shared" si="50"/>
        <v>0.62393162393162394</v>
      </c>
      <c r="P220">
        <f t="shared" si="51"/>
        <v>1079</v>
      </c>
      <c r="Q220">
        <f t="shared" si="52"/>
        <v>1128</v>
      </c>
    </row>
    <row r="221" spans="1:17" x14ac:dyDescent="0.35">
      <c r="A221">
        <v>2022</v>
      </c>
      <c r="B221" s="15">
        <v>286</v>
      </c>
      <c r="C221" s="15">
        <v>41</v>
      </c>
      <c r="D221" s="12">
        <f t="shared" si="40"/>
        <v>35.75</v>
      </c>
      <c r="E221" s="27">
        <f t="shared" si="41"/>
        <v>0.71499999999999997</v>
      </c>
      <c r="F221" s="27">
        <f t="shared" si="42"/>
        <v>0.82</v>
      </c>
      <c r="G221">
        <f t="shared" si="43"/>
        <v>76.75</v>
      </c>
      <c r="H221">
        <f t="shared" si="44"/>
        <v>1</v>
      </c>
      <c r="I221">
        <f t="shared" si="45"/>
        <v>3.721359278742018</v>
      </c>
      <c r="J221">
        <f t="shared" si="46"/>
        <v>1.1773252774930798</v>
      </c>
      <c r="K221">
        <f t="shared" si="47"/>
        <v>0.99999999999994782</v>
      </c>
      <c r="L221">
        <f t="shared" si="48"/>
        <v>-5.2180482157383721E-14</v>
      </c>
      <c r="M221">
        <f t="shared" si="49"/>
        <v>0.53420195439739415</v>
      </c>
      <c r="N221">
        <f t="shared" si="50"/>
        <v>0.46579804560260585</v>
      </c>
      <c r="P221">
        <f t="shared" si="51"/>
        <v>8.5</v>
      </c>
      <c r="Q221">
        <f t="shared" si="52"/>
        <v>129.5</v>
      </c>
    </row>
    <row r="222" spans="1:17" x14ac:dyDescent="0.35">
      <c r="A222">
        <v>2022</v>
      </c>
      <c r="B222" s="15">
        <v>263</v>
      </c>
      <c r="C222" s="15">
        <v>39</v>
      </c>
      <c r="D222" s="12">
        <f t="shared" si="40"/>
        <v>32.875</v>
      </c>
      <c r="E222" s="27">
        <f t="shared" si="41"/>
        <v>0.65749999999999997</v>
      </c>
      <c r="F222" s="27">
        <f t="shared" si="42"/>
        <v>0.78</v>
      </c>
      <c r="G222">
        <f t="shared" si="43"/>
        <v>71.875</v>
      </c>
      <c r="H222">
        <f t="shared" si="44"/>
        <v>1</v>
      </c>
      <c r="I222">
        <f t="shared" si="45"/>
        <v>2.9036972054861159</v>
      </c>
      <c r="J222">
        <f t="shared" si="46"/>
        <v>0.94624726733173525</v>
      </c>
      <c r="K222">
        <f t="shared" si="47"/>
        <v>0.99999999998500866</v>
      </c>
      <c r="L222">
        <f t="shared" si="48"/>
        <v>-1.4991341501625859E-11</v>
      </c>
      <c r="M222">
        <f t="shared" si="49"/>
        <v>0.54260869565217396</v>
      </c>
      <c r="N222">
        <f t="shared" si="50"/>
        <v>0.4573913043478261</v>
      </c>
      <c r="P222">
        <f t="shared" si="51"/>
        <v>22.5</v>
      </c>
      <c r="Q222">
        <f t="shared" si="52"/>
        <v>233</v>
      </c>
    </row>
    <row r="223" spans="1:17" x14ac:dyDescent="0.35">
      <c r="A223">
        <v>2022</v>
      </c>
      <c r="B223" s="15">
        <v>246</v>
      </c>
      <c r="C223" s="15">
        <v>37</v>
      </c>
      <c r="D223" s="12">
        <f t="shared" si="40"/>
        <v>30.75</v>
      </c>
      <c r="E223" s="27">
        <f t="shared" si="41"/>
        <v>0.61499999999999999</v>
      </c>
      <c r="F223" s="27">
        <f t="shared" si="42"/>
        <v>0.74</v>
      </c>
      <c r="G223">
        <f t="shared" si="43"/>
        <v>67.75</v>
      </c>
      <c r="H223">
        <f t="shared" si="44"/>
        <v>1</v>
      </c>
      <c r="I223">
        <f t="shared" si="45"/>
        <v>2.2993382817752317</v>
      </c>
      <c r="J223">
        <f t="shared" si="46"/>
        <v>0.71516925717039059</v>
      </c>
      <c r="K223">
        <f t="shared" si="47"/>
        <v>0.99999999830449116</v>
      </c>
      <c r="L223">
        <f t="shared" si="48"/>
        <v>-1.6955088458721873E-9</v>
      </c>
      <c r="M223">
        <f t="shared" si="49"/>
        <v>0.54612546125461259</v>
      </c>
      <c r="N223">
        <f t="shared" si="50"/>
        <v>0.45387453874538747</v>
      </c>
      <c r="P223">
        <f t="shared" si="51"/>
        <v>38</v>
      </c>
      <c r="Q223">
        <f t="shared" si="52"/>
        <v>351</v>
      </c>
    </row>
    <row r="224" spans="1:17" x14ac:dyDescent="0.35">
      <c r="A224">
        <v>2022</v>
      </c>
      <c r="B224" s="15">
        <v>220</v>
      </c>
      <c r="C224" s="15">
        <v>40</v>
      </c>
      <c r="D224" s="12">
        <f t="shared" si="40"/>
        <v>27.5</v>
      </c>
      <c r="E224" s="27">
        <f t="shared" si="41"/>
        <v>0.55000000000000004</v>
      </c>
      <c r="F224" s="27">
        <f t="shared" si="42"/>
        <v>0.8</v>
      </c>
      <c r="G224">
        <f t="shared" si="43"/>
        <v>67.5</v>
      </c>
      <c r="H224">
        <f t="shared" si="44"/>
        <v>1</v>
      </c>
      <c r="I224">
        <f t="shared" si="45"/>
        <v>1.3750246337468206</v>
      </c>
      <c r="J224">
        <f t="shared" si="46"/>
        <v>1.0617862724124074</v>
      </c>
      <c r="K224">
        <f t="shared" si="47"/>
        <v>0.99999999575767395</v>
      </c>
      <c r="L224">
        <f t="shared" si="48"/>
        <v>-4.2423260550098233E-9</v>
      </c>
      <c r="M224">
        <f t="shared" si="49"/>
        <v>0.59259259259259256</v>
      </c>
      <c r="N224">
        <f t="shared" si="50"/>
        <v>0.40740740740740738</v>
      </c>
      <c r="P224">
        <f t="shared" si="51"/>
        <v>84</v>
      </c>
      <c r="Q224">
        <f t="shared" si="52"/>
        <v>173</v>
      </c>
    </row>
    <row r="225" spans="1:17" x14ac:dyDescent="0.35">
      <c r="A225">
        <v>2022</v>
      </c>
      <c r="B225" s="15">
        <v>227</v>
      </c>
      <c r="C225" s="15">
        <v>39</v>
      </c>
      <c r="D225" s="12">
        <f t="shared" si="40"/>
        <v>28.375</v>
      </c>
      <c r="E225" s="27">
        <f t="shared" si="41"/>
        <v>0.5675</v>
      </c>
      <c r="F225" s="27">
        <f t="shared" si="42"/>
        <v>0.78</v>
      </c>
      <c r="G225">
        <f t="shared" si="43"/>
        <v>67.375</v>
      </c>
      <c r="H225">
        <f t="shared" si="44"/>
        <v>1</v>
      </c>
      <c r="I225">
        <f t="shared" si="45"/>
        <v>1.6238783082160082</v>
      </c>
      <c r="J225">
        <f t="shared" si="46"/>
        <v>0.94624726733173525</v>
      </c>
      <c r="K225">
        <f t="shared" si="47"/>
        <v>0.99999999595043132</v>
      </c>
      <c r="L225">
        <f t="shared" si="48"/>
        <v>-4.0495686885860314E-9</v>
      </c>
      <c r="M225">
        <f t="shared" si="49"/>
        <v>0.57884972170686455</v>
      </c>
      <c r="N225">
        <f t="shared" si="50"/>
        <v>0.42115027829313545</v>
      </c>
      <c r="P225">
        <f t="shared" si="51"/>
        <v>68.5</v>
      </c>
      <c r="Q225">
        <f t="shared" si="52"/>
        <v>233</v>
      </c>
    </row>
    <row r="226" spans="1:17" x14ac:dyDescent="0.35">
      <c r="A226">
        <v>2022</v>
      </c>
      <c r="B226" s="15">
        <v>204</v>
      </c>
      <c r="C226" s="15">
        <v>41</v>
      </c>
      <c r="D226" s="12">
        <f t="shared" si="40"/>
        <v>25.5</v>
      </c>
      <c r="E226" s="27">
        <f t="shared" si="41"/>
        <v>0.51</v>
      </c>
      <c r="F226" s="27">
        <f t="shared" si="42"/>
        <v>0.82</v>
      </c>
      <c r="G226">
        <f t="shared" si="43"/>
        <v>66.5</v>
      </c>
      <c r="H226">
        <f t="shared" si="44"/>
        <v>1</v>
      </c>
      <c r="I226">
        <f t="shared" si="45"/>
        <v>0.80621623496010608</v>
      </c>
      <c r="J226">
        <f t="shared" si="46"/>
        <v>1.1773252774930798</v>
      </c>
      <c r="K226">
        <f t="shared" si="47"/>
        <v>0.99999998198260609</v>
      </c>
      <c r="L226">
        <f t="shared" si="48"/>
        <v>-1.8017394072476793E-8</v>
      </c>
      <c r="M226">
        <f t="shared" si="49"/>
        <v>0.61654135338345861</v>
      </c>
      <c r="N226">
        <f t="shared" si="50"/>
        <v>0.38345864661654133</v>
      </c>
      <c r="P226">
        <f t="shared" si="51"/>
        <v>193.5</v>
      </c>
      <c r="Q226">
        <f t="shared" si="52"/>
        <v>129.5</v>
      </c>
    </row>
    <row r="227" spans="1:17" x14ac:dyDescent="0.35">
      <c r="A227">
        <v>2022</v>
      </c>
      <c r="B227" s="15">
        <v>179</v>
      </c>
      <c r="C227" s="15">
        <v>43</v>
      </c>
      <c r="D227" s="12">
        <f t="shared" si="40"/>
        <v>22.375</v>
      </c>
      <c r="E227" s="27">
        <f t="shared" si="41"/>
        <v>0.44750000000000001</v>
      </c>
      <c r="F227" s="27">
        <f t="shared" si="42"/>
        <v>0.86</v>
      </c>
      <c r="G227">
        <f t="shared" si="43"/>
        <v>65.375</v>
      </c>
      <c r="H227">
        <f t="shared" si="44"/>
        <v>1</v>
      </c>
      <c r="I227">
        <f t="shared" si="45"/>
        <v>-8.2546888144135397E-2</v>
      </c>
      <c r="J227">
        <f t="shared" si="46"/>
        <v>1.4084032876544244</v>
      </c>
      <c r="K227">
        <f t="shared" si="47"/>
        <v>0.99999989058864003</v>
      </c>
      <c r="L227">
        <f t="shared" si="48"/>
        <v>-1.0941136595742364E-7</v>
      </c>
      <c r="M227">
        <f t="shared" si="49"/>
        <v>0.65774378585086046</v>
      </c>
      <c r="N227">
        <f t="shared" si="50"/>
        <v>0.34225621414913959</v>
      </c>
      <c r="P227">
        <f t="shared" si="51"/>
        <v>547</v>
      </c>
      <c r="Q227">
        <f t="shared" si="52"/>
        <v>53.5</v>
      </c>
    </row>
    <row r="228" spans="1:17" x14ac:dyDescent="0.35">
      <c r="A228">
        <v>2022</v>
      </c>
      <c r="B228" s="15">
        <v>161</v>
      </c>
      <c r="C228" s="15">
        <v>45</v>
      </c>
      <c r="D228" s="12">
        <f t="shared" si="40"/>
        <v>20.125</v>
      </c>
      <c r="E228" s="27">
        <f t="shared" si="41"/>
        <v>0.40250000000000002</v>
      </c>
      <c r="F228" s="27">
        <f t="shared" si="42"/>
        <v>0.9</v>
      </c>
      <c r="G228">
        <f t="shared" si="43"/>
        <v>65.125</v>
      </c>
      <c r="H228">
        <f t="shared" si="44"/>
        <v>1</v>
      </c>
      <c r="I228">
        <f t="shared" si="45"/>
        <v>-0.72245633677918919</v>
      </c>
      <c r="J228">
        <f t="shared" si="46"/>
        <v>1.6394812978157691</v>
      </c>
      <c r="K228">
        <f t="shared" si="47"/>
        <v>0.99999977631985326</v>
      </c>
      <c r="L228">
        <f t="shared" si="48"/>
        <v>-2.2368017175453328E-7</v>
      </c>
      <c r="M228">
        <f t="shared" si="49"/>
        <v>0.69097888675623798</v>
      </c>
      <c r="N228">
        <f t="shared" si="50"/>
        <v>0.30902111324376197</v>
      </c>
      <c r="P228">
        <f t="shared" si="51"/>
        <v>892.5</v>
      </c>
      <c r="Q228">
        <f t="shared" si="52"/>
        <v>10.5</v>
      </c>
    </row>
    <row r="229" spans="1:17" x14ac:dyDescent="0.35">
      <c r="A229">
        <v>2022</v>
      </c>
      <c r="B229" s="15">
        <v>189</v>
      </c>
      <c r="C229" s="15">
        <v>41</v>
      </c>
      <c r="D229" s="12">
        <f t="shared" si="40"/>
        <v>23.625</v>
      </c>
      <c r="E229" s="27">
        <f t="shared" si="41"/>
        <v>0.47249999999999998</v>
      </c>
      <c r="F229" s="27">
        <f t="shared" si="42"/>
        <v>0.82</v>
      </c>
      <c r="G229">
        <f t="shared" si="43"/>
        <v>64.625</v>
      </c>
      <c r="H229">
        <f t="shared" si="44"/>
        <v>1</v>
      </c>
      <c r="I229">
        <f t="shared" si="45"/>
        <v>0.27295836109756116</v>
      </c>
      <c r="J229">
        <f t="shared" si="46"/>
        <v>1.1773252774930798</v>
      </c>
      <c r="K229">
        <f t="shared" si="47"/>
        <v>0.99999981428527052</v>
      </c>
      <c r="L229">
        <f t="shared" si="48"/>
        <v>-1.8571474672868166E-7</v>
      </c>
      <c r="M229">
        <f t="shared" si="49"/>
        <v>0.63442940038684714</v>
      </c>
      <c r="N229">
        <f t="shared" si="50"/>
        <v>0.3655705996131528</v>
      </c>
      <c r="P229">
        <f t="shared" si="51"/>
        <v>357.5</v>
      </c>
      <c r="Q229">
        <f t="shared" si="52"/>
        <v>129.5</v>
      </c>
    </row>
    <row r="230" spans="1:17" x14ac:dyDescent="0.35">
      <c r="A230">
        <v>2022</v>
      </c>
      <c r="B230" s="15">
        <v>197</v>
      </c>
      <c r="C230" s="15">
        <v>40</v>
      </c>
      <c r="D230" s="12">
        <f t="shared" si="40"/>
        <v>24.625</v>
      </c>
      <c r="E230" s="27">
        <f t="shared" si="41"/>
        <v>0.49249999999999999</v>
      </c>
      <c r="F230" s="27">
        <f t="shared" si="42"/>
        <v>0.8</v>
      </c>
      <c r="G230">
        <f t="shared" si="43"/>
        <v>64.625</v>
      </c>
      <c r="H230">
        <f t="shared" si="44"/>
        <v>1</v>
      </c>
      <c r="I230">
        <f t="shared" si="45"/>
        <v>0.55736256049091848</v>
      </c>
      <c r="J230">
        <f t="shared" si="46"/>
        <v>1.0617862724124074</v>
      </c>
      <c r="K230">
        <f t="shared" si="47"/>
        <v>0.99999984825742183</v>
      </c>
      <c r="L230">
        <f t="shared" si="48"/>
        <v>-1.5174258968231768E-7</v>
      </c>
      <c r="M230">
        <f t="shared" si="49"/>
        <v>0.61895551257253389</v>
      </c>
      <c r="N230">
        <f t="shared" si="50"/>
        <v>0.38104448742746616</v>
      </c>
      <c r="P230">
        <f t="shared" si="51"/>
        <v>260</v>
      </c>
      <c r="Q230">
        <f t="shared" si="52"/>
        <v>173</v>
      </c>
    </row>
    <row r="231" spans="1:17" x14ac:dyDescent="0.35">
      <c r="A231">
        <v>2022</v>
      </c>
      <c r="B231" s="15">
        <v>187</v>
      </c>
      <c r="C231" s="15">
        <v>41</v>
      </c>
      <c r="D231" s="12">
        <f t="shared" si="40"/>
        <v>23.375</v>
      </c>
      <c r="E231" s="27">
        <f t="shared" si="41"/>
        <v>0.46750000000000003</v>
      </c>
      <c r="F231" s="27">
        <f t="shared" si="42"/>
        <v>0.82</v>
      </c>
      <c r="G231">
        <f t="shared" si="43"/>
        <v>64.375</v>
      </c>
      <c r="H231">
        <f t="shared" si="44"/>
        <v>1</v>
      </c>
      <c r="I231">
        <f t="shared" si="45"/>
        <v>0.20185731124922185</v>
      </c>
      <c r="J231">
        <f t="shared" si="46"/>
        <v>1.1773252774930798</v>
      </c>
      <c r="K231">
        <f t="shared" si="47"/>
        <v>0.99999974652590529</v>
      </c>
      <c r="L231">
        <f t="shared" si="48"/>
        <v>-2.5347412683810987E-7</v>
      </c>
      <c r="M231">
        <f t="shared" si="49"/>
        <v>0.63689320388349513</v>
      </c>
      <c r="N231">
        <f t="shared" si="50"/>
        <v>0.36310679611650487</v>
      </c>
      <c r="P231">
        <f t="shared" si="51"/>
        <v>393</v>
      </c>
      <c r="Q231">
        <f t="shared" si="52"/>
        <v>129.5</v>
      </c>
    </row>
    <row r="232" spans="1:17" x14ac:dyDescent="0.35">
      <c r="A232">
        <v>2022</v>
      </c>
      <c r="B232" s="15">
        <v>178</v>
      </c>
      <c r="C232" s="15">
        <v>42</v>
      </c>
      <c r="D232" s="12">
        <f t="shared" si="40"/>
        <v>22.25</v>
      </c>
      <c r="E232" s="27">
        <f t="shared" si="41"/>
        <v>0.44500000000000001</v>
      </c>
      <c r="F232" s="27">
        <f t="shared" si="42"/>
        <v>0.84</v>
      </c>
      <c r="G232">
        <f t="shared" si="43"/>
        <v>64.25</v>
      </c>
      <c r="H232">
        <f t="shared" si="44"/>
        <v>1</v>
      </c>
      <c r="I232">
        <f t="shared" si="45"/>
        <v>-0.11809741306830505</v>
      </c>
      <c r="J232">
        <f t="shared" si="46"/>
        <v>1.2928642825737522</v>
      </c>
      <c r="K232">
        <f t="shared" si="47"/>
        <v>0.99999963757673405</v>
      </c>
      <c r="L232">
        <f t="shared" si="48"/>
        <v>-3.6242333162914288E-7</v>
      </c>
      <c r="M232">
        <f t="shared" si="49"/>
        <v>0.65369649805447472</v>
      </c>
      <c r="N232">
        <f t="shared" si="50"/>
        <v>0.34630350194552528</v>
      </c>
      <c r="P232">
        <f t="shared" si="51"/>
        <v>564.5</v>
      </c>
      <c r="Q232">
        <f t="shared" si="52"/>
        <v>90.5</v>
      </c>
    </row>
    <row r="233" spans="1:17" x14ac:dyDescent="0.35">
      <c r="A233">
        <v>2022</v>
      </c>
      <c r="B233" s="15">
        <v>270</v>
      </c>
      <c r="C233" s="15">
        <v>30</v>
      </c>
      <c r="D233" s="12">
        <f t="shared" si="40"/>
        <v>33.75</v>
      </c>
      <c r="E233" s="27">
        <f t="shared" si="41"/>
        <v>0.67500000000000004</v>
      </c>
      <c r="F233" s="27">
        <f t="shared" si="42"/>
        <v>0.6</v>
      </c>
      <c r="G233">
        <f t="shared" si="43"/>
        <v>63.75</v>
      </c>
      <c r="H233">
        <f t="shared" si="44"/>
        <v>1</v>
      </c>
      <c r="I233">
        <f t="shared" si="45"/>
        <v>3.1525508799553035</v>
      </c>
      <c r="J233">
        <f t="shared" si="46"/>
        <v>-9.3603778394315509E-2</v>
      </c>
      <c r="K233">
        <f t="shared" si="47"/>
        <v>0.99999994022441352</v>
      </c>
      <c r="L233">
        <f t="shared" si="48"/>
        <v>-5.9775588267186412E-8</v>
      </c>
      <c r="M233">
        <f t="shared" si="49"/>
        <v>0.47058823529411764</v>
      </c>
      <c r="N233">
        <f t="shared" si="50"/>
        <v>0.52941176470588236</v>
      </c>
      <c r="P233">
        <f t="shared" si="51"/>
        <v>16.5</v>
      </c>
      <c r="Q233">
        <f t="shared" si="52"/>
        <v>639</v>
      </c>
    </row>
    <row r="234" spans="1:17" x14ac:dyDescent="0.35">
      <c r="A234">
        <v>2022</v>
      </c>
      <c r="B234" s="15">
        <v>156</v>
      </c>
      <c r="C234" s="15">
        <v>44</v>
      </c>
      <c r="D234" s="12">
        <f t="shared" si="40"/>
        <v>19.5</v>
      </c>
      <c r="E234" s="27">
        <f t="shared" si="41"/>
        <v>0.39</v>
      </c>
      <c r="F234" s="27">
        <f t="shared" si="42"/>
        <v>0.88</v>
      </c>
      <c r="G234">
        <f t="shared" si="43"/>
        <v>63.5</v>
      </c>
      <c r="H234">
        <f t="shared" si="44"/>
        <v>1</v>
      </c>
      <c r="I234">
        <f t="shared" si="45"/>
        <v>-0.90020896140003748</v>
      </c>
      <c r="J234">
        <f t="shared" si="46"/>
        <v>1.5239422927350967</v>
      </c>
      <c r="K234">
        <f t="shared" si="47"/>
        <v>0.99999861975806048</v>
      </c>
      <c r="L234">
        <f t="shared" si="48"/>
        <v>-1.3802428920540268E-6</v>
      </c>
      <c r="M234">
        <f t="shared" si="49"/>
        <v>0.69291338582677164</v>
      </c>
      <c r="N234">
        <f t="shared" si="50"/>
        <v>0.30708661417322836</v>
      </c>
      <c r="P234">
        <f t="shared" si="51"/>
        <v>968</v>
      </c>
      <c r="Q234">
        <f t="shared" si="52"/>
        <v>26.5</v>
      </c>
    </row>
    <row r="235" spans="1:17" x14ac:dyDescent="0.35">
      <c r="A235">
        <v>2022</v>
      </c>
      <c r="B235" s="15">
        <v>180</v>
      </c>
      <c r="C235" s="15">
        <v>41</v>
      </c>
      <c r="D235" s="12">
        <f t="shared" si="40"/>
        <v>22.5</v>
      </c>
      <c r="E235" s="27">
        <f t="shared" si="41"/>
        <v>0.45</v>
      </c>
      <c r="F235" s="27">
        <f t="shared" si="42"/>
        <v>0.82</v>
      </c>
      <c r="G235">
        <f t="shared" si="43"/>
        <v>63.5</v>
      </c>
      <c r="H235">
        <f t="shared" si="44"/>
        <v>1</v>
      </c>
      <c r="I235">
        <f t="shared" si="45"/>
        <v>-4.6996363219965739E-2</v>
      </c>
      <c r="J235">
        <f t="shared" si="46"/>
        <v>1.1773252774930798</v>
      </c>
      <c r="K235">
        <f t="shared" si="47"/>
        <v>0.99999924709744104</v>
      </c>
      <c r="L235">
        <f t="shared" si="48"/>
        <v>-7.5290284239603699E-7</v>
      </c>
      <c r="M235">
        <f t="shared" si="49"/>
        <v>0.64566929133858264</v>
      </c>
      <c r="N235">
        <f t="shared" si="50"/>
        <v>0.3543307086614173</v>
      </c>
      <c r="P235">
        <f t="shared" si="51"/>
        <v>528</v>
      </c>
      <c r="Q235">
        <f t="shared" si="52"/>
        <v>129.5</v>
      </c>
    </row>
    <row r="236" spans="1:17" x14ac:dyDescent="0.35">
      <c r="A236">
        <v>2022</v>
      </c>
      <c r="B236" s="15">
        <v>161</v>
      </c>
      <c r="C236" s="15">
        <v>43</v>
      </c>
      <c r="D236" s="12">
        <f t="shared" si="40"/>
        <v>20.125</v>
      </c>
      <c r="E236" s="27">
        <f t="shared" si="41"/>
        <v>0.40250000000000002</v>
      </c>
      <c r="F236" s="27">
        <f t="shared" si="42"/>
        <v>0.86</v>
      </c>
      <c r="G236">
        <f t="shared" si="43"/>
        <v>63.125</v>
      </c>
      <c r="H236">
        <f t="shared" si="44"/>
        <v>1</v>
      </c>
      <c r="I236">
        <f t="shared" si="45"/>
        <v>-0.72245633677918919</v>
      </c>
      <c r="J236">
        <f t="shared" si="46"/>
        <v>1.4084032876544244</v>
      </c>
      <c r="K236">
        <f t="shared" si="47"/>
        <v>0.99999820176261811</v>
      </c>
      <c r="L236">
        <f t="shared" si="48"/>
        <v>-1.7982389987200019E-6</v>
      </c>
      <c r="M236">
        <f t="shared" si="49"/>
        <v>0.68118811881188124</v>
      </c>
      <c r="N236">
        <f t="shared" si="50"/>
        <v>0.31881188118811882</v>
      </c>
      <c r="P236">
        <f t="shared" si="51"/>
        <v>892.5</v>
      </c>
      <c r="Q236">
        <f t="shared" si="52"/>
        <v>53.5</v>
      </c>
    </row>
    <row r="237" spans="1:17" x14ac:dyDescent="0.35">
      <c r="A237">
        <v>2022</v>
      </c>
      <c r="B237" s="15">
        <v>208</v>
      </c>
      <c r="C237" s="15">
        <v>37</v>
      </c>
      <c r="D237" s="12">
        <f t="shared" si="40"/>
        <v>26</v>
      </c>
      <c r="E237" s="27">
        <f t="shared" si="41"/>
        <v>0.52</v>
      </c>
      <c r="F237" s="27">
        <f t="shared" si="42"/>
        <v>0.74</v>
      </c>
      <c r="G237">
        <f t="shared" si="43"/>
        <v>63</v>
      </c>
      <c r="H237">
        <f t="shared" si="44"/>
        <v>1</v>
      </c>
      <c r="I237">
        <f t="shared" si="45"/>
        <v>0.94841833465678471</v>
      </c>
      <c r="J237">
        <f t="shared" si="46"/>
        <v>0.71516925717039059</v>
      </c>
      <c r="K237">
        <f t="shared" si="47"/>
        <v>0.99999937488816193</v>
      </c>
      <c r="L237">
        <f t="shared" si="48"/>
        <v>-6.2511203345316642E-7</v>
      </c>
      <c r="M237">
        <f t="shared" si="49"/>
        <v>0.58730158730158732</v>
      </c>
      <c r="N237">
        <f t="shared" si="50"/>
        <v>0.41269841269841268</v>
      </c>
      <c r="P237">
        <f t="shared" si="51"/>
        <v>160</v>
      </c>
      <c r="Q237">
        <f t="shared" si="52"/>
        <v>351</v>
      </c>
    </row>
    <row r="238" spans="1:17" x14ac:dyDescent="0.35">
      <c r="A238">
        <v>2022</v>
      </c>
      <c r="B238" s="15">
        <v>172</v>
      </c>
      <c r="C238" s="15">
        <v>41</v>
      </c>
      <c r="D238" s="12">
        <f t="shared" si="40"/>
        <v>21.5</v>
      </c>
      <c r="E238" s="27">
        <f t="shared" si="41"/>
        <v>0.43</v>
      </c>
      <c r="F238" s="27">
        <f t="shared" si="42"/>
        <v>0.82</v>
      </c>
      <c r="G238">
        <f t="shared" si="43"/>
        <v>62.5</v>
      </c>
      <c r="H238">
        <f t="shared" si="44"/>
        <v>1</v>
      </c>
      <c r="I238">
        <f t="shared" si="45"/>
        <v>-0.33140056261332301</v>
      </c>
      <c r="J238">
        <f t="shared" si="46"/>
        <v>1.1773252774930798</v>
      </c>
      <c r="K238">
        <f t="shared" si="47"/>
        <v>0.99999738731528232</v>
      </c>
      <c r="L238">
        <f t="shared" si="48"/>
        <v>-2.6126881307510501E-6</v>
      </c>
      <c r="M238">
        <f t="shared" si="49"/>
        <v>0.65600000000000003</v>
      </c>
      <c r="N238">
        <f t="shared" si="50"/>
        <v>0.34399999999999997</v>
      </c>
      <c r="P238">
        <f t="shared" si="51"/>
        <v>684</v>
      </c>
      <c r="Q238">
        <f t="shared" si="52"/>
        <v>129.5</v>
      </c>
    </row>
    <row r="239" spans="1:17" x14ac:dyDescent="0.35">
      <c r="A239">
        <v>2022</v>
      </c>
      <c r="B239" s="15">
        <v>174</v>
      </c>
      <c r="C239" s="15">
        <v>40</v>
      </c>
      <c r="D239" s="12">
        <f t="shared" si="40"/>
        <v>21.75</v>
      </c>
      <c r="E239" s="27">
        <f t="shared" si="41"/>
        <v>0.435</v>
      </c>
      <c r="F239" s="27">
        <f t="shared" si="42"/>
        <v>0.8</v>
      </c>
      <c r="G239">
        <f t="shared" si="43"/>
        <v>61.75</v>
      </c>
      <c r="H239">
        <f t="shared" si="44"/>
        <v>1</v>
      </c>
      <c r="I239">
        <f t="shared" si="45"/>
        <v>-0.2602995127649837</v>
      </c>
      <c r="J239">
        <f t="shared" si="46"/>
        <v>1.0617862724124074</v>
      </c>
      <c r="K239">
        <f t="shared" si="47"/>
        <v>0.99999457238972767</v>
      </c>
      <c r="L239">
        <f t="shared" si="48"/>
        <v>-5.4276250018648908E-6</v>
      </c>
      <c r="M239">
        <f t="shared" si="49"/>
        <v>0.64777327935222673</v>
      </c>
      <c r="N239">
        <f t="shared" si="50"/>
        <v>0.35222672064777327</v>
      </c>
      <c r="P239">
        <f t="shared" si="51"/>
        <v>653</v>
      </c>
      <c r="Q239">
        <f t="shared" si="52"/>
        <v>173</v>
      </c>
    </row>
    <row r="240" spans="1:17" x14ac:dyDescent="0.35">
      <c r="A240">
        <v>2022</v>
      </c>
      <c r="B240" s="15">
        <v>260</v>
      </c>
      <c r="C240" s="15">
        <v>29</v>
      </c>
      <c r="D240" s="12">
        <f t="shared" si="40"/>
        <v>32.5</v>
      </c>
      <c r="E240" s="27">
        <f t="shared" si="41"/>
        <v>0.65</v>
      </c>
      <c r="F240" s="27">
        <f t="shared" si="42"/>
        <v>0.57999999999999996</v>
      </c>
      <c r="G240">
        <f t="shared" si="43"/>
        <v>61.5</v>
      </c>
      <c r="H240">
        <f t="shared" si="44"/>
        <v>1</v>
      </c>
      <c r="I240">
        <f t="shared" si="45"/>
        <v>2.7970456307136069</v>
      </c>
      <c r="J240">
        <f t="shared" si="46"/>
        <v>-0.2091427834749878</v>
      </c>
      <c r="K240">
        <f t="shared" si="47"/>
        <v>0.99999919726914688</v>
      </c>
      <c r="L240">
        <f t="shared" si="48"/>
        <v>-8.02731175310797E-7</v>
      </c>
      <c r="M240">
        <f t="shared" si="49"/>
        <v>0.47154471544715448</v>
      </c>
      <c r="N240">
        <f t="shared" si="50"/>
        <v>0.52845528455284552</v>
      </c>
      <c r="P240">
        <f t="shared" si="51"/>
        <v>25.5</v>
      </c>
      <c r="Q240">
        <f t="shared" si="52"/>
        <v>671</v>
      </c>
    </row>
    <row r="241" spans="1:17" x14ac:dyDescent="0.35">
      <c r="A241">
        <v>2022</v>
      </c>
      <c r="B241" s="15">
        <v>169</v>
      </c>
      <c r="C241" s="15">
        <v>40</v>
      </c>
      <c r="D241" s="12">
        <f t="shared" si="40"/>
        <v>21.125</v>
      </c>
      <c r="E241" s="27">
        <f t="shared" si="41"/>
        <v>0.42249999999999999</v>
      </c>
      <c r="F241" s="27">
        <f t="shared" si="42"/>
        <v>0.8</v>
      </c>
      <c r="G241">
        <f t="shared" si="43"/>
        <v>61.125</v>
      </c>
      <c r="H241">
        <f t="shared" si="44"/>
        <v>1</v>
      </c>
      <c r="I241">
        <f t="shared" si="45"/>
        <v>-0.43805213738583199</v>
      </c>
      <c r="J241">
        <f t="shared" si="46"/>
        <v>1.0617862724124074</v>
      </c>
      <c r="K241">
        <f t="shared" si="47"/>
        <v>0.99998818798383515</v>
      </c>
      <c r="L241">
        <f t="shared" si="48"/>
        <v>-1.1812085927259468E-5</v>
      </c>
      <c r="M241">
        <f t="shared" si="49"/>
        <v>0.65439672801635995</v>
      </c>
      <c r="N241">
        <f t="shared" si="50"/>
        <v>0.3456032719836401</v>
      </c>
      <c r="P241">
        <f t="shared" si="51"/>
        <v>744.5</v>
      </c>
      <c r="Q241">
        <f t="shared" si="52"/>
        <v>173</v>
      </c>
    </row>
    <row r="242" spans="1:17" x14ac:dyDescent="0.35">
      <c r="A242">
        <v>2022</v>
      </c>
      <c r="B242" s="15">
        <v>184</v>
      </c>
      <c r="C242" s="15">
        <v>38</v>
      </c>
      <c r="D242" s="12">
        <f t="shared" si="40"/>
        <v>23</v>
      </c>
      <c r="E242" s="27">
        <f t="shared" si="41"/>
        <v>0.46</v>
      </c>
      <c r="F242" s="27">
        <f t="shared" si="42"/>
        <v>0.76</v>
      </c>
      <c r="G242">
        <f t="shared" si="43"/>
        <v>61</v>
      </c>
      <c r="H242">
        <f t="shared" si="44"/>
        <v>1</v>
      </c>
      <c r="I242">
        <f t="shared" si="45"/>
        <v>9.5205736476712891E-2</v>
      </c>
      <c r="J242">
        <f t="shared" si="46"/>
        <v>0.83070826225106287</v>
      </c>
      <c r="K242">
        <f t="shared" si="47"/>
        <v>0.99999078721409196</v>
      </c>
      <c r="L242">
        <f t="shared" si="48"/>
        <v>-9.2128283460142744E-6</v>
      </c>
      <c r="M242">
        <f t="shared" si="49"/>
        <v>0.62295081967213117</v>
      </c>
      <c r="N242">
        <f t="shared" si="50"/>
        <v>0.37704918032786883</v>
      </c>
      <c r="P242">
        <f t="shared" si="51"/>
        <v>445</v>
      </c>
      <c r="Q242">
        <f t="shared" si="52"/>
        <v>297.5</v>
      </c>
    </row>
    <row r="243" spans="1:17" x14ac:dyDescent="0.35">
      <c r="A243">
        <v>2022</v>
      </c>
      <c r="B243" s="15">
        <v>237</v>
      </c>
      <c r="C243" s="15">
        <v>31</v>
      </c>
      <c r="D243" s="12">
        <f t="shared" si="40"/>
        <v>29.625</v>
      </c>
      <c r="E243" s="27">
        <f t="shared" si="41"/>
        <v>0.59250000000000003</v>
      </c>
      <c r="F243" s="27">
        <f t="shared" si="42"/>
        <v>0.62</v>
      </c>
      <c r="G243">
        <f t="shared" si="43"/>
        <v>60.625</v>
      </c>
      <c r="H243">
        <f t="shared" si="44"/>
        <v>1</v>
      </c>
      <c r="I243">
        <f t="shared" si="45"/>
        <v>1.9793835574577048</v>
      </c>
      <c r="J243">
        <f t="shared" si="46"/>
        <v>2.1935226686356796E-2</v>
      </c>
      <c r="K243">
        <f t="shared" si="47"/>
        <v>0.99999642848914083</v>
      </c>
      <c r="L243">
        <f t="shared" si="48"/>
        <v>-3.5715172370283864E-6</v>
      </c>
      <c r="M243">
        <f t="shared" si="49"/>
        <v>0.51134020618556697</v>
      </c>
      <c r="N243">
        <f t="shared" si="50"/>
        <v>0.48865979381443297</v>
      </c>
      <c r="P243">
        <f t="shared" si="51"/>
        <v>49</v>
      </c>
      <c r="Q243">
        <f t="shared" si="52"/>
        <v>605</v>
      </c>
    </row>
    <row r="244" spans="1:17" x14ac:dyDescent="0.35">
      <c r="A244">
        <v>2022</v>
      </c>
      <c r="B244" s="15">
        <v>165</v>
      </c>
      <c r="C244" s="15">
        <v>40</v>
      </c>
      <c r="D244" s="12">
        <f t="shared" si="40"/>
        <v>20.625</v>
      </c>
      <c r="E244" s="27">
        <f t="shared" si="41"/>
        <v>0.41249999999999998</v>
      </c>
      <c r="F244" s="27">
        <f t="shared" si="42"/>
        <v>0.8</v>
      </c>
      <c r="G244">
        <f t="shared" si="43"/>
        <v>60.625</v>
      </c>
      <c r="H244">
        <f t="shared" si="44"/>
        <v>1</v>
      </c>
      <c r="I244">
        <f t="shared" si="45"/>
        <v>-0.58025423708251056</v>
      </c>
      <c r="J244">
        <f t="shared" si="46"/>
        <v>1.0617862724124074</v>
      </c>
      <c r="K244">
        <f t="shared" si="47"/>
        <v>0.99997799638050855</v>
      </c>
      <c r="L244">
        <f t="shared" si="48"/>
        <v>-2.2003861574637303E-5</v>
      </c>
      <c r="M244">
        <f t="shared" si="49"/>
        <v>0.65979381443298968</v>
      </c>
      <c r="N244">
        <f t="shared" si="50"/>
        <v>0.34020618556701032</v>
      </c>
      <c r="P244">
        <f t="shared" si="51"/>
        <v>826.5</v>
      </c>
      <c r="Q244">
        <f t="shared" si="52"/>
        <v>173</v>
      </c>
    </row>
    <row r="245" spans="1:17" x14ac:dyDescent="0.35">
      <c r="A245">
        <v>2022</v>
      </c>
      <c r="B245" s="15">
        <v>195</v>
      </c>
      <c r="C245" s="15">
        <v>36</v>
      </c>
      <c r="D245" s="12">
        <f t="shared" si="40"/>
        <v>24.375</v>
      </c>
      <c r="E245" s="27">
        <f t="shared" si="41"/>
        <v>0.48749999999999999</v>
      </c>
      <c r="F245" s="27">
        <f t="shared" si="42"/>
        <v>0.72</v>
      </c>
      <c r="G245">
        <f t="shared" si="43"/>
        <v>60.375</v>
      </c>
      <c r="H245">
        <f t="shared" si="44"/>
        <v>1</v>
      </c>
      <c r="I245">
        <f t="shared" si="45"/>
        <v>0.48626151064257911</v>
      </c>
      <c r="J245">
        <f t="shared" si="46"/>
        <v>0.59963025208971832</v>
      </c>
      <c r="K245">
        <f t="shared" si="47"/>
        <v>0.99998661465701821</v>
      </c>
      <c r="L245">
        <f t="shared" si="48"/>
        <v>-1.3385432566289291E-5</v>
      </c>
      <c r="M245">
        <f t="shared" si="49"/>
        <v>0.59627329192546585</v>
      </c>
      <c r="N245">
        <f t="shared" si="50"/>
        <v>0.40372670807453415</v>
      </c>
      <c r="P245">
        <f t="shared" si="51"/>
        <v>282.5</v>
      </c>
      <c r="Q245">
        <f t="shared" si="52"/>
        <v>403.5</v>
      </c>
    </row>
    <row r="246" spans="1:17" x14ac:dyDescent="0.35">
      <c r="A246">
        <v>2022</v>
      </c>
      <c r="B246" s="15">
        <v>187</v>
      </c>
      <c r="C246" s="15">
        <v>37</v>
      </c>
      <c r="D246" s="12">
        <f t="shared" si="40"/>
        <v>23.375</v>
      </c>
      <c r="E246" s="27">
        <f t="shared" si="41"/>
        <v>0.46750000000000003</v>
      </c>
      <c r="F246" s="27">
        <f t="shared" si="42"/>
        <v>0.74</v>
      </c>
      <c r="G246">
        <f t="shared" si="43"/>
        <v>60.375</v>
      </c>
      <c r="H246">
        <f t="shared" si="44"/>
        <v>1</v>
      </c>
      <c r="I246">
        <f t="shared" si="45"/>
        <v>0.20185731124922185</v>
      </c>
      <c r="J246">
        <f t="shared" si="46"/>
        <v>0.71516925717039059</v>
      </c>
      <c r="K246">
        <f t="shared" si="47"/>
        <v>0.999983617992943</v>
      </c>
      <c r="L246">
        <f t="shared" si="48"/>
        <v>-1.6382141243546207E-5</v>
      </c>
      <c r="M246">
        <f t="shared" si="49"/>
        <v>0.61283643892339545</v>
      </c>
      <c r="N246">
        <f t="shared" si="50"/>
        <v>0.38716356107660455</v>
      </c>
      <c r="P246">
        <f t="shared" si="51"/>
        <v>393</v>
      </c>
      <c r="Q246">
        <f t="shared" si="52"/>
        <v>351</v>
      </c>
    </row>
    <row r="247" spans="1:17" x14ac:dyDescent="0.35">
      <c r="A247">
        <v>2022</v>
      </c>
      <c r="B247" s="15">
        <v>227</v>
      </c>
      <c r="C247" s="15">
        <v>32</v>
      </c>
      <c r="D247" s="12">
        <f t="shared" si="40"/>
        <v>28.375</v>
      </c>
      <c r="E247" s="27">
        <f t="shared" si="41"/>
        <v>0.5675</v>
      </c>
      <c r="F247" s="27">
        <f t="shared" si="42"/>
        <v>0.64</v>
      </c>
      <c r="G247">
        <f t="shared" si="43"/>
        <v>60.375</v>
      </c>
      <c r="H247">
        <f t="shared" si="44"/>
        <v>1</v>
      </c>
      <c r="I247">
        <f t="shared" si="45"/>
        <v>1.6238783082160082</v>
      </c>
      <c r="J247">
        <f t="shared" si="46"/>
        <v>0.13747423176702911</v>
      </c>
      <c r="K247">
        <f t="shared" si="47"/>
        <v>0.99999403408445409</v>
      </c>
      <c r="L247">
        <f t="shared" si="48"/>
        <v>-5.9659333420584554E-6</v>
      </c>
      <c r="M247">
        <f t="shared" si="49"/>
        <v>0.53002070393374745</v>
      </c>
      <c r="N247">
        <f t="shared" si="50"/>
        <v>0.46997929606625261</v>
      </c>
      <c r="P247">
        <f t="shared" si="51"/>
        <v>68.5</v>
      </c>
      <c r="Q247">
        <f t="shared" si="52"/>
        <v>564</v>
      </c>
    </row>
    <row r="248" spans="1:17" x14ac:dyDescent="0.35">
      <c r="A248">
        <v>2022</v>
      </c>
      <c r="B248" s="15">
        <v>211</v>
      </c>
      <c r="C248" s="15">
        <v>34</v>
      </c>
      <c r="D248" s="12">
        <f t="shared" si="40"/>
        <v>26.375</v>
      </c>
      <c r="E248" s="27">
        <f t="shared" si="41"/>
        <v>0.52749999999999997</v>
      </c>
      <c r="F248" s="27">
        <f t="shared" si="42"/>
        <v>0.68</v>
      </c>
      <c r="G248">
        <f t="shared" si="43"/>
        <v>60.375</v>
      </c>
      <c r="H248">
        <f t="shared" si="44"/>
        <v>1</v>
      </c>
      <c r="I248">
        <f t="shared" si="45"/>
        <v>1.0550699094292937</v>
      </c>
      <c r="J248">
        <f t="shared" si="46"/>
        <v>0.36855224192837371</v>
      </c>
      <c r="K248">
        <f t="shared" si="47"/>
        <v>0.9999910637847006</v>
      </c>
      <c r="L248">
        <f t="shared" si="48"/>
        <v>-8.9362552276141698E-6</v>
      </c>
      <c r="M248">
        <f t="shared" si="49"/>
        <v>0.56314699792960665</v>
      </c>
      <c r="N248">
        <f t="shared" si="50"/>
        <v>0.43685300207039335</v>
      </c>
      <c r="P248">
        <f t="shared" si="51"/>
        <v>128.5</v>
      </c>
      <c r="Q248">
        <f t="shared" si="52"/>
        <v>484.5</v>
      </c>
    </row>
    <row r="249" spans="1:17" x14ac:dyDescent="0.35">
      <c r="A249">
        <v>2022</v>
      </c>
      <c r="B249" s="15">
        <v>166</v>
      </c>
      <c r="C249" s="15">
        <v>39</v>
      </c>
      <c r="D249" s="12">
        <f t="shared" si="40"/>
        <v>20.75</v>
      </c>
      <c r="E249" s="27">
        <f t="shared" si="41"/>
        <v>0.41499999999999998</v>
      </c>
      <c r="F249" s="27">
        <f t="shared" si="42"/>
        <v>0.78</v>
      </c>
      <c r="G249">
        <f t="shared" si="43"/>
        <v>59.75</v>
      </c>
      <c r="H249">
        <f t="shared" si="44"/>
        <v>1</v>
      </c>
      <c r="I249">
        <f t="shared" si="45"/>
        <v>-0.5447037121583409</v>
      </c>
      <c r="J249">
        <f t="shared" si="46"/>
        <v>0.94624726733173525</v>
      </c>
      <c r="K249">
        <f t="shared" si="47"/>
        <v>0.99994659929468555</v>
      </c>
      <c r="L249">
        <f t="shared" si="48"/>
        <v>-5.3402131182880586E-5</v>
      </c>
      <c r="M249">
        <f t="shared" si="49"/>
        <v>0.65271966527196656</v>
      </c>
      <c r="N249">
        <f t="shared" si="50"/>
        <v>0.34728033472803349</v>
      </c>
      <c r="P249">
        <f t="shared" si="51"/>
        <v>809</v>
      </c>
      <c r="Q249">
        <f t="shared" si="52"/>
        <v>233</v>
      </c>
    </row>
    <row r="250" spans="1:17" x14ac:dyDescent="0.35">
      <c r="A250">
        <v>2022</v>
      </c>
      <c r="B250" s="15">
        <v>213</v>
      </c>
      <c r="C250" s="15">
        <v>33</v>
      </c>
      <c r="D250" s="12">
        <f t="shared" si="40"/>
        <v>26.625</v>
      </c>
      <c r="E250" s="27">
        <f t="shared" si="41"/>
        <v>0.53249999999999997</v>
      </c>
      <c r="F250" s="27">
        <f t="shared" si="42"/>
        <v>0.66</v>
      </c>
      <c r="G250">
        <f t="shared" si="43"/>
        <v>59.625</v>
      </c>
      <c r="H250">
        <f t="shared" si="44"/>
        <v>1</v>
      </c>
      <c r="I250">
        <f t="shared" si="45"/>
        <v>1.126170959277633</v>
      </c>
      <c r="J250">
        <f t="shared" si="46"/>
        <v>0.25301323684770138</v>
      </c>
      <c r="K250">
        <f t="shared" si="47"/>
        <v>0.99998143596769196</v>
      </c>
      <c r="L250">
        <f t="shared" si="48"/>
        <v>-1.8564204621824151E-5</v>
      </c>
      <c r="M250">
        <f t="shared" si="49"/>
        <v>0.55345911949685533</v>
      </c>
      <c r="N250">
        <f t="shared" si="50"/>
        <v>0.44654088050314467</v>
      </c>
      <c r="P250">
        <f t="shared" si="51"/>
        <v>116</v>
      </c>
      <c r="Q250">
        <f t="shared" si="52"/>
        <v>523.5</v>
      </c>
    </row>
    <row r="251" spans="1:17" x14ac:dyDescent="0.35">
      <c r="A251">
        <v>2022</v>
      </c>
      <c r="B251" s="15">
        <v>172</v>
      </c>
      <c r="C251" s="15">
        <v>38</v>
      </c>
      <c r="D251" s="12">
        <f t="shared" si="40"/>
        <v>21.5</v>
      </c>
      <c r="E251" s="27">
        <f t="shared" si="41"/>
        <v>0.43</v>
      </c>
      <c r="F251" s="27">
        <f t="shared" si="42"/>
        <v>0.76</v>
      </c>
      <c r="G251">
        <f t="shared" si="43"/>
        <v>59.5</v>
      </c>
      <c r="H251">
        <f t="shared" si="44"/>
        <v>1</v>
      </c>
      <c r="I251">
        <f t="shared" si="45"/>
        <v>-0.33140056261332301</v>
      </c>
      <c r="J251">
        <f t="shared" si="46"/>
        <v>0.83070826225106287</v>
      </c>
      <c r="K251">
        <f t="shared" si="47"/>
        <v>0.99994044850407038</v>
      </c>
      <c r="L251">
        <f t="shared" si="48"/>
        <v>-5.9553269190356018E-5</v>
      </c>
      <c r="M251">
        <f t="shared" si="49"/>
        <v>0.6386554621848739</v>
      </c>
      <c r="N251">
        <f t="shared" si="50"/>
        <v>0.36134453781512604</v>
      </c>
      <c r="P251">
        <f t="shared" si="51"/>
        <v>684</v>
      </c>
      <c r="Q251">
        <f t="shared" si="52"/>
        <v>297.5</v>
      </c>
    </row>
    <row r="252" spans="1:17" x14ac:dyDescent="0.35">
      <c r="A252">
        <v>2022</v>
      </c>
      <c r="B252" s="15">
        <v>185</v>
      </c>
      <c r="C252" s="15">
        <v>36</v>
      </c>
      <c r="D252" s="12">
        <f t="shared" si="40"/>
        <v>23.125</v>
      </c>
      <c r="E252" s="27">
        <f t="shared" si="41"/>
        <v>0.46250000000000002</v>
      </c>
      <c r="F252" s="27">
        <f t="shared" si="42"/>
        <v>0.72</v>
      </c>
      <c r="G252">
        <f t="shared" si="43"/>
        <v>59.125</v>
      </c>
      <c r="H252">
        <f t="shared" si="44"/>
        <v>1</v>
      </c>
      <c r="I252">
        <f t="shared" si="45"/>
        <v>0.13075626140088253</v>
      </c>
      <c r="J252">
        <f t="shared" si="46"/>
        <v>0.59963025208971832</v>
      </c>
      <c r="K252">
        <f t="shared" si="47"/>
        <v>0.99993660659430783</v>
      </c>
      <c r="L252">
        <f t="shared" si="48"/>
        <v>-6.3395415139036088E-5</v>
      </c>
      <c r="M252">
        <f t="shared" si="49"/>
        <v>0.60887949260042284</v>
      </c>
      <c r="N252">
        <f t="shared" si="50"/>
        <v>0.39112050739957716</v>
      </c>
      <c r="P252">
        <f t="shared" si="51"/>
        <v>428.5</v>
      </c>
      <c r="Q252">
        <f t="shared" si="52"/>
        <v>403.5</v>
      </c>
    </row>
    <row r="253" spans="1:17" x14ac:dyDescent="0.35">
      <c r="A253">
        <v>2022</v>
      </c>
      <c r="B253" s="15">
        <v>185</v>
      </c>
      <c r="C253" s="15">
        <v>36</v>
      </c>
      <c r="D253" s="12">
        <f t="shared" si="40"/>
        <v>23.125</v>
      </c>
      <c r="E253" s="27">
        <f t="shared" si="41"/>
        <v>0.46250000000000002</v>
      </c>
      <c r="F253" s="27">
        <f t="shared" si="42"/>
        <v>0.72</v>
      </c>
      <c r="G253">
        <f t="shared" si="43"/>
        <v>59.125</v>
      </c>
      <c r="H253">
        <f t="shared" si="44"/>
        <v>1</v>
      </c>
      <c r="I253">
        <f t="shared" si="45"/>
        <v>0.13075626140088253</v>
      </c>
      <c r="J253">
        <f t="shared" si="46"/>
        <v>0.59963025208971832</v>
      </c>
      <c r="K253">
        <f t="shared" si="47"/>
        <v>0.99993660659430783</v>
      </c>
      <c r="L253">
        <f t="shared" si="48"/>
        <v>-6.3395415139036088E-5</v>
      </c>
      <c r="M253">
        <f t="shared" si="49"/>
        <v>0.60887949260042284</v>
      </c>
      <c r="N253">
        <f t="shared" si="50"/>
        <v>0.39112050739957716</v>
      </c>
      <c r="P253">
        <f t="shared" si="51"/>
        <v>428.5</v>
      </c>
      <c r="Q253">
        <f t="shared" si="52"/>
        <v>403.5</v>
      </c>
    </row>
    <row r="254" spans="1:17" x14ac:dyDescent="0.35">
      <c r="A254">
        <v>2022</v>
      </c>
      <c r="B254" s="15">
        <v>177</v>
      </c>
      <c r="C254" s="15">
        <v>37</v>
      </c>
      <c r="D254" s="12">
        <f t="shared" si="40"/>
        <v>22.125</v>
      </c>
      <c r="E254" s="27">
        <f t="shared" si="41"/>
        <v>0.4425</v>
      </c>
      <c r="F254" s="27">
        <f t="shared" si="42"/>
        <v>0.74</v>
      </c>
      <c r="G254">
        <f t="shared" si="43"/>
        <v>59.125</v>
      </c>
      <c r="H254">
        <f t="shared" si="44"/>
        <v>1</v>
      </c>
      <c r="I254">
        <f t="shared" si="45"/>
        <v>-0.15364793799247473</v>
      </c>
      <c r="J254">
        <f t="shared" si="46"/>
        <v>0.71516925717039059</v>
      </c>
      <c r="K254">
        <f t="shared" si="47"/>
        <v>0.9999224151675441</v>
      </c>
      <c r="L254">
        <f t="shared" si="48"/>
        <v>-7.7587842314695628E-5</v>
      </c>
      <c r="M254">
        <f t="shared" si="49"/>
        <v>0.62579281183932345</v>
      </c>
      <c r="N254">
        <f t="shared" si="50"/>
        <v>0.37420718816067655</v>
      </c>
      <c r="P254">
        <f t="shared" si="51"/>
        <v>585</v>
      </c>
      <c r="Q254">
        <f t="shared" si="52"/>
        <v>351</v>
      </c>
    </row>
    <row r="255" spans="1:17" x14ac:dyDescent="0.35">
      <c r="A255">
        <v>2022</v>
      </c>
      <c r="B255" s="15">
        <v>193</v>
      </c>
      <c r="C255" s="15">
        <v>35</v>
      </c>
      <c r="D255" s="12">
        <f t="shared" si="40"/>
        <v>24.125</v>
      </c>
      <c r="E255" s="27">
        <f t="shared" si="41"/>
        <v>0.48249999999999998</v>
      </c>
      <c r="F255" s="27">
        <f t="shared" si="42"/>
        <v>0.7</v>
      </c>
      <c r="G255">
        <f t="shared" si="43"/>
        <v>59.125</v>
      </c>
      <c r="H255">
        <f t="shared" si="44"/>
        <v>1</v>
      </c>
      <c r="I255">
        <f t="shared" si="45"/>
        <v>0.41516046079423979</v>
      </c>
      <c r="J255">
        <f t="shared" si="46"/>
        <v>0.48409124700904599</v>
      </c>
      <c r="K255">
        <f t="shared" si="47"/>
        <v>0.99994820233123716</v>
      </c>
      <c r="L255">
        <f t="shared" si="48"/>
        <v>-5.179901030841376E-5</v>
      </c>
      <c r="M255">
        <f t="shared" si="49"/>
        <v>0.59196617336152224</v>
      </c>
      <c r="N255">
        <f t="shared" si="50"/>
        <v>0.40803382663847781</v>
      </c>
      <c r="P255">
        <f t="shared" si="51"/>
        <v>307</v>
      </c>
      <c r="Q255">
        <f t="shared" si="52"/>
        <v>448.5</v>
      </c>
    </row>
    <row r="256" spans="1:17" x14ac:dyDescent="0.35">
      <c r="A256">
        <v>2022</v>
      </c>
      <c r="B256" s="15">
        <v>193</v>
      </c>
      <c r="C256" s="15">
        <v>35</v>
      </c>
      <c r="D256" s="12">
        <f t="shared" si="40"/>
        <v>24.125</v>
      </c>
      <c r="E256" s="27">
        <f t="shared" si="41"/>
        <v>0.48249999999999998</v>
      </c>
      <c r="F256" s="27">
        <f t="shared" si="42"/>
        <v>0.7</v>
      </c>
      <c r="G256">
        <f t="shared" si="43"/>
        <v>59.125</v>
      </c>
      <c r="H256">
        <f t="shared" si="44"/>
        <v>1</v>
      </c>
      <c r="I256">
        <f t="shared" si="45"/>
        <v>0.41516046079423979</v>
      </c>
      <c r="J256">
        <f t="shared" si="46"/>
        <v>0.48409124700904599</v>
      </c>
      <c r="K256">
        <f t="shared" si="47"/>
        <v>0.99994820233123716</v>
      </c>
      <c r="L256">
        <f t="shared" si="48"/>
        <v>-5.179901030841376E-5</v>
      </c>
      <c r="M256">
        <f t="shared" si="49"/>
        <v>0.59196617336152224</v>
      </c>
      <c r="N256">
        <f t="shared" si="50"/>
        <v>0.40803382663847781</v>
      </c>
      <c r="P256">
        <f t="shared" si="51"/>
        <v>307</v>
      </c>
      <c r="Q256">
        <f t="shared" si="52"/>
        <v>448.5</v>
      </c>
    </row>
    <row r="257" spans="1:17" x14ac:dyDescent="0.35">
      <c r="A257">
        <v>2022</v>
      </c>
      <c r="B257" s="15">
        <v>169</v>
      </c>
      <c r="C257" s="15">
        <v>38</v>
      </c>
      <c r="D257" s="12">
        <f t="shared" si="40"/>
        <v>21.125</v>
      </c>
      <c r="E257" s="27">
        <f t="shared" si="41"/>
        <v>0.42249999999999999</v>
      </c>
      <c r="F257" s="27">
        <f t="shared" si="42"/>
        <v>0.76</v>
      </c>
      <c r="G257">
        <f t="shared" si="43"/>
        <v>59.125</v>
      </c>
      <c r="H257">
        <f t="shared" si="44"/>
        <v>1</v>
      </c>
      <c r="I257">
        <f t="shared" si="45"/>
        <v>-0.43805213738583199</v>
      </c>
      <c r="J257">
        <f t="shared" si="46"/>
        <v>0.83070826225106287</v>
      </c>
      <c r="K257">
        <f t="shared" si="47"/>
        <v>0.99990504710959949</v>
      </c>
      <c r="L257">
        <f t="shared" si="48"/>
        <v>-9.4957398711597327E-5</v>
      </c>
      <c r="M257">
        <f t="shared" si="49"/>
        <v>0.64270613107822405</v>
      </c>
      <c r="N257">
        <f t="shared" si="50"/>
        <v>0.35729386892177589</v>
      </c>
      <c r="P257">
        <f t="shared" si="51"/>
        <v>744.5</v>
      </c>
      <c r="Q257">
        <f t="shared" si="52"/>
        <v>297.5</v>
      </c>
    </row>
    <row r="258" spans="1:17" x14ac:dyDescent="0.35">
      <c r="A258">
        <v>2022</v>
      </c>
      <c r="B258" s="15">
        <v>192</v>
      </c>
      <c r="C258" s="15">
        <v>35</v>
      </c>
      <c r="D258" s="12">
        <f t="shared" si="40"/>
        <v>24</v>
      </c>
      <c r="E258" s="27">
        <f t="shared" si="41"/>
        <v>0.48</v>
      </c>
      <c r="F258" s="27">
        <f t="shared" si="42"/>
        <v>0.7</v>
      </c>
      <c r="G258">
        <f t="shared" si="43"/>
        <v>59</v>
      </c>
      <c r="H258">
        <f t="shared" si="44"/>
        <v>1</v>
      </c>
      <c r="I258">
        <f t="shared" si="45"/>
        <v>0.37960993587007014</v>
      </c>
      <c r="J258">
        <f t="shared" si="46"/>
        <v>0.48409124700904599</v>
      </c>
      <c r="K258">
        <f t="shared" si="47"/>
        <v>0.99993948680847211</v>
      </c>
      <c r="L258">
        <f t="shared" si="48"/>
        <v>-6.0515022524930054E-5</v>
      </c>
      <c r="M258">
        <f t="shared" si="49"/>
        <v>0.59322033898305082</v>
      </c>
      <c r="N258">
        <f t="shared" si="50"/>
        <v>0.40677966101694918</v>
      </c>
      <c r="P258">
        <f t="shared" si="51"/>
        <v>318.5</v>
      </c>
      <c r="Q258">
        <f t="shared" si="52"/>
        <v>448.5</v>
      </c>
    </row>
    <row r="259" spans="1:17" x14ac:dyDescent="0.35">
      <c r="A259">
        <v>2022</v>
      </c>
      <c r="B259" s="15">
        <v>176</v>
      </c>
      <c r="C259" s="15">
        <v>37</v>
      </c>
      <c r="D259" s="12">
        <f t="shared" ref="D259:D322" si="53">B259/8</f>
        <v>22</v>
      </c>
      <c r="E259" s="27">
        <f t="shared" ref="E259:E322" si="54">B259/400</f>
        <v>0.44</v>
      </c>
      <c r="F259" s="27">
        <f t="shared" ref="F259:F322" si="55">C259/50</f>
        <v>0.74</v>
      </c>
      <c r="G259">
        <f t="shared" ref="G259:G322" si="56">SUM(C259+D259)</f>
        <v>59</v>
      </c>
      <c r="H259">
        <f t="shared" ref="H259:H322" si="57">IF(G259&gt;=50,1,0)</f>
        <v>1</v>
      </c>
      <c r="I259">
        <f t="shared" ref="I259:I322" si="58" xml:space="preserve"> (D:D - AVERAGE(D:D)) / STDEV(D:D)</f>
        <v>-0.18919846291664436</v>
      </c>
      <c r="J259">
        <f t="shared" ref="J259:J322" si="59" xml:space="preserve"> (C:C - AVERAGE(C:C)) / STDEV(C:C)</f>
        <v>0.71516925717039059</v>
      </c>
      <c r="K259">
        <f t="shared" ref="K259:K322" si="60">1/(1+EXP(-($AD$25 +$AD$26 * I259 +$AD$27 * J259 )))</f>
        <v>0.9999093610665083</v>
      </c>
      <c r="L259">
        <f t="shared" ref="L259:L322" si="61">IF(K259=0, -1000, IF(K259=1, -1000, H259 * LN(K259) + (1 - H259) * LN(1 - K259)))</f>
        <v>-9.0643041448065919E-5</v>
      </c>
      <c r="M259">
        <f t="shared" ref="M259:M322" si="62">IF(G259=0, 0,  C259  / G259 )</f>
        <v>0.6271186440677966</v>
      </c>
      <c r="N259">
        <f t="shared" ref="N259:N322" si="63">IF(G259=0, 0,  D259  / G259 )</f>
        <v>0.3728813559322034</v>
      </c>
      <c r="P259">
        <f t="shared" ref="P259:P322" si="64">_xlfn.RANK.AVG(B259,$B$2:$B$1144)</f>
        <v>607.5</v>
      </c>
      <c r="Q259">
        <f t="shared" ref="Q259:Q322" si="65">_xlfn.RANK.AVG(C259,$C$2:$C$1144)</f>
        <v>351</v>
      </c>
    </row>
    <row r="260" spans="1:17" x14ac:dyDescent="0.35">
      <c r="A260">
        <v>2022</v>
      </c>
      <c r="B260" s="15">
        <v>175</v>
      </c>
      <c r="C260" s="15">
        <v>37</v>
      </c>
      <c r="D260" s="12">
        <f t="shared" si="53"/>
        <v>21.875</v>
      </c>
      <c r="E260" s="27">
        <f t="shared" si="54"/>
        <v>0.4375</v>
      </c>
      <c r="F260" s="27">
        <f t="shared" si="55"/>
        <v>0.74</v>
      </c>
      <c r="G260">
        <f t="shared" si="56"/>
        <v>58.875</v>
      </c>
      <c r="H260">
        <f t="shared" si="57"/>
        <v>1</v>
      </c>
      <c r="I260">
        <f t="shared" si="58"/>
        <v>-0.22474898784081401</v>
      </c>
      <c r="J260">
        <f t="shared" si="59"/>
        <v>0.71516925717039059</v>
      </c>
      <c r="K260">
        <f t="shared" si="60"/>
        <v>0.99989411076935375</v>
      </c>
      <c r="L260">
        <f t="shared" si="61"/>
        <v>-1.0589483730662689E-4</v>
      </c>
      <c r="M260">
        <f t="shared" si="62"/>
        <v>0.6284501061571125</v>
      </c>
      <c r="N260">
        <f t="shared" si="63"/>
        <v>0.37154989384288745</v>
      </c>
      <c r="P260">
        <f t="shared" si="64"/>
        <v>631.5</v>
      </c>
      <c r="Q260">
        <f t="shared" si="65"/>
        <v>351</v>
      </c>
    </row>
    <row r="261" spans="1:17" x14ac:dyDescent="0.35">
      <c r="A261">
        <v>2022</v>
      </c>
      <c r="B261" s="15">
        <v>207</v>
      </c>
      <c r="C261" s="15">
        <v>33</v>
      </c>
      <c r="D261" s="12">
        <f t="shared" si="53"/>
        <v>25.875</v>
      </c>
      <c r="E261" s="27">
        <f t="shared" si="54"/>
        <v>0.51749999999999996</v>
      </c>
      <c r="F261" s="27">
        <f t="shared" si="55"/>
        <v>0.66</v>
      </c>
      <c r="G261">
        <f t="shared" si="56"/>
        <v>58.875</v>
      </c>
      <c r="H261">
        <f t="shared" si="57"/>
        <v>1</v>
      </c>
      <c r="I261">
        <f t="shared" si="58"/>
        <v>0.91286780973261505</v>
      </c>
      <c r="J261">
        <f t="shared" si="59"/>
        <v>0.25301323684770138</v>
      </c>
      <c r="K261">
        <f t="shared" si="60"/>
        <v>0.99995280221047667</v>
      </c>
      <c r="L261">
        <f t="shared" si="61"/>
        <v>-4.7198903374050029E-5</v>
      </c>
      <c r="M261">
        <f t="shared" si="62"/>
        <v>0.56050955414012738</v>
      </c>
      <c r="N261">
        <f t="shared" si="63"/>
        <v>0.43949044585987262</v>
      </c>
      <c r="P261">
        <f t="shared" si="64"/>
        <v>168</v>
      </c>
      <c r="Q261">
        <f t="shared" si="65"/>
        <v>523.5</v>
      </c>
    </row>
    <row r="262" spans="1:17" x14ac:dyDescent="0.35">
      <c r="A262">
        <v>2022</v>
      </c>
      <c r="B262" s="15">
        <v>167</v>
      </c>
      <c r="C262" s="15">
        <v>38</v>
      </c>
      <c r="D262" s="12">
        <f t="shared" si="53"/>
        <v>20.875</v>
      </c>
      <c r="E262" s="27">
        <f t="shared" si="54"/>
        <v>0.41749999999999998</v>
      </c>
      <c r="F262" s="27">
        <f t="shared" si="55"/>
        <v>0.76</v>
      </c>
      <c r="G262">
        <f t="shared" si="56"/>
        <v>58.875</v>
      </c>
      <c r="H262">
        <f t="shared" si="57"/>
        <v>1</v>
      </c>
      <c r="I262">
        <f t="shared" si="58"/>
        <v>-0.50915318723417125</v>
      </c>
      <c r="J262">
        <f t="shared" si="59"/>
        <v>0.83070826225106287</v>
      </c>
      <c r="K262">
        <f t="shared" si="60"/>
        <v>0.99987040734016974</v>
      </c>
      <c r="L262">
        <f t="shared" si="61"/>
        <v>-1.2960105768453997E-4</v>
      </c>
      <c r="M262">
        <f t="shared" si="62"/>
        <v>0.64543524416135878</v>
      </c>
      <c r="N262">
        <f t="shared" si="63"/>
        <v>0.35456475583864117</v>
      </c>
      <c r="P262">
        <f t="shared" si="64"/>
        <v>789.5</v>
      </c>
      <c r="Q262">
        <f t="shared" si="65"/>
        <v>297.5</v>
      </c>
    </row>
    <row r="263" spans="1:17" x14ac:dyDescent="0.35">
      <c r="A263">
        <v>2022</v>
      </c>
      <c r="B263" s="15">
        <v>171</v>
      </c>
      <c r="C263" s="15">
        <v>37</v>
      </c>
      <c r="D263" s="12">
        <f t="shared" si="53"/>
        <v>21.375</v>
      </c>
      <c r="E263" s="27">
        <f t="shared" si="54"/>
        <v>0.42749999999999999</v>
      </c>
      <c r="F263" s="27">
        <f t="shared" si="55"/>
        <v>0.74</v>
      </c>
      <c r="G263">
        <f t="shared" si="56"/>
        <v>58.375</v>
      </c>
      <c r="H263">
        <f t="shared" si="57"/>
        <v>1</v>
      </c>
      <c r="I263">
        <f t="shared" si="58"/>
        <v>-0.36695108753749267</v>
      </c>
      <c r="J263">
        <f t="shared" si="59"/>
        <v>0.71516925717039059</v>
      </c>
      <c r="K263">
        <f t="shared" si="60"/>
        <v>0.99980276379620281</v>
      </c>
      <c r="L263">
        <f t="shared" si="61"/>
        <v>-1.9725565741524894E-4</v>
      </c>
      <c r="M263">
        <f t="shared" si="62"/>
        <v>0.63383297644539616</v>
      </c>
      <c r="N263">
        <f t="shared" si="63"/>
        <v>0.36616702355460384</v>
      </c>
      <c r="P263">
        <f t="shared" si="64"/>
        <v>700</v>
      </c>
      <c r="Q263">
        <f t="shared" si="65"/>
        <v>351</v>
      </c>
    </row>
    <row r="264" spans="1:17" x14ac:dyDescent="0.35">
      <c r="A264">
        <v>2022</v>
      </c>
      <c r="B264" s="15">
        <v>162</v>
      </c>
      <c r="C264" s="15">
        <v>38</v>
      </c>
      <c r="D264" s="12">
        <f t="shared" si="53"/>
        <v>20.25</v>
      </c>
      <c r="E264" s="27">
        <f t="shared" si="54"/>
        <v>0.40500000000000003</v>
      </c>
      <c r="F264" s="27">
        <f t="shared" si="55"/>
        <v>0.76</v>
      </c>
      <c r="G264">
        <f t="shared" si="56"/>
        <v>58.25</v>
      </c>
      <c r="H264">
        <f t="shared" si="57"/>
        <v>1</v>
      </c>
      <c r="I264">
        <f t="shared" si="58"/>
        <v>-0.68690581185501953</v>
      </c>
      <c r="J264">
        <f t="shared" si="59"/>
        <v>0.83070826225106287</v>
      </c>
      <c r="K264">
        <f t="shared" si="60"/>
        <v>0.99971801087839929</v>
      </c>
      <c r="L264">
        <f t="shared" si="61"/>
        <v>-2.8202888800903461E-4</v>
      </c>
      <c r="M264">
        <f t="shared" si="62"/>
        <v>0.6523605150214592</v>
      </c>
      <c r="N264">
        <f t="shared" si="63"/>
        <v>0.34763948497854075</v>
      </c>
      <c r="P264">
        <f t="shared" si="64"/>
        <v>876</v>
      </c>
      <c r="Q264">
        <f t="shared" si="65"/>
        <v>297.5</v>
      </c>
    </row>
    <row r="265" spans="1:17" x14ac:dyDescent="0.35">
      <c r="A265">
        <v>2022</v>
      </c>
      <c r="B265" s="15">
        <v>169</v>
      </c>
      <c r="C265" s="15">
        <v>37</v>
      </c>
      <c r="D265" s="12">
        <f t="shared" si="53"/>
        <v>21.125</v>
      </c>
      <c r="E265" s="27">
        <f t="shared" si="54"/>
        <v>0.42249999999999999</v>
      </c>
      <c r="F265" s="27">
        <f t="shared" si="55"/>
        <v>0.74</v>
      </c>
      <c r="G265">
        <f t="shared" si="56"/>
        <v>58.125</v>
      </c>
      <c r="H265">
        <f t="shared" si="57"/>
        <v>1</v>
      </c>
      <c r="I265">
        <f t="shared" si="58"/>
        <v>-0.43805213738583199</v>
      </c>
      <c r="J265">
        <f t="shared" si="59"/>
        <v>0.71516925717039059</v>
      </c>
      <c r="K265">
        <f t="shared" si="60"/>
        <v>0.99973082009043479</v>
      </c>
      <c r="L265">
        <f t="shared" si="61"/>
        <v>-2.692161449797756E-4</v>
      </c>
      <c r="M265">
        <f t="shared" si="62"/>
        <v>0.63655913978494627</v>
      </c>
      <c r="N265">
        <f t="shared" si="63"/>
        <v>0.36344086021505378</v>
      </c>
      <c r="P265">
        <f t="shared" si="64"/>
        <v>744.5</v>
      </c>
      <c r="Q265">
        <f t="shared" si="65"/>
        <v>351</v>
      </c>
    </row>
    <row r="266" spans="1:17" x14ac:dyDescent="0.35">
      <c r="A266">
        <v>2022</v>
      </c>
      <c r="B266" s="15">
        <v>216</v>
      </c>
      <c r="C266" s="15">
        <v>31</v>
      </c>
      <c r="D266" s="12">
        <f t="shared" si="53"/>
        <v>27</v>
      </c>
      <c r="E266" s="27">
        <f t="shared" si="54"/>
        <v>0.54</v>
      </c>
      <c r="F266" s="27">
        <f t="shared" si="55"/>
        <v>0.62</v>
      </c>
      <c r="G266">
        <f t="shared" si="56"/>
        <v>58</v>
      </c>
      <c r="H266">
        <f t="shared" si="57"/>
        <v>1</v>
      </c>
      <c r="I266">
        <f t="shared" si="58"/>
        <v>1.232822534050142</v>
      </c>
      <c r="J266">
        <f t="shared" si="59"/>
        <v>2.1935226686356796E-2</v>
      </c>
      <c r="K266">
        <f t="shared" si="60"/>
        <v>0.99990641007334602</v>
      </c>
      <c r="L266">
        <f t="shared" si="61"/>
        <v>-9.3594306464439247E-5</v>
      </c>
      <c r="M266">
        <f t="shared" si="62"/>
        <v>0.53448275862068961</v>
      </c>
      <c r="N266">
        <f t="shared" si="63"/>
        <v>0.46551724137931033</v>
      </c>
      <c r="P266">
        <f t="shared" si="64"/>
        <v>98.5</v>
      </c>
      <c r="Q266">
        <f t="shared" si="65"/>
        <v>605</v>
      </c>
    </row>
    <row r="267" spans="1:17" x14ac:dyDescent="0.35">
      <c r="A267">
        <v>2022</v>
      </c>
      <c r="B267" s="15">
        <v>167</v>
      </c>
      <c r="C267" s="15">
        <v>37</v>
      </c>
      <c r="D267" s="12">
        <f t="shared" si="53"/>
        <v>20.875</v>
      </c>
      <c r="E267" s="27">
        <f t="shared" si="54"/>
        <v>0.41749999999999998</v>
      </c>
      <c r="F267" s="27">
        <f t="shared" si="55"/>
        <v>0.74</v>
      </c>
      <c r="G267">
        <f t="shared" si="56"/>
        <v>57.875</v>
      </c>
      <c r="H267">
        <f t="shared" si="57"/>
        <v>1</v>
      </c>
      <c r="I267">
        <f t="shared" si="58"/>
        <v>-0.50915318723417125</v>
      </c>
      <c r="J267">
        <f t="shared" si="59"/>
        <v>0.71516925717039059</v>
      </c>
      <c r="K267">
        <f t="shared" si="60"/>
        <v>0.99963264390336937</v>
      </c>
      <c r="L267">
        <f t="shared" si="61"/>
        <v>-3.6742358841101655E-4</v>
      </c>
      <c r="M267">
        <f t="shared" si="62"/>
        <v>0.63930885529157666</v>
      </c>
      <c r="N267">
        <f t="shared" si="63"/>
        <v>0.36069114470842334</v>
      </c>
      <c r="P267">
        <f t="shared" si="64"/>
        <v>789.5</v>
      </c>
      <c r="Q267">
        <f t="shared" si="65"/>
        <v>351</v>
      </c>
    </row>
    <row r="268" spans="1:17" x14ac:dyDescent="0.35">
      <c r="A268">
        <v>2022</v>
      </c>
      <c r="B268" s="15">
        <v>167</v>
      </c>
      <c r="C268" s="15">
        <v>37</v>
      </c>
      <c r="D268" s="12">
        <f t="shared" si="53"/>
        <v>20.875</v>
      </c>
      <c r="E268" s="27">
        <f t="shared" si="54"/>
        <v>0.41749999999999998</v>
      </c>
      <c r="F268" s="27">
        <f t="shared" si="55"/>
        <v>0.74</v>
      </c>
      <c r="G268">
        <f t="shared" si="56"/>
        <v>57.875</v>
      </c>
      <c r="H268">
        <f t="shared" si="57"/>
        <v>1</v>
      </c>
      <c r="I268">
        <f t="shared" si="58"/>
        <v>-0.50915318723417125</v>
      </c>
      <c r="J268">
        <f t="shared" si="59"/>
        <v>0.71516925717039059</v>
      </c>
      <c r="K268">
        <f t="shared" si="60"/>
        <v>0.99963264390336937</v>
      </c>
      <c r="L268">
        <f t="shared" si="61"/>
        <v>-3.6742358841101655E-4</v>
      </c>
      <c r="M268">
        <f t="shared" si="62"/>
        <v>0.63930885529157666</v>
      </c>
      <c r="N268">
        <f t="shared" si="63"/>
        <v>0.36069114470842334</v>
      </c>
      <c r="P268">
        <f t="shared" si="64"/>
        <v>789.5</v>
      </c>
      <c r="Q268">
        <f t="shared" si="65"/>
        <v>351</v>
      </c>
    </row>
    <row r="269" spans="1:17" x14ac:dyDescent="0.35">
      <c r="A269">
        <v>2022</v>
      </c>
      <c r="B269" s="15">
        <v>173</v>
      </c>
      <c r="C269" s="15">
        <v>36</v>
      </c>
      <c r="D269" s="12">
        <f t="shared" si="53"/>
        <v>21.625</v>
      </c>
      <c r="E269" s="27">
        <f t="shared" si="54"/>
        <v>0.4325</v>
      </c>
      <c r="F269" s="27">
        <f t="shared" si="55"/>
        <v>0.72</v>
      </c>
      <c r="G269">
        <f t="shared" si="56"/>
        <v>57.625</v>
      </c>
      <c r="H269">
        <f t="shared" si="57"/>
        <v>1</v>
      </c>
      <c r="I269">
        <f t="shared" si="58"/>
        <v>-0.29585003768915336</v>
      </c>
      <c r="J269">
        <f t="shared" si="59"/>
        <v>0.59963025208971832</v>
      </c>
      <c r="K269">
        <f t="shared" si="60"/>
        <v>0.99959034597295993</v>
      </c>
      <c r="L269">
        <f t="shared" si="61"/>
        <v>-4.0973795817360954E-4</v>
      </c>
      <c r="M269">
        <f t="shared" si="62"/>
        <v>0.62472885032537961</v>
      </c>
      <c r="N269">
        <f t="shared" si="63"/>
        <v>0.37527114967462039</v>
      </c>
      <c r="P269">
        <f t="shared" si="64"/>
        <v>669</v>
      </c>
      <c r="Q269">
        <f t="shared" si="65"/>
        <v>403.5</v>
      </c>
    </row>
    <row r="270" spans="1:17" x14ac:dyDescent="0.35">
      <c r="A270">
        <v>2022</v>
      </c>
      <c r="B270" s="15">
        <v>189</v>
      </c>
      <c r="C270" s="15">
        <v>34</v>
      </c>
      <c r="D270" s="12">
        <f t="shared" si="53"/>
        <v>23.625</v>
      </c>
      <c r="E270" s="27">
        <f t="shared" si="54"/>
        <v>0.47249999999999998</v>
      </c>
      <c r="F270" s="27">
        <f t="shared" si="55"/>
        <v>0.68</v>
      </c>
      <c r="G270">
        <f t="shared" si="56"/>
        <v>57.625</v>
      </c>
      <c r="H270">
        <f t="shared" si="57"/>
        <v>1</v>
      </c>
      <c r="I270">
        <f t="shared" si="58"/>
        <v>0.27295836109756116</v>
      </c>
      <c r="J270">
        <f t="shared" si="59"/>
        <v>0.36855224192837371</v>
      </c>
      <c r="K270">
        <f t="shared" si="60"/>
        <v>0.99972647403691683</v>
      </c>
      <c r="L270">
        <f t="shared" si="61"/>
        <v>-2.7356337813221949E-4</v>
      </c>
      <c r="M270">
        <f t="shared" si="62"/>
        <v>0.59002169197396959</v>
      </c>
      <c r="N270">
        <f t="shared" si="63"/>
        <v>0.40997830802603036</v>
      </c>
      <c r="P270">
        <f t="shared" si="64"/>
        <v>357.5</v>
      </c>
      <c r="Q270">
        <f t="shared" si="65"/>
        <v>484.5</v>
      </c>
    </row>
    <row r="271" spans="1:17" x14ac:dyDescent="0.35">
      <c r="A271">
        <v>2022</v>
      </c>
      <c r="B271" s="15">
        <v>164</v>
      </c>
      <c r="C271" s="15">
        <v>37</v>
      </c>
      <c r="D271" s="12">
        <f t="shared" si="53"/>
        <v>20.5</v>
      </c>
      <c r="E271" s="27">
        <f t="shared" si="54"/>
        <v>0.41</v>
      </c>
      <c r="F271" s="27">
        <f t="shared" si="55"/>
        <v>0.74</v>
      </c>
      <c r="G271">
        <f t="shared" si="56"/>
        <v>57.5</v>
      </c>
      <c r="H271">
        <f t="shared" si="57"/>
        <v>1</v>
      </c>
      <c r="I271">
        <f t="shared" si="58"/>
        <v>-0.61580476200668022</v>
      </c>
      <c r="J271">
        <f t="shared" si="59"/>
        <v>0.71516925717039059</v>
      </c>
      <c r="K271">
        <f t="shared" si="60"/>
        <v>0.9994143700201723</v>
      </c>
      <c r="L271">
        <f t="shared" si="61"/>
        <v>-5.8580152804345352E-4</v>
      </c>
      <c r="M271">
        <f t="shared" si="62"/>
        <v>0.64347826086956517</v>
      </c>
      <c r="N271">
        <f t="shared" si="63"/>
        <v>0.35652173913043478</v>
      </c>
      <c r="P271">
        <f t="shared" si="64"/>
        <v>844.5</v>
      </c>
      <c r="Q271">
        <f t="shared" si="65"/>
        <v>351</v>
      </c>
    </row>
    <row r="272" spans="1:17" x14ac:dyDescent="0.35">
      <c r="A272">
        <v>2022</v>
      </c>
      <c r="B272" s="15">
        <v>171</v>
      </c>
      <c r="C272" s="15">
        <v>36</v>
      </c>
      <c r="D272" s="12">
        <f t="shared" si="53"/>
        <v>21.375</v>
      </c>
      <c r="E272" s="27">
        <f t="shared" si="54"/>
        <v>0.42749999999999999</v>
      </c>
      <c r="F272" s="27">
        <f t="shared" si="55"/>
        <v>0.72</v>
      </c>
      <c r="G272">
        <f t="shared" si="56"/>
        <v>57.375</v>
      </c>
      <c r="H272">
        <f t="shared" si="57"/>
        <v>1</v>
      </c>
      <c r="I272">
        <f t="shared" si="58"/>
        <v>-0.36695108753749267</v>
      </c>
      <c r="J272">
        <f t="shared" si="59"/>
        <v>0.59963025208971832</v>
      </c>
      <c r="K272">
        <f t="shared" si="60"/>
        <v>0.99944096425053242</v>
      </c>
      <c r="L272">
        <f t="shared" si="61"/>
        <v>-5.5919206821340229E-4</v>
      </c>
      <c r="M272">
        <f t="shared" si="62"/>
        <v>0.62745098039215685</v>
      </c>
      <c r="N272">
        <f t="shared" si="63"/>
        <v>0.37254901960784315</v>
      </c>
      <c r="P272">
        <f t="shared" si="64"/>
        <v>700</v>
      </c>
      <c r="Q272">
        <f t="shared" si="65"/>
        <v>403.5</v>
      </c>
    </row>
    <row r="273" spans="1:17" x14ac:dyDescent="0.35">
      <c r="A273">
        <v>2022</v>
      </c>
      <c r="B273" s="15">
        <v>168</v>
      </c>
      <c r="C273" s="15">
        <v>36</v>
      </c>
      <c r="D273" s="12">
        <f t="shared" si="53"/>
        <v>21</v>
      </c>
      <c r="E273" s="27">
        <f t="shared" si="54"/>
        <v>0.42</v>
      </c>
      <c r="F273" s="27">
        <f t="shared" si="55"/>
        <v>0.72</v>
      </c>
      <c r="G273">
        <f t="shared" si="56"/>
        <v>57</v>
      </c>
      <c r="H273">
        <f t="shared" si="57"/>
        <v>1</v>
      </c>
      <c r="I273">
        <f t="shared" si="58"/>
        <v>-0.47360266231000164</v>
      </c>
      <c r="J273">
        <f t="shared" si="59"/>
        <v>0.59963025208971832</v>
      </c>
      <c r="K273">
        <f t="shared" si="60"/>
        <v>0.99910890059651059</v>
      </c>
      <c r="L273">
        <f t="shared" si="61"/>
        <v>-8.9149666858218937E-4</v>
      </c>
      <c r="M273">
        <f t="shared" si="62"/>
        <v>0.63157894736842102</v>
      </c>
      <c r="N273">
        <f t="shared" si="63"/>
        <v>0.36842105263157893</v>
      </c>
      <c r="P273">
        <f t="shared" si="64"/>
        <v>767</v>
      </c>
      <c r="Q273">
        <f t="shared" si="65"/>
        <v>403.5</v>
      </c>
    </row>
    <row r="274" spans="1:17" x14ac:dyDescent="0.35">
      <c r="A274">
        <v>2022</v>
      </c>
      <c r="B274" s="15">
        <v>208</v>
      </c>
      <c r="C274" s="15">
        <v>31</v>
      </c>
      <c r="D274" s="12">
        <f t="shared" si="53"/>
        <v>26</v>
      </c>
      <c r="E274" s="27">
        <f t="shared" si="54"/>
        <v>0.52</v>
      </c>
      <c r="F274" s="27">
        <f t="shared" si="55"/>
        <v>0.62</v>
      </c>
      <c r="G274">
        <f t="shared" si="56"/>
        <v>57</v>
      </c>
      <c r="H274">
        <f t="shared" si="57"/>
        <v>1</v>
      </c>
      <c r="I274">
        <f t="shared" si="58"/>
        <v>0.94841833465678471</v>
      </c>
      <c r="J274">
        <f t="shared" si="59"/>
        <v>2.1935226686356796E-2</v>
      </c>
      <c r="K274">
        <f t="shared" si="60"/>
        <v>0.99967530338808497</v>
      </c>
      <c r="L274">
        <f t="shared" si="61"/>
        <v>-3.2474933727339876E-4</v>
      </c>
      <c r="M274">
        <f t="shared" si="62"/>
        <v>0.54385964912280704</v>
      </c>
      <c r="N274">
        <f t="shared" si="63"/>
        <v>0.45614035087719296</v>
      </c>
      <c r="P274">
        <f t="shared" si="64"/>
        <v>160</v>
      </c>
      <c r="Q274">
        <f t="shared" si="65"/>
        <v>605</v>
      </c>
    </row>
    <row r="275" spans="1:17" x14ac:dyDescent="0.35">
      <c r="A275">
        <v>2022</v>
      </c>
      <c r="B275" s="15">
        <v>195</v>
      </c>
      <c r="C275" s="15">
        <v>32</v>
      </c>
      <c r="D275" s="12">
        <f t="shared" si="53"/>
        <v>24.375</v>
      </c>
      <c r="E275" s="27">
        <f t="shared" si="54"/>
        <v>0.48749999999999999</v>
      </c>
      <c r="F275" s="27">
        <f t="shared" si="55"/>
        <v>0.64</v>
      </c>
      <c r="G275">
        <f t="shared" si="56"/>
        <v>56.375</v>
      </c>
      <c r="H275">
        <f t="shared" si="57"/>
        <v>1</v>
      </c>
      <c r="I275">
        <f t="shared" si="58"/>
        <v>0.48626151064257911</v>
      </c>
      <c r="J275">
        <f t="shared" si="59"/>
        <v>0.13747423176702911</v>
      </c>
      <c r="K275">
        <f t="shared" si="60"/>
        <v>0.99913562878508766</v>
      </c>
      <c r="L275">
        <f t="shared" si="61"/>
        <v>-8.647449991186528E-4</v>
      </c>
      <c r="M275">
        <f t="shared" si="62"/>
        <v>0.56762749445676275</v>
      </c>
      <c r="N275">
        <f t="shared" si="63"/>
        <v>0.43237250554323725</v>
      </c>
      <c r="P275">
        <f t="shared" si="64"/>
        <v>282.5</v>
      </c>
      <c r="Q275">
        <f t="shared" si="65"/>
        <v>564</v>
      </c>
    </row>
    <row r="276" spans="1:17" x14ac:dyDescent="0.35">
      <c r="A276">
        <v>2022</v>
      </c>
      <c r="B276" s="15">
        <v>155</v>
      </c>
      <c r="C276" s="15">
        <v>37</v>
      </c>
      <c r="D276" s="12">
        <f t="shared" si="53"/>
        <v>19.375</v>
      </c>
      <c r="E276" s="27">
        <f t="shared" si="54"/>
        <v>0.38750000000000001</v>
      </c>
      <c r="F276" s="27">
        <f t="shared" si="55"/>
        <v>0.74</v>
      </c>
      <c r="G276">
        <f t="shared" si="56"/>
        <v>56.375</v>
      </c>
      <c r="H276">
        <f t="shared" si="57"/>
        <v>1</v>
      </c>
      <c r="I276">
        <f t="shared" si="58"/>
        <v>-0.93575948632420713</v>
      </c>
      <c r="J276">
        <f t="shared" si="59"/>
        <v>0.71516925717039059</v>
      </c>
      <c r="K276">
        <f t="shared" si="60"/>
        <v>0.99763004608281902</v>
      </c>
      <c r="L276">
        <f t="shared" si="61"/>
        <v>-2.3727667029596819E-3</v>
      </c>
      <c r="M276">
        <f t="shared" si="62"/>
        <v>0.65631929046563198</v>
      </c>
      <c r="N276">
        <f t="shared" si="63"/>
        <v>0.34368070953436808</v>
      </c>
      <c r="P276">
        <f t="shared" si="64"/>
        <v>985</v>
      </c>
      <c r="Q276">
        <f t="shared" si="65"/>
        <v>351</v>
      </c>
    </row>
    <row r="277" spans="1:17" x14ac:dyDescent="0.35">
      <c r="A277">
        <v>2022</v>
      </c>
      <c r="B277" s="15">
        <v>193</v>
      </c>
      <c r="C277" s="15">
        <v>32</v>
      </c>
      <c r="D277" s="12">
        <f t="shared" si="53"/>
        <v>24.125</v>
      </c>
      <c r="E277" s="27">
        <f t="shared" si="54"/>
        <v>0.48249999999999998</v>
      </c>
      <c r="F277" s="27">
        <f t="shared" si="55"/>
        <v>0.64</v>
      </c>
      <c r="G277">
        <f t="shared" si="56"/>
        <v>56.125</v>
      </c>
      <c r="H277">
        <f t="shared" si="57"/>
        <v>1</v>
      </c>
      <c r="I277">
        <f t="shared" si="58"/>
        <v>0.41516046079423979</v>
      </c>
      <c r="J277">
        <f t="shared" si="59"/>
        <v>0.13747423176702911</v>
      </c>
      <c r="K277">
        <f t="shared" si="60"/>
        <v>0.99882062854329601</v>
      </c>
      <c r="L277">
        <f t="shared" si="61"/>
        <v>-1.1800674625071716E-3</v>
      </c>
      <c r="M277">
        <f t="shared" si="62"/>
        <v>0.57015590200445432</v>
      </c>
      <c r="N277">
        <f t="shared" si="63"/>
        <v>0.42984409799554568</v>
      </c>
      <c r="P277">
        <f t="shared" si="64"/>
        <v>307</v>
      </c>
      <c r="Q277">
        <f t="shared" si="65"/>
        <v>564</v>
      </c>
    </row>
    <row r="278" spans="1:17" x14ac:dyDescent="0.35">
      <c r="A278">
        <v>2022</v>
      </c>
      <c r="B278" s="15">
        <v>165</v>
      </c>
      <c r="C278" s="15">
        <v>35</v>
      </c>
      <c r="D278" s="12">
        <f t="shared" si="53"/>
        <v>20.625</v>
      </c>
      <c r="E278" s="27">
        <f t="shared" si="54"/>
        <v>0.41249999999999998</v>
      </c>
      <c r="F278" s="27">
        <f t="shared" si="55"/>
        <v>0.7</v>
      </c>
      <c r="G278">
        <f t="shared" si="56"/>
        <v>55.625</v>
      </c>
      <c r="H278">
        <f t="shared" si="57"/>
        <v>1</v>
      </c>
      <c r="I278">
        <f t="shared" si="58"/>
        <v>-0.58025423708251056</v>
      </c>
      <c r="J278">
        <f t="shared" si="59"/>
        <v>0.48409124700904599</v>
      </c>
      <c r="K278">
        <f t="shared" si="60"/>
        <v>0.99598388021650486</v>
      </c>
      <c r="L278">
        <f t="shared" si="61"/>
        <v>-4.0242060500910691E-3</v>
      </c>
      <c r="M278">
        <f t="shared" si="62"/>
        <v>0.6292134831460674</v>
      </c>
      <c r="N278">
        <f t="shared" si="63"/>
        <v>0.3707865168539326</v>
      </c>
      <c r="P278">
        <f t="shared" si="64"/>
        <v>826.5</v>
      </c>
      <c r="Q278">
        <f t="shared" si="65"/>
        <v>448.5</v>
      </c>
    </row>
    <row r="279" spans="1:17" x14ac:dyDescent="0.35">
      <c r="A279">
        <v>2022</v>
      </c>
      <c r="B279" s="15">
        <v>156</v>
      </c>
      <c r="C279" s="15">
        <v>36</v>
      </c>
      <c r="D279" s="12">
        <f t="shared" si="53"/>
        <v>19.5</v>
      </c>
      <c r="E279" s="27">
        <f t="shared" si="54"/>
        <v>0.39</v>
      </c>
      <c r="F279" s="27">
        <f t="shared" si="55"/>
        <v>0.72</v>
      </c>
      <c r="G279">
        <f t="shared" si="56"/>
        <v>55.5</v>
      </c>
      <c r="H279">
        <f t="shared" si="57"/>
        <v>1</v>
      </c>
      <c r="I279">
        <f t="shared" si="58"/>
        <v>-0.90020896140003748</v>
      </c>
      <c r="J279">
        <f t="shared" si="59"/>
        <v>0.59963025208971832</v>
      </c>
      <c r="K279">
        <f t="shared" si="60"/>
        <v>0.99426755165013836</v>
      </c>
      <c r="L279">
        <f t="shared" si="61"/>
        <v>-5.748941894368048E-3</v>
      </c>
      <c r="M279">
        <f t="shared" si="62"/>
        <v>0.64864864864864868</v>
      </c>
      <c r="N279">
        <f t="shared" si="63"/>
        <v>0.35135135135135137</v>
      </c>
      <c r="P279">
        <f t="shared" si="64"/>
        <v>968</v>
      </c>
      <c r="Q279">
        <f t="shared" si="65"/>
        <v>403.5</v>
      </c>
    </row>
    <row r="280" spans="1:17" x14ac:dyDescent="0.35">
      <c r="A280">
        <v>2022</v>
      </c>
      <c r="B280" s="15">
        <v>156</v>
      </c>
      <c r="C280" s="15">
        <v>36</v>
      </c>
      <c r="D280" s="12">
        <f t="shared" si="53"/>
        <v>19.5</v>
      </c>
      <c r="E280" s="27">
        <f t="shared" si="54"/>
        <v>0.39</v>
      </c>
      <c r="F280" s="27">
        <f t="shared" si="55"/>
        <v>0.72</v>
      </c>
      <c r="G280">
        <f t="shared" si="56"/>
        <v>55.5</v>
      </c>
      <c r="H280">
        <f t="shared" si="57"/>
        <v>1</v>
      </c>
      <c r="I280">
        <f t="shared" si="58"/>
        <v>-0.90020896140003748</v>
      </c>
      <c r="J280">
        <f t="shared" si="59"/>
        <v>0.59963025208971832</v>
      </c>
      <c r="K280">
        <f t="shared" si="60"/>
        <v>0.99426755165013836</v>
      </c>
      <c r="L280">
        <f t="shared" si="61"/>
        <v>-5.748941894368048E-3</v>
      </c>
      <c r="M280">
        <f t="shared" si="62"/>
        <v>0.64864864864864868</v>
      </c>
      <c r="N280">
        <f t="shared" si="63"/>
        <v>0.35135135135135137</v>
      </c>
      <c r="P280">
        <f t="shared" si="64"/>
        <v>968</v>
      </c>
      <c r="Q280">
        <f t="shared" si="65"/>
        <v>403.5</v>
      </c>
    </row>
    <row r="281" spans="1:17" x14ac:dyDescent="0.35">
      <c r="A281">
        <v>2022</v>
      </c>
      <c r="B281" s="15">
        <v>188</v>
      </c>
      <c r="C281" s="15">
        <v>32</v>
      </c>
      <c r="D281" s="12">
        <f t="shared" si="53"/>
        <v>23.5</v>
      </c>
      <c r="E281" s="27">
        <f t="shared" si="54"/>
        <v>0.47</v>
      </c>
      <c r="F281" s="27">
        <f t="shared" si="55"/>
        <v>0.64</v>
      </c>
      <c r="G281">
        <f t="shared" si="56"/>
        <v>55.5</v>
      </c>
      <c r="H281">
        <f t="shared" si="57"/>
        <v>1</v>
      </c>
      <c r="I281">
        <f t="shared" si="58"/>
        <v>0.23740783617339151</v>
      </c>
      <c r="J281">
        <f t="shared" si="59"/>
        <v>0.13747423176702911</v>
      </c>
      <c r="K281">
        <f t="shared" si="60"/>
        <v>0.99743689329321283</v>
      </c>
      <c r="L281">
        <f t="shared" si="61"/>
        <v>-2.5663970883843261E-3</v>
      </c>
      <c r="M281">
        <f t="shared" si="62"/>
        <v>0.57657657657657657</v>
      </c>
      <c r="N281">
        <f t="shared" si="63"/>
        <v>0.42342342342342343</v>
      </c>
      <c r="P281">
        <f t="shared" si="64"/>
        <v>374.5</v>
      </c>
      <c r="Q281">
        <f t="shared" si="65"/>
        <v>564</v>
      </c>
    </row>
    <row r="282" spans="1:17" x14ac:dyDescent="0.35">
      <c r="A282">
        <v>2022</v>
      </c>
      <c r="B282" s="15">
        <v>180</v>
      </c>
      <c r="C282" s="15">
        <v>33</v>
      </c>
      <c r="D282" s="12">
        <f t="shared" si="53"/>
        <v>22.5</v>
      </c>
      <c r="E282" s="27">
        <f t="shared" si="54"/>
        <v>0.45</v>
      </c>
      <c r="F282" s="27">
        <f t="shared" si="55"/>
        <v>0.66</v>
      </c>
      <c r="G282">
        <f t="shared" si="56"/>
        <v>55.5</v>
      </c>
      <c r="H282">
        <f t="shared" si="57"/>
        <v>1</v>
      </c>
      <c r="I282">
        <f t="shared" si="58"/>
        <v>-4.6996363219965739E-2</v>
      </c>
      <c r="J282">
        <f t="shared" si="59"/>
        <v>0.25301323684770138</v>
      </c>
      <c r="K282">
        <f t="shared" si="60"/>
        <v>0.99686486350122305</v>
      </c>
      <c r="L282">
        <f t="shared" si="61"/>
        <v>-3.1400613352600966E-3</v>
      </c>
      <c r="M282">
        <f t="shared" si="62"/>
        <v>0.59459459459459463</v>
      </c>
      <c r="N282">
        <f t="shared" si="63"/>
        <v>0.40540540540540543</v>
      </c>
      <c r="P282">
        <f t="shared" si="64"/>
        <v>528</v>
      </c>
      <c r="Q282">
        <f t="shared" si="65"/>
        <v>523.5</v>
      </c>
    </row>
    <row r="283" spans="1:17" x14ac:dyDescent="0.35">
      <c r="A283">
        <v>2022</v>
      </c>
      <c r="B283" s="15">
        <v>179</v>
      </c>
      <c r="C283" s="15">
        <v>33</v>
      </c>
      <c r="D283" s="12">
        <f t="shared" si="53"/>
        <v>22.375</v>
      </c>
      <c r="E283" s="27">
        <f t="shared" si="54"/>
        <v>0.44750000000000001</v>
      </c>
      <c r="F283" s="27">
        <f t="shared" si="55"/>
        <v>0.66</v>
      </c>
      <c r="G283">
        <f t="shared" si="56"/>
        <v>55.375</v>
      </c>
      <c r="H283">
        <f t="shared" si="57"/>
        <v>1</v>
      </c>
      <c r="I283">
        <f t="shared" si="58"/>
        <v>-8.2546888144135397E-2</v>
      </c>
      <c r="J283">
        <f t="shared" si="59"/>
        <v>0.25301323684770138</v>
      </c>
      <c r="K283">
        <f t="shared" si="60"/>
        <v>0.99633924190745882</v>
      </c>
      <c r="L283">
        <f t="shared" si="61"/>
        <v>-3.6674750652660381E-3</v>
      </c>
      <c r="M283">
        <f t="shared" si="62"/>
        <v>0.59593679458239279</v>
      </c>
      <c r="N283">
        <f t="shared" si="63"/>
        <v>0.40406320541760721</v>
      </c>
      <c r="P283">
        <f t="shared" si="64"/>
        <v>547</v>
      </c>
      <c r="Q283">
        <f t="shared" si="65"/>
        <v>523.5</v>
      </c>
    </row>
    <row r="284" spans="1:17" x14ac:dyDescent="0.35">
      <c r="A284">
        <v>2022</v>
      </c>
      <c r="B284" s="15">
        <v>163</v>
      </c>
      <c r="C284" s="15">
        <v>35</v>
      </c>
      <c r="D284" s="12">
        <f t="shared" si="53"/>
        <v>20.375</v>
      </c>
      <c r="E284" s="27">
        <f t="shared" si="54"/>
        <v>0.40749999999999997</v>
      </c>
      <c r="F284" s="27">
        <f t="shared" si="55"/>
        <v>0.7</v>
      </c>
      <c r="G284">
        <f t="shared" si="56"/>
        <v>55.375</v>
      </c>
      <c r="H284">
        <f t="shared" si="57"/>
        <v>1</v>
      </c>
      <c r="I284">
        <f t="shared" si="58"/>
        <v>-0.65135528693084987</v>
      </c>
      <c r="J284">
        <f t="shared" si="59"/>
        <v>0.48409124700904599</v>
      </c>
      <c r="K284">
        <f t="shared" si="60"/>
        <v>0.9945265896800346</v>
      </c>
      <c r="L284">
        <f t="shared" si="61"/>
        <v>-5.4884443134692769E-3</v>
      </c>
      <c r="M284">
        <f t="shared" si="62"/>
        <v>0.6320541760722348</v>
      </c>
      <c r="N284">
        <f t="shared" si="63"/>
        <v>0.36794582392776526</v>
      </c>
      <c r="P284">
        <f t="shared" si="64"/>
        <v>860.5</v>
      </c>
      <c r="Q284">
        <f t="shared" si="65"/>
        <v>448.5</v>
      </c>
    </row>
    <row r="285" spans="1:17" x14ac:dyDescent="0.35">
      <c r="A285">
        <v>2022</v>
      </c>
      <c r="B285" s="15">
        <v>194</v>
      </c>
      <c r="C285" s="15">
        <v>31</v>
      </c>
      <c r="D285" s="12">
        <f t="shared" si="53"/>
        <v>24.25</v>
      </c>
      <c r="E285" s="27">
        <f t="shared" si="54"/>
        <v>0.48499999999999999</v>
      </c>
      <c r="F285" s="27">
        <f t="shared" si="55"/>
        <v>0.62</v>
      </c>
      <c r="G285">
        <f t="shared" si="56"/>
        <v>55.25</v>
      </c>
      <c r="H285">
        <f t="shared" si="57"/>
        <v>1</v>
      </c>
      <c r="I285">
        <f t="shared" si="58"/>
        <v>0.45071098571840945</v>
      </c>
      <c r="J285">
        <f t="shared" si="59"/>
        <v>2.1935226686356796E-2</v>
      </c>
      <c r="K285">
        <f t="shared" si="60"/>
        <v>0.99714249605881022</v>
      </c>
      <c r="L285">
        <f t="shared" si="61"/>
        <v>-2.8615943997694609E-3</v>
      </c>
      <c r="M285">
        <f t="shared" si="62"/>
        <v>0.56108597285067874</v>
      </c>
      <c r="N285">
        <f t="shared" si="63"/>
        <v>0.43891402714932126</v>
      </c>
      <c r="P285">
        <f t="shared" si="64"/>
        <v>293.5</v>
      </c>
      <c r="Q285">
        <f t="shared" si="65"/>
        <v>605</v>
      </c>
    </row>
    <row r="286" spans="1:17" x14ac:dyDescent="0.35">
      <c r="A286">
        <v>2022</v>
      </c>
      <c r="B286" s="15">
        <v>185</v>
      </c>
      <c r="C286" s="15">
        <v>32</v>
      </c>
      <c r="D286" s="12">
        <f t="shared" si="53"/>
        <v>23.125</v>
      </c>
      <c r="E286" s="27">
        <f t="shared" si="54"/>
        <v>0.46250000000000002</v>
      </c>
      <c r="F286" s="27">
        <f t="shared" si="55"/>
        <v>0.64</v>
      </c>
      <c r="G286">
        <f t="shared" si="56"/>
        <v>55.125</v>
      </c>
      <c r="H286">
        <f t="shared" si="57"/>
        <v>1</v>
      </c>
      <c r="I286">
        <f t="shared" si="58"/>
        <v>0.13075626140088253</v>
      </c>
      <c r="J286">
        <f t="shared" si="59"/>
        <v>0.13747423176702911</v>
      </c>
      <c r="K286">
        <f t="shared" si="60"/>
        <v>0.99591928475079994</v>
      </c>
      <c r="L286">
        <f t="shared" si="61"/>
        <v>-4.0890640882363357E-3</v>
      </c>
      <c r="M286">
        <f t="shared" si="62"/>
        <v>0.58049886621315194</v>
      </c>
      <c r="N286">
        <f t="shared" si="63"/>
        <v>0.41950113378684806</v>
      </c>
      <c r="P286">
        <f t="shared" si="64"/>
        <v>428.5</v>
      </c>
      <c r="Q286">
        <f t="shared" si="65"/>
        <v>564</v>
      </c>
    </row>
    <row r="287" spans="1:17" x14ac:dyDescent="0.35">
      <c r="A287">
        <v>2022</v>
      </c>
      <c r="B287" s="15">
        <v>192</v>
      </c>
      <c r="C287" s="15">
        <v>31</v>
      </c>
      <c r="D287" s="12">
        <f t="shared" si="53"/>
        <v>24</v>
      </c>
      <c r="E287" s="27">
        <f t="shared" si="54"/>
        <v>0.48</v>
      </c>
      <c r="F287" s="27">
        <f t="shared" si="55"/>
        <v>0.62</v>
      </c>
      <c r="G287">
        <f t="shared" si="56"/>
        <v>55</v>
      </c>
      <c r="H287">
        <f t="shared" si="57"/>
        <v>1</v>
      </c>
      <c r="I287">
        <f t="shared" si="58"/>
        <v>0.37960993587007014</v>
      </c>
      <c r="J287">
        <f t="shared" si="59"/>
        <v>2.1935226686356796E-2</v>
      </c>
      <c r="K287">
        <f t="shared" si="60"/>
        <v>0.99610397669114825</v>
      </c>
      <c r="L287">
        <f t="shared" si="61"/>
        <v>-3.9036325780200951E-3</v>
      </c>
      <c r="M287">
        <f t="shared" si="62"/>
        <v>0.5636363636363636</v>
      </c>
      <c r="N287">
        <f t="shared" si="63"/>
        <v>0.43636363636363634</v>
      </c>
      <c r="P287">
        <f t="shared" si="64"/>
        <v>318.5</v>
      </c>
      <c r="Q287">
        <f t="shared" si="65"/>
        <v>605</v>
      </c>
    </row>
    <row r="288" spans="1:17" x14ac:dyDescent="0.35">
      <c r="A288">
        <v>2022</v>
      </c>
      <c r="B288" s="15">
        <v>160</v>
      </c>
      <c r="C288" s="15">
        <v>35</v>
      </c>
      <c r="D288" s="12">
        <f t="shared" si="53"/>
        <v>20</v>
      </c>
      <c r="E288" s="27">
        <f t="shared" si="54"/>
        <v>0.4</v>
      </c>
      <c r="F288" s="27">
        <f t="shared" si="55"/>
        <v>0.7</v>
      </c>
      <c r="G288">
        <f t="shared" si="56"/>
        <v>55</v>
      </c>
      <c r="H288">
        <f t="shared" si="57"/>
        <v>1</v>
      </c>
      <c r="I288">
        <f t="shared" si="58"/>
        <v>-0.75800686170335885</v>
      </c>
      <c r="J288">
        <f t="shared" si="59"/>
        <v>0.48409124700904599</v>
      </c>
      <c r="K288">
        <f t="shared" si="60"/>
        <v>0.99130082703324729</v>
      </c>
      <c r="L288">
        <f t="shared" si="61"/>
        <v>-8.7372316520492078E-3</v>
      </c>
      <c r="M288">
        <f t="shared" si="62"/>
        <v>0.63636363636363635</v>
      </c>
      <c r="N288">
        <f t="shared" si="63"/>
        <v>0.36363636363636365</v>
      </c>
      <c r="P288">
        <f t="shared" si="64"/>
        <v>908</v>
      </c>
      <c r="Q288">
        <f t="shared" si="65"/>
        <v>448.5</v>
      </c>
    </row>
    <row r="289" spans="1:17" x14ac:dyDescent="0.35">
      <c r="A289">
        <v>2022</v>
      </c>
      <c r="B289" s="15">
        <v>184</v>
      </c>
      <c r="C289" s="15">
        <v>32</v>
      </c>
      <c r="D289" s="12">
        <f t="shared" si="53"/>
        <v>23</v>
      </c>
      <c r="E289" s="27">
        <f t="shared" si="54"/>
        <v>0.46</v>
      </c>
      <c r="F289" s="27">
        <f t="shared" si="55"/>
        <v>0.64</v>
      </c>
      <c r="G289">
        <f t="shared" si="56"/>
        <v>55</v>
      </c>
      <c r="H289">
        <f t="shared" si="57"/>
        <v>1</v>
      </c>
      <c r="I289">
        <f t="shared" si="58"/>
        <v>9.5205736476712891E-2</v>
      </c>
      <c r="J289">
        <f t="shared" si="59"/>
        <v>0.13747423176702911</v>
      </c>
      <c r="K289">
        <f t="shared" si="60"/>
        <v>0.99523588970085164</v>
      </c>
      <c r="L289">
        <f t="shared" si="61"/>
        <v>-4.7754948451665842E-3</v>
      </c>
      <c r="M289">
        <f t="shared" si="62"/>
        <v>0.58181818181818179</v>
      </c>
      <c r="N289">
        <f t="shared" si="63"/>
        <v>0.41818181818181815</v>
      </c>
      <c r="P289">
        <f t="shared" si="64"/>
        <v>445</v>
      </c>
      <c r="Q289">
        <f t="shared" si="65"/>
        <v>564</v>
      </c>
    </row>
    <row r="290" spans="1:17" x14ac:dyDescent="0.35">
      <c r="A290">
        <v>2022</v>
      </c>
      <c r="B290" s="15">
        <v>143</v>
      </c>
      <c r="C290" s="15">
        <v>37</v>
      </c>
      <c r="D290" s="12">
        <f t="shared" si="53"/>
        <v>17.875</v>
      </c>
      <c r="E290" s="27">
        <f t="shared" si="54"/>
        <v>0.35749999999999998</v>
      </c>
      <c r="F290" s="27">
        <f t="shared" si="55"/>
        <v>0.74</v>
      </c>
      <c r="G290">
        <f t="shared" si="56"/>
        <v>54.875</v>
      </c>
      <c r="H290">
        <f t="shared" si="57"/>
        <v>1</v>
      </c>
      <c r="I290">
        <f t="shared" si="58"/>
        <v>-1.362365785414243</v>
      </c>
      <c r="J290">
        <f t="shared" si="59"/>
        <v>0.71516925717039059</v>
      </c>
      <c r="K290">
        <f t="shared" si="60"/>
        <v>0.98487569729546809</v>
      </c>
      <c r="L290">
        <f t="shared" si="61"/>
        <v>-1.5239841412506495E-2</v>
      </c>
      <c r="M290">
        <f t="shared" si="62"/>
        <v>0.67425968109339407</v>
      </c>
      <c r="N290">
        <f t="shared" si="63"/>
        <v>0.32574031890660593</v>
      </c>
      <c r="P290">
        <f t="shared" si="64"/>
        <v>1094</v>
      </c>
      <c r="Q290">
        <f t="shared" si="65"/>
        <v>351</v>
      </c>
    </row>
    <row r="291" spans="1:17" x14ac:dyDescent="0.35">
      <c r="A291">
        <v>2022</v>
      </c>
      <c r="B291" s="15">
        <v>198</v>
      </c>
      <c r="C291" s="15">
        <v>30</v>
      </c>
      <c r="D291" s="12">
        <f t="shared" si="53"/>
        <v>24.75</v>
      </c>
      <c r="E291" s="27">
        <f t="shared" si="54"/>
        <v>0.495</v>
      </c>
      <c r="F291" s="27">
        <f t="shared" si="55"/>
        <v>0.6</v>
      </c>
      <c r="G291">
        <f t="shared" si="56"/>
        <v>54.75</v>
      </c>
      <c r="H291">
        <f t="shared" si="57"/>
        <v>1</v>
      </c>
      <c r="I291">
        <f t="shared" si="58"/>
        <v>0.59291308541508814</v>
      </c>
      <c r="J291">
        <f t="shared" si="59"/>
        <v>-9.3603778394315509E-2</v>
      </c>
      <c r="K291">
        <f t="shared" si="60"/>
        <v>0.99565714787217152</v>
      </c>
      <c r="L291">
        <f t="shared" si="61"/>
        <v>-4.3523097019605109E-3</v>
      </c>
      <c r="M291">
        <f t="shared" si="62"/>
        <v>0.54794520547945202</v>
      </c>
      <c r="N291">
        <f t="shared" si="63"/>
        <v>0.45205479452054792</v>
      </c>
      <c r="P291">
        <f t="shared" si="64"/>
        <v>251</v>
      </c>
      <c r="Q291">
        <f t="shared" si="65"/>
        <v>639</v>
      </c>
    </row>
    <row r="292" spans="1:17" x14ac:dyDescent="0.35">
      <c r="A292">
        <v>2022</v>
      </c>
      <c r="B292" s="15">
        <v>182</v>
      </c>
      <c r="C292" s="15">
        <v>32</v>
      </c>
      <c r="D292" s="12">
        <f t="shared" si="53"/>
        <v>22.75</v>
      </c>
      <c r="E292" s="27">
        <f t="shared" si="54"/>
        <v>0.45500000000000002</v>
      </c>
      <c r="F292" s="27">
        <f t="shared" si="55"/>
        <v>0.64</v>
      </c>
      <c r="G292">
        <f t="shared" si="56"/>
        <v>54.75</v>
      </c>
      <c r="H292">
        <f t="shared" si="57"/>
        <v>1</v>
      </c>
      <c r="I292">
        <f t="shared" si="58"/>
        <v>2.4104686628373572E-2</v>
      </c>
      <c r="J292">
        <f t="shared" si="59"/>
        <v>0.13747423176702911</v>
      </c>
      <c r="K292">
        <f t="shared" si="60"/>
        <v>0.99350895196040856</v>
      </c>
      <c r="L292">
        <f t="shared" si="61"/>
        <v>-6.5122065020140254E-3</v>
      </c>
      <c r="M292">
        <f t="shared" si="62"/>
        <v>0.58447488584474883</v>
      </c>
      <c r="N292">
        <f t="shared" si="63"/>
        <v>0.41552511415525112</v>
      </c>
      <c r="P292">
        <f t="shared" si="64"/>
        <v>484.5</v>
      </c>
      <c r="Q292">
        <f t="shared" si="65"/>
        <v>564</v>
      </c>
    </row>
    <row r="293" spans="1:17" x14ac:dyDescent="0.35">
      <c r="A293">
        <v>2022</v>
      </c>
      <c r="B293" s="15">
        <v>149</v>
      </c>
      <c r="C293" s="15">
        <v>36</v>
      </c>
      <c r="D293" s="12">
        <f t="shared" si="53"/>
        <v>18.625</v>
      </c>
      <c r="E293" s="27">
        <f t="shared" si="54"/>
        <v>0.3725</v>
      </c>
      <c r="F293" s="27">
        <f t="shared" si="55"/>
        <v>0.72</v>
      </c>
      <c r="G293">
        <f t="shared" si="56"/>
        <v>54.625</v>
      </c>
      <c r="H293">
        <f t="shared" si="57"/>
        <v>1</v>
      </c>
      <c r="I293">
        <f t="shared" si="58"/>
        <v>-1.1490626358692251</v>
      </c>
      <c r="J293">
        <f t="shared" si="59"/>
        <v>0.59963025208971832</v>
      </c>
      <c r="K293">
        <f t="shared" si="60"/>
        <v>0.98316288154382359</v>
      </c>
      <c r="L293">
        <f t="shared" si="61"/>
        <v>-1.6980474144525828E-2</v>
      </c>
      <c r="M293">
        <f t="shared" si="62"/>
        <v>0.65903890160183065</v>
      </c>
      <c r="N293">
        <f t="shared" si="63"/>
        <v>0.34096109839816935</v>
      </c>
      <c r="P293">
        <f t="shared" si="64"/>
        <v>1051.5</v>
      </c>
      <c r="Q293">
        <f t="shared" si="65"/>
        <v>403.5</v>
      </c>
    </row>
    <row r="294" spans="1:17" x14ac:dyDescent="0.35">
      <c r="A294">
        <v>2022</v>
      </c>
      <c r="B294" s="15">
        <v>177</v>
      </c>
      <c r="C294" s="15">
        <v>32</v>
      </c>
      <c r="D294" s="12">
        <f t="shared" si="53"/>
        <v>22.125</v>
      </c>
      <c r="E294" s="27">
        <f t="shared" si="54"/>
        <v>0.4425</v>
      </c>
      <c r="F294" s="27">
        <f t="shared" si="55"/>
        <v>0.64</v>
      </c>
      <c r="G294">
        <f t="shared" si="56"/>
        <v>54.125</v>
      </c>
      <c r="H294">
        <f t="shared" si="57"/>
        <v>1</v>
      </c>
      <c r="I294">
        <f t="shared" si="58"/>
        <v>-0.15364793799247473</v>
      </c>
      <c r="J294">
        <f t="shared" si="59"/>
        <v>0.13747423176702911</v>
      </c>
      <c r="K294">
        <f t="shared" si="60"/>
        <v>0.98598059582958397</v>
      </c>
      <c r="L294">
        <f t="shared" si="61"/>
        <v>-1.4118604259169509E-2</v>
      </c>
      <c r="M294">
        <f t="shared" si="62"/>
        <v>0.59122401847575057</v>
      </c>
      <c r="N294">
        <f t="shared" si="63"/>
        <v>0.40877598152424943</v>
      </c>
      <c r="P294">
        <f t="shared" si="64"/>
        <v>585</v>
      </c>
      <c r="Q294">
        <f t="shared" si="65"/>
        <v>564</v>
      </c>
    </row>
    <row r="295" spans="1:17" x14ac:dyDescent="0.35">
      <c r="A295">
        <v>2022</v>
      </c>
      <c r="B295" s="15">
        <v>173</v>
      </c>
      <c r="C295" s="15">
        <v>32</v>
      </c>
      <c r="D295" s="12">
        <f t="shared" si="53"/>
        <v>21.625</v>
      </c>
      <c r="E295" s="27">
        <f t="shared" si="54"/>
        <v>0.4325</v>
      </c>
      <c r="F295" s="27">
        <f t="shared" si="55"/>
        <v>0.64</v>
      </c>
      <c r="G295">
        <f t="shared" si="56"/>
        <v>53.625</v>
      </c>
      <c r="H295">
        <f t="shared" si="57"/>
        <v>1</v>
      </c>
      <c r="I295">
        <f t="shared" si="58"/>
        <v>-0.29585003768915336</v>
      </c>
      <c r="J295">
        <f t="shared" si="59"/>
        <v>0.13747423176702911</v>
      </c>
      <c r="K295">
        <f t="shared" si="60"/>
        <v>0.97419628843992212</v>
      </c>
      <c r="L295">
        <f t="shared" si="61"/>
        <v>-2.6142467471271597E-2</v>
      </c>
      <c r="M295">
        <f t="shared" si="62"/>
        <v>0.59673659673659674</v>
      </c>
      <c r="N295">
        <f t="shared" si="63"/>
        <v>0.40326340326340326</v>
      </c>
      <c r="P295">
        <f t="shared" si="64"/>
        <v>669</v>
      </c>
      <c r="Q295">
        <f t="shared" si="65"/>
        <v>564</v>
      </c>
    </row>
    <row r="296" spans="1:17" x14ac:dyDescent="0.35">
      <c r="A296">
        <v>2022</v>
      </c>
      <c r="B296" s="15">
        <v>197</v>
      </c>
      <c r="C296" s="15">
        <v>29</v>
      </c>
      <c r="D296" s="12">
        <f t="shared" si="53"/>
        <v>24.625</v>
      </c>
      <c r="E296" s="27">
        <f t="shared" si="54"/>
        <v>0.49249999999999999</v>
      </c>
      <c r="F296" s="27">
        <f t="shared" si="55"/>
        <v>0.57999999999999996</v>
      </c>
      <c r="G296">
        <f t="shared" si="56"/>
        <v>53.625</v>
      </c>
      <c r="H296">
        <f t="shared" si="57"/>
        <v>1</v>
      </c>
      <c r="I296">
        <f t="shared" si="58"/>
        <v>0.55736256049091848</v>
      </c>
      <c r="J296">
        <f t="shared" si="59"/>
        <v>-0.2091427834749878</v>
      </c>
      <c r="K296">
        <f t="shared" si="60"/>
        <v>0.98575740782985732</v>
      </c>
      <c r="L296">
        <f t="shared" si="61"/>
        <v>-1.4344991335206631E-2</v>
      </c>
      <c r="M296">
        <f t="shared" si="62"/>
        <v>0.5407925407925408</v>
      </c>
      <c r="N296">
        <f t="shared" si="63"/>
        <v>0.4592074592074592</v>
      </c>
      <c r="P296">
        <f t="shared" si="64"/>
        <v>260</v>
      </c>
      <c r="Q296">
        <f t="shared" si="65"/>
        <v>671</v>
      </c>
    </row>
    <row r="297" spans="1:17" x14ac:dyDescent="0.35">
      <c r="A297">
        <v>2022</v>
      </c>
      <c r="B297" s="15">
        <v>229</v>
      </c>
      <c r="C297" s="15">
        <v>25</v>
      </c>
      <c r="D297" s="12">
        <f t="shared" si="53"/>
        <v>28.625</v>
      </c>
      <c r="E297" s="27">
        <f t="shared" si="54"/>
        <v>0.57250000000000001</v>
      </c>
      <c r="F297" s="27">
        <f t="shared" si="55"/>
        <v>0.5</v>
      </c>
      <c r="G297">
        <f t="shared" si="56"/>
        <v>53.625</v>
      </c>
      <c r="H297">
        <f t="shared" si="57"/>
        <v>1</v>
      </c>
      <c r="I297">
        <f t="shared" si="58"/>
        <v>1.6949793580643475</v>
      </c>
      <c r="J297">
        <f t="shared" si="59"/>
        <v>-0.67129880379767704</v>
      </c>
      <c r="K297">
        <f t="shared" si="60"/>
        <v>0.99360153764465597</v>
      </c>
      <c r="L297">
        <f t="shared" si="61"/>
        <v>-6.4190202551508077E-3</v>
      </c>
      <c r="M297">
        <f t="shared" si="62"/>
        <v>0.46620046620046618</v>
      </c>
      <c r="N297">
        <f t="shared" si="63"/>
        <v>0.53379953379953382</v>
      </c>
      <c r="P297">
        <f t="shared" si="64"/>
        <v>63.5</v>
      </c>
      <c r="Q297">
        <f t="shared" si="65"/>
        <v>835</v>
      </c>
    </row>
    <row r="298" spans="1:17" x14ac:dyDescent="0.35">
      <c r="A298">
        <v>2022</v>
      </c>
      <c r="B298" s="15">
        <v>218</v>
      </c>
      <c r="C298" s="15">
        <v>26</v>
      </c>
      <c r="D298" s="12">
        <f t="shared" si="53"/>
        <v>27.25</v>
      </c>
      <c r="E298" s="27">
        <f t="shared" si="54"/>
        <v>0.54500000000000004</v>
      </c>
      <c r="F298" s="27">
        <f t="shared" si="55"/>
        <v>0.52</v>
      </c>
      <c r="G298">
        <f t="shared" si="56"/>
        <v>53.25</v>
      </c>
      <c r="H298">
        <f t="shared" si="57"/>
        <v>1</v>
      </c>
      <c r="I298">
        <f t="shared" si="58"/>
        <v>1.3039235838984813</v>
      </c>
      <c r="J298">
        <f t="shared" si="59"/>
        <v>-0.55575979871700476</v>
      </c>
      <c r="K298">
        <f t="shared" si="60"/>
        <v>0.98758892581196056</v>
      </c>
      <c r="L298">
        <f t="shared" si="61"/>
        <v>-1.2488734806099071E-2</v>
      </c>
      <c r="M298">
        <f t="shared" si="62"/>
        <v>0.48826291079812206</v>
      </c>
      <c r="N298">
        <f t="shared" si="63"/>
        <v>0.51173708920187788</v>
      </c>
      <c r="P298">
        <f t="shared" si="64"/>
        <v>90</v>
      </c>
      <c r="Q298">
        <f t="shared" si="65"/>
        <v>796</v>
      </c>
    </row>
    <row r="299" spans="1:17" x14ac:dyDescent="0.35">
      <c r="A299">
        <v>2022</v>
      </c>
      <c r="B299" s="15">
        <v>178</v>
      </c>
      <c r="C299" s="15">
        <v>31</v>
      </c>
      <c r="D299" s="12">
        <f t="shared" si="53"/>
        <v>22.25</v>
      </c>
      <c r="E299" s="27">
        <f t="shared" si="54"/>
        <v>0.44500000000000001</v>
      </c>
      <c r="F299" s="27">
        <f t="shared" si="55"/>
        <v>0.62</v>
      </c>
      <c r="G299">
        <f t="shared" si="56"/>
        <v>53.25</v>
      </c>
      <c r="H299">
        <f t="shared" si="57"/>
        <v>1</v>
      </c>
      <c r="I299">
        <f t="shared" si="58"/>
        <v>-0.11809741306830505</v>
      </c>
      <c r="J299">
        <f t="shared" si="59"/>
        <v>2.1935226686356796E-2</v>
      </c>
      <c r="K299">
        <f t="shared" si="60"/>
        <v>0.96664249387634116</v>
      </c>
      <c r="L299">
        <f t="shared" si="61"/>
        <v>-3.3926558323164442E-2</v>
      </c>
      <c r="M299">
        <f t="shared" si="62"/>
        <v>0.5821596244131455</v>
      </c>
      <c r="N299">
        <f t="shared" si="63"/>
        <v>0.41784037558685444</v>
      </c>
      <c r="P299">
        <f t="shared" si="64"/>
        <v>564.5</v>
      </c>
      <c r="Q299">
        <f t="shared" si="65"/>
        <v>605</v>
      </c>
    </row>
    <row r="300" spans="1:17" x14ac:dyDescent="0.35">
      <c r="A300">
        <v>2022</v>
      </c>
      <c r="B300" s="15">
        <v>214</v>
      </c>
      <c r="C300" s="15">
        <v>26</v>
      </c>
      <c r="D300" s="12">
        <f t="shared" si="53"/>
        <v>26.75</v>
      </c>
      <c r="E300" s="27">
        <f t="shared" si="54"/>
        <v>0.53500000000000003</v>
      </c>
      <c r="F300" s="27">
        <f t="shared" si="55"/>
        <v>0.52</v>
      </c>
      <c r="G300">
        <f t="shared" si="56"/>
        <v>52.75</v>
      </c>
      <c r="H300">
        <f t="shared" si="57"/>
        <v>1</v>
      </c>
      <c r="I300">
        <f t="shared" si="58"/>
        <v>1.1617214842018027</v>
      </c>
      <c r="J300">
        <f t="shared" si="59"/>
        <v>-0.55575979871700476</v>
      </c>
      <c r="K300">
        <f t="shared" si="60"/>
        <v>0.97712516972756558</v>
      </c>
      <c r="L300">
        <f t="shared" si="61"/>
        <v>-2.314051874068225E-2</v>
      </c>
      <c r="M300">
        <f t="shared" si="62"/>
        <v>0.49289099526066349</v>
      </c>
      <c r="N300">
        <f t="shared" si="63"/>
        <v>0.50710900473933651</v>
      </c>
      <c r="P300">
        <f t="shared" si="64"/>
        <v>112</v>
      </c>
      <c r="Q300">
        <f t="shared" si="65"/>
        <v>796</v>
      </c>
    </row>
    <row r="301" spans="1:17" x14ac:dyDescent="0.35">
      <c r="A301">
        <v>2022</v>
      </c>
      <c r="B301" s="15">
        <v>196</v>
      </c>
      <c r="C301" s="15">
        <v>28</v>
      </c>
      <c r="D301" s="12">
        <f t="shared" si="53"/>
        <v>24.5</v>
      </c>
      <c r="E301" s="27">
        <f t="shared" si="54"/>
        <v>0.49</v>
      </c>
      <c r="F301" s="27">
        <f t="shared" si="55"/>
        <v>0.56000000000000005</v>
      </c>
      <c r="G301">
        <f t="shared" si="56"/>
        <v>52.5</v>
      </c>
      <c r="H301">
        <f t="shared" si="57"/>
        <v>1</v>
      </c>
      <c r="I301">
        <f t="shared" si="58"/>
        <v>0.52181203556674882</v>
      </c>
      <c r="J301">
        <f t="shared" si="59"/>
        <v>-0.3246817885556601</v>
      </c>
      <c r="K301">
        <f t="shared" si="60"/>
        <v>0.95432595375211238</v>
      </c>
      <c r="L301">
        <f t="shared" si="61"/>
        <v>-4.6749995290259368E-2</v>
      </c>
      <c r="M301">
        <f t="shared" si="62"/>
        <v>0.53333333333333333</v>
      </c>
      <c r="N301">
        <f t="shared" si="63"/>
        <v>0.46666666666666667</v>
      </c>
      <c r="P301">
        <f t="shared" si="64"/>
        <v>270</v>
      </c>
      <c r="Q301">
        <f t="shared" si="65"/>
        <v>709.5</v>
      </c>
    </row>
    <row r="302" spans="1:17" x14ac:dyDescent="0.35">
      <c r="A302">
        <v>2022</v>
      </c>
      <c r="B302" s="15">
        <v>172</v>
      </c>
      <c r="C302" s="15">
        <v>31</v>
      </c>
      <c r="D302" s="12">
        <f t="shared" si="53"/>
        <v>21.5</v>
      </c>
      <c r="E302" s="27">
        <f t="shared" si="54"/>
        <v>0.43</v>
      </c>
      <c r="F302" s="27">
        <f t="shared" si="55"/>
        <v>0.62</v>
      </c>
      <c r="G302">
        <f t="shared" si="56"/>
        <v>52.5</v>
      </c>
      <c r="H302">
        <f t="shared" si="57"/>
        <v>1</v>
      </c>
      <c r="I302">
        <f t="shared" si="58"/>
        <v>-0.33140056261332301</v>
      </c>
      <c r="J302">
        <f t="shared" si="59"/>
        <v>2.1935226686356796E-2</v>
      </c>
      <c r="K302">
        <f t="shared" si="60"/>
        <v>0.91933873479646777</v>
      </c>
      <c r="L302">
        <f t="shared" si="61"/>
        <v>-8.4100633901133134E-2</v>
      </c>
      <c r="M302">
        <f t="shared" si="62"/>
        <v>0.59047619047619049</v>
      </c>
      <c r="N302">
        <f t="shared" si="63"/>
        <v>0.40952380952380951</v>
      </c>
      <c r="P302">
        <f t="shared" si="64"/>
        <v>684</v>
      </c>
      <c r="Q302">
        <f t="shared" si="65"/>
        <v>605</v>
      </c>
    </row>
    <row r="303" spans="1:17" x14ac:dyDescent="0.35">
      <c r="A303">
        <v>2022</v>
      </c>
      <c r="B303" s="15">
        <v>170</v>
      </c>
      <c r="C303" s="15">
        <v>31</v>
      </c>
      <c r="D303" s="12">
        <f t="shared" si="53"/>
        <v>21.25</v>
      </c>
      <c r="E303" s="27">
        <f t="shared" si="54"/>
        <v>0.42499999999999999</v>
      </c>
      <c r="F303" s="27">
        <f t="shared" si="55"/>
        <v>0.62</v>
      </c>
      <c r="G303">
        <f t="shared" si="56"/>
        <v>52.25</v>
      </c>
      <c r="H303">
        <f t="shared" si="57"/>
        <v>1</v>
      </c>
      <c r="I303">
        <f t="shared" si="58"/>
        <v>-0.40250161246166233</v>
      </c>
      <c r="J303">
        <f t="shared" si="59"/>
        <v>2.1935226686356796E-2</v>
      </c>
      <c r="K303">
        <f t="shared" si="60"/>
        <v>0.8930562199945723</v>
      </c>
      <c r="L303">
        <f t="shared" si="61"/>
        <v>-0.11310574376639437</v>
      </c>
      <c r="M303">
        <f t="shared" si="62"/>
        <v>0.59330143540669855</v>
      </c>
      <c r="N303">
        <f t="shared" si="63"/>
        <v>0.40669856459330145</v>
      </c>
      <c r="P303">
        <f t="shared" si="64"/>
        <v>720</v>
      </c>
      <c r="Q303">
        <f t="shared" si="65"/>
        <v>605</v>
      </c>
    </row>
    <row r="304" spans="1:17" x14ac:dyDescent="0.35">
      <c r="A304">
        <v>2022</v>
      </c>
      <c r="B304" s="15">
        <v>210</v>
      </c>
      <c r="C304" s="15">
        <v>26</v>
      </c>
      <c r="D304" s="12">
        <f t="shared" si="53"/>
        <v>26.25</v>
      </c>
      <c r="E304" s="27">
        <f t="shared" si="54"/>
        <v>0.52500000000000002</v>
      </c>
      <c r="F304" s="27">
        <f t="shared" si="55"/>
        <v>0.52</v>
      </c>
      <c r="G304">
        <f t="shared" si="56"/>
        <v>52.25</v>
      </c>
      <c r="H304">
        <f t="shared" si="57"/>
        <v>1</v>
      </c>
      <c r="I304">
        <f t="shared" si="58"/>
        <v>1.019519384505124</v>
      </c>
      <c r="J304">
        <f t="shared" si="59"/>
        <v>-0.55575979871700476</v>
      </c>
      <c r="K304">
        <f t="shared" si="60"/>
        <v>0.95821271740090319</v>
      </c>
      <c r="L304">
        <f t="shared" si="61"/>
        <v>-4.2685482443248747E-2</v>
      </c>
      <c r="M304">
        <f t="shared" si="62"/>
        <v>0.49760765550239233</v>
      </c>
      <c r="N304">
        <f t="shared" si="63"/>
        <v>0.50239234449760761</v>
      </c>
      <c r="P304">
        <f t="shared" si="64"/>
        <v>138.5</v>
      </c>
      <c r="Q304">
        <f t="shared" si="65"/>
        <v>796</v>
      </c>
    </row>
    <row r="305" spans="1:17" x14ac:dyDescent="0.35">
      <c r="A305">
        <v>2022</v>
      </c>
      <c r="B305" s="15">
        <v>201</v>
      </c>
      <c r="C305" s="15">
        <v>27</v>
      </c>
      <c r="D305" s="12">
        <f t="shared" si="53"/>
        <v>25.125</v>
      </c>
      <c r="E305" s="27">
        <f t="shared" si="54"/>
        <v>0.50249999999999995</v>
      </c>
      <c r="F305" s="27">
        <f t="shared" si="55"/>
        <v>0.54</v>
      </c>
      <c r="G305">
        <f t="shared" si="56"/>
        <v>52.125</v>
      </c>
      <c r="H305">
        <f t="shared" si="57"/>
        <v>1</v>
      </c>
      <c r="I305">
        <f t="shared" si="58"/>
        <v>0.69956466018759711</v>
      </c>
      <c r="J305">
        <f t="shared" si="59"/>
        <v>-0.44022079363633243</v>
      </c>
      <c r="K305">
        <f t="shared" si="60"/>
        <v>0.94130576400982757</v>
      </c>
      <c r="L305">
        <f t="shared" si="61"/>
        <v>-6.0487256990972689E-2</v>
      </c>
      <c r="M305">
        <f t="shared" si="62"/>
        <v>0.51798561151079137</v>
      </c>
      <c r="N305">
        <f t="shared" si="63"/>
        <v>0.48201438848920863</v>
      </c>
      <c r="P305">
        <f t="shared" si="64"/>
        <v>219.5</v>
      </c>
      <c r="Q305">
        <f t="shared" si="65"/>
        <v>752.5</v>
      </c>
    </row>
    <row r="306" spans="1:17" x14ac:dyDescent="0.35">
      <c r="A306">
        <v>2022</v>
      </c>
      <c r="B306" s="15">
        <v>165</v>
      </c>
      <c r="C306" s="15">
        <v>31</v>
      </c>
      <c r="D306" s="12">
        <f t="shared" si="53"/>
        <v>20.625</v>
      </c>
      <c r="E306" s="27">
        <f t="shared" si="54"/>
        <v>0.41249999999999998</v>
      </c>
      <c r="F306" s="27">
        <f t="shared" si="55"/>
        <v>0.62</v>
      </c>
      <c r="G306">
        <f t="shared" si="56"/>
        <v>51.625</v>
      </c>
      <c r="H306">
        <f t="shared" si="57"/>
        <v>1</v>
      </c>
      <c r="I306">
        <f t="shared" si="58"/>
        <v>-0.58025423708251056</v>
      </c>
      <c r="J306">
        <f t="shared" si="59"/>
        <v>2.1935226686356796E-2</v>
      </c>
      <c r="K306">
        <f t="shared" si="60"/>
        <v>0.79326531527390498</v>
      </c>
      <c r="L306">
        <f t="shared" si="61"/>
        <v>-0.23159754171005692</v>
      </c>
      <c r="M306">
        <f t="shared" si="62"/>
        <v>0.6004842615012107</v>
      </c>
      <c r="N306">
        <f t="shared" si="63"/>
        <v>0.39951573849878935</v>
      </c>
      <c r="P306">
        <f t="shared" si="64"/>
        <v>826.5</v>
      </c>
      <c r="Q306">
        <f t="shared" si="65"/>
        <v>605</v>
      </c>
    </row>
    <row r="307" spans="1:17" x14ac:dyDescent="0.35">
      <c r="A307">
        <v>2022</v>
      </c>
      <c r="B307" s="15">
        <v>172</v>
      </c>
      <c r="C307" s="15">
        <v>30</v>
      </c>
      <c r="D307" s="12">
        <f t="shared" si="53"/>
        <v>21.5</v>
      </c>
      <c r="E307" s="27">
        <f t="shared" si="54"/>
        <v>0.43</v>
      </c>
      <c r="F307" s="27">
        <f t="shared" si="55"/>
        <v>0.6</v>
      </c>
      <c r="G307">
        <f t="shared" si="56"/>
        <v>51.5</v>
      </c>
      <c r="H307">
        <f t="shared" si="57"/>
        <v>1</v>
      </c>
      <c r="I307">
        <f t="shared" si="58"/>
        <v>-0.33140056261332301</v>
      </c>
      <c r="J307">
        <f t="shared" si="59"/>
        <v>-9.3603778394315509E-2</v>
      </c>
      <c r="K307">
        <f t="shared" si="60"/>
        <v>0.80078738838141594</v>
      </c>
      <c r="L307">
        <f t="shared" si="61"/>
        <v>-0.22215979987959508</v>
      </c>
      <c r="M307">
        <f t="shared" si="62"/>
        <v>0.58252427184466016</v>
      </c>
      <c r="N307">
        <f t="shared" si="63"/>
        <v>0.41747572815533979</v>
      </c>
      <c r="P307">
        <f t="shared" si="64"/>
        <v>684</v>
      </c>
      <c r="Q307">
        <f t="shared" si="65"/>
        <v>639</v>
      </c>
    </row>
    <row r="308" spans="1:17" x14ac:dyDescent="0.35">
      <c r="A308">
        <v>2022</v>
      </c>
      <c r="B308" s="15">
        <v>196</v>
      </c>
      <c r="C308" s="15">
        <v>27</v>
      </c>
      <c r="D308" s="12">
        <f t="shared" si="53"/>
        <v>24.5</v>
      </c>
      <c r="E308" s="27">
        <f t="shared" si="54"/>
        <v>0.49</v>
      </c>
      <c r="F308" s="27">
        <f t="shared" si="55"/>
        <v>0.54</v>
      </c>
      <c r="G308">
        <f t="shared" si="56"/>
        <v>51.5</v>
      </c>
      <c r="H308">
        <f t="shared" si="57"/>
        <v>1</v>
      </c>
      <c r="I308">
        <f t="shared" si="58"/>
        <v>0.52181203556674882</v>
      </c>
      <c r="J308">
        <f t="shared" si="59"/>
        <v>-0.44022079363633243</v>
      </c>
      <c r="K308">
        <f t="shared" si="60"/>
        <v>0.88051348439502197</v>
      </c>
      <c r="L308">
        <f t="shared" si="61"/>
        <v>-0.12725003668838636</v>
      </c>
      <c r="M308">
        <f t="shared" si="62"/>
        <v>0.52427184466019416</v>
      </c>
      <c r="N308">
        <f t="shared" si="63"/>
        <v>0.47572815533980584</v>
      </c>
      <c r="P308">
        <f t="shared" si="64"/>
        <v>270</v>
      </c>
      <c r="Q308">
        <f t="shared" si="65"/>
        <v>752.5</v>
      </c>
    </row>
    <row r="309" spans="1:17" x14ac:dyDescent="0.35">
      <c r="A309">
        <v>2022</v>
      </c>
      <c r="B309" s="15">
        <v>186</v>
      </c>
      <c r="C309" s="15">
        <v>28</v>
      </c>
      <c r="D309" s="12">
        <f t="shared" si="53"/>
        <v>23.25</v>
      </c>
      <c r="E309" s="27">
        <f t="shared" si="54"/>
        <v>0.46500000000000002</v>
      </c>
      <c r="F309" s="27">
        <f t="shared" si="55"/>
        <v>0.56000000000000005</v>
      </c>
      <c r="G309">
        <f t="shared" si="56"/>
        <v>51.25</v>
      </c>
      <c r="H309">
        <f t="shared" si="57"/>
        <v>1</v>
      </c>
      <c r="I309">
        <f t="shared" si="58"/>
        <v>0.16630678632505219</v>
      </c>
      <c r="J309">
        <f t="shared" si="59"/>
        <v>-0.3246817885556601</v>
      </c>
      <c r="K309">
        <f t="shared" si="60"/>
        <v>0.81520997069517365</v>
      </c>
      <c r="L309">
        <f t="shared" si="61"/>
        <v>-0.20430956616807924</v>
      </c>
      <c r="M309">
        <f t="shared" si="62"/>
        <v>0.54634146341463419</v>
      </c>
      <c r="N309">
        <f t="shared" si="63"/>
        <v>0.45365853658536587</v>
      </c>
      <c r="P309">
        <f t="shared" si="64"/>
        <v>411.5</v>
      </c>
      <c r="Q309">
        <f t="shared" si="65"/>
        <v>709.5</v>
      </c>
    </row>
    <row r="310" spans="1:17" x14ac:dyDescent="0.35">
      <c r="A310">
        <v>2022</v>
      </c>
      <c r="B310" s="15">
        <v>215</v>
      </c>
      <c r="C310" s="15">
        <v>24</v>
      </c>
      <c r="D310" s="12">
        <f t="shared" si="53"/>
        <v>26.875</v>
      </c>
      <c r="E310" s="27">
        <f t="shared" si="54"/>
        <v>0.53749999999999998</v>
      </c>
      <c r="F310" s="27">
        <f t="shared" si="55"/>
        <v>0.48</v>
      </c>
      <c r="G310">
        <f t="shared" si="56"/>
        <v>50.875</v>
      </c>
      <c r="H310">
        <f t="shared" si="57"/>
        <v>1</v>
      </c>
      <c r="I310">
        <f t="shared" si="58"/>
        <v>1.1972720091259723</v>
      </c>
      <c r="J310">
        <f t="shared" si="59"/>
        <v>-0.78683780887834931</v>
      </c>
      <c r="K310">
        <f t="shared" si="60"/>
        <v>0.86125534909035439</v>
      </c>
      <c r="L310">
        <f t="shared" si="61"/>
        <v>-0.14936424582844199</v>
      </c>
      <c r="M310">
        <f t="shared" si="62"/>
        <v>0.47174447174447176</v>
      </c>
      <c r="N310">
        <f t="shared" si="63"/>
        <v>0.52825552825552824</v>
      </c>
      <c r="P310">
        <f t="shared" si="64"/>
        <v>105.5</v>
      </c>
      <c r="Q310">
        <f t="shared" si="65"/>
        <v>870</v>
      </c>
    </row>
    <row r="311" spans="1:17" x14ac:dyDescent="0.35">
      <c r="A311">
        <v>2022</v>
      </c>
      <c r="B311" s="15">
        <v>195</v>
      </c>
      <c r="C311" s="15">
        <v>26</v>
      </c>
      <c r="D311" s="12">
        <f t="shared" si="53"/>
        <v>24.375</v>
      </c>
      <c r="E311" s="27">
        <f t="shared" si="54"/>
        <v>0.48749999999999999</v>
      </c>
      <c r="F311" s="27">
        <f t="shared" si="55"/>
        <v>0.52</v>
      </c>
      <c r="G311">
        <f t="shared" si="56"/>
        <v>50.375</v>
      </c>
      <c r="H311">
        <f t="shared" si="57"/>
        <v>1</v>
      </c>
      <c r="I311">
        <f t="shared" si="58"/>
        <v>0.48626151064257911</v>
      </c>
      <c r="J311">
        <f t="shared" si="59"/>
        <v>-0.55575979871700476</v>
      </c>
      <c r="K311">
        <f t="shared" si="60"/>
        <v>0.6898896416858028</v>
      </c>
      <c r="L311">
        <f t="shared" si="61"/>
        <v>-0.37122363376832451</v>
      </c>
      <c r="M311">
        <f t="shared" si="62"/>
        <v>0.5161290322580645</v>
      </c>
      <c r="N311">
        <f t="shared" si="63"/>
        <v>0.4838709677419355</v>
      </c>
      <c r="P311">
        <f t="shared" si="64"/>
        <v>282.5</v>
      </c>
      <c r="Q311">
        <f t="shared" si="65"/>
        <v>796</v>
      </c>
    </row>
    <row r="312" spans="1:17" x14ac:dyDescent="0.35">
      <c r="A312">
        <v>2022</v>
      </c>
      <c r="B312" s="15">
        <v>210</v>
      </c>
      <c r="C312" s="15">
        <v>24</v>
      </c>
      <c r="D312" s="12">
        <f t="shared" si="53"/>
        <v>26.25</v>
      </c>
      <c r="E312" s="27">
        <f t="shared" si="54"/>
        <v>0.52500000000000002</v>
      </c>
      <c r="F312" s="27">
        <f t="shared" si="55"/>
        <v>0.48</v>
      </c>
      <c r="G312">
        <f t="shared" si="56"/>
        <v>50.25</v>
      </c>
      <c r="H312">
        <f t="shared" si="57"/>
        <v>1</v>
      </c>
      <c r="I312">
        <f t="shared" si="58"/>
        <v>1.019519384505124</v>
      </c>
      <c r="J312">
        <f t="shared" si="59"/>
        <v>-0.78683780887834931</v>
      </c>
      <c r="K312">
        <f t="shared" si="60"/>
        <v>0.74041584923357251</v>
      </c>
      <c r="L312">
        <f t="shared" si="61"/>
        <v>-0.30054329219967996</v>
      </c>
      <c r="M312">
        <f t="shared" si="62"/>
        <v>0.47761194029850745</v>
      </c>
      <c r="N312">
        <f t="shared" si="63"/>
        <v>0.52238805970149249</v>
      </c>
      <c r="P312">
        <f t="shared" si="64"/>
        <v>138.5</v>
      </c>
      <c r="Q312">
        <f t="shared" si="65"/>
        <v>870</v>
      </c>
    </row>
    <row r="313" spans="1:17" x14ac:dyDescent="0.35">
      <c r="A313">
        <v>2022</v>
      </c>
      <c r="B313" s="15">
        <v>225</v>
      </c>
      <c r="C313" s="15">
        <v>22</v>
      </c>
      <c r="D313" s="12">
        <f t="shared" si="53"/>
        <v>28.125</v>
      </c>
      <c r="E313" s="27">
        <f t="shared" si="54"/>
        <v>0.5625</v>
      </c>
      <c r="F313" s="27">
        <f t="shared" si="55"/>
        <v>0.44</v>
      </c>
      <c r="G313">
        <f t="shared" si="56"/>
        <v>50.125</v>
      </c>
      <c r="H313">
        <f t="shared" si="57"/>
        <v>1</v>
      </c>
      <c r="I313">
        <f t="shared" si="58"/>
        <v>1.5527772583676689</v>
      </c>
      <c r="J313">
        <f t="shared" si="59"/>
        <v>-1.017915819039694</v>
      </c>
      <c r="K313">
        <f t="shared" si="60"/>
        <v>0.78527211002040431</v>
      </c>
      <c r="L313">
        <f t="shared" si="61"/>
        <v>-0.24172498429577469</v>
      </c>
      <c r="M313">
        <f t="shared" si="62"/>
        <v>0.43890274314214461</v>
      </c>
      <c r="N313">
        <f t="shared" si="63"/>
        <v>0.56109725685785539</v>
      </c>
      <c r="P313">
        <f t="shared" si="64"/>
        <v>73.5</v>
      </c>
      <c r="Q313">
        <f t="shared" si="65"/>
        <v>936.5</v>
      </c>
    </row>
    <row r="314" spans="1:17" x14ac:dyDescent="0.35">
      <c r="A314">
        <v>2022</v>
      </c>
      <c r="B314" s="15">
        <v>207</v>
      </c>
      <c r="C314" s="15">
        <v>24</v>
      </c>
      <c r="D314" s="12">
        <f t="shared" si="53"/>
        <v>25.875</v>
      </c>
      <c r="E314" s="27">
        <f t="shared" si="54"/>
        <v>0.51749999999999996</v>
      </c>
      <c r="F314" s="27">
        <f t="shared" si="55"/>
        <v>0.48</v>
      </c>
      <c r="G314">
        <f t="shared" si="56"/>
        <v>49.875</v>
      </c>
      <c r="H314">
        <f t="shared" si="57"/>
        <v>0</v>
      </c>
      <c r="I314">
        <f t="shared" si="58"/>
        <v>0.91286780973261505</v>
      </c>
      <c r="J314">
        <f t="shared" si="59"/>
        <v>-0.78683780887834931</v>
      </c>
      <c r="K314">
        <f t="shared" si="60"/>
        <v>0.64142540700931172</v>
      </c>
      <c r="L314">
        <f t="shared" si="61"/>
        <v>-1.0256185708769288</v>
      </c>
      <c r="M314">
        <f t="shared" si="62"/>
        <v>0.48120300751879697</v>
      </c>
      <c r="N314">
        <f t="shared" si="63"/>
        <v>0.51879699248120303</v>
      </c>
      <c r="P314">
        <f t="shared" si="64"/>
        <v>168</v>
      </c>
      <c r="Q314">
        <f t="shared" si="65"/>
        <v>870</v>
      </c>
    </row>
    <row r="315" spans="1:17" x14ac:dyDescent="0.35">
      <c r="A315">
        <v>2022</v>
      </c>
      <c r="B315" s="15">
        <v>158</v>
      </c>
      <c r="C315" s="15">
        <v>30</v>
      </c>
      <c r="D315" s="12">
        <f t="shared" si="53"/>
        <v>19.75</v>
      </c>
      <c r="E315" s="27">
        <f t="shared" si="54"/>
        <v>0.39500000000000002</v>
      </c>
      <c r="F315" s="27">
        <f t="shared" si="55"/>
        <v>0.6</v>
      </c>
      <c r="G315">
        <f t="shared" si="56"/>
        <v>49.75</v>
      </c>
      <c r="H315">
        <f t="shared" si="57"/>
        <v>0</v>
      </c>
      <c r="I315">
        <f t="shared" si="58"/>
        <v>-0.82910791155169816</v>
      </c>
      <c r="J315">
        <f t="shared" si="59"/>
        <v>-9.3603778394315509E-2</v>
      </c>
      <c r="K315">
        <f t="shared" si="60"/>
        <v>0.31300097857917986</v>
      </c>
      <c r="L315">
        <f t="shared" si="61"/>
        <v>-0.37542241118464481</v>
      </c>
      <c r="M315">
        <f t="shared" si="62"/>
        <v>0.60301507537688437</v>
      </c>
      <c r="N315">
        <f t="shared" si="63"/>
        <v>0.39698492462311558</v>
      </c>
      <c r="P315">
        <f t="shared" si="64"/>
        <v>940.5</v>
      </c>
      <c r="Q315">
        <f t="shared" si="65"/>
        <v>639</v>
      </c>
    </row>
    <row r="316" spans="1:17" x14ac:dyDescent="0.35">
      <c r="A316">
        <v>2022</v>
      </c>
      <c r="B316" s="15">
        <v>206</v>
      </c>
      <c r="C316" s="15">
        <v>24</v>
      </c>
      <c r="D316" s="12">
        <f t="shared" si="53"/>
        <v>25.75</v>
      </c>
      <c r="E316" s="27">
        <f t="shared" si="54"/>
        <v>0.51500000000000001</v>
      </c>
      <c r="F316" s="27">
        <f t="shared" si="55"/>
        <v>0.48</v>
      </c>
      <c r="G316">
        <f t="shared" si="56"/>
        <v>49.75</v>
      </c>
      <c r="H316">
        <f t="shared" si="57"/>
        <v>0</v>
      </c>
      <c r="I316">
        <f t="shared" si="58"/>
        <v>0.8773172848084454</v>
      </c>
      <c r="J316">
        <f t="shared" si="59"/>
        <v>-0.78683780887834931</v>
      </c>
      <c r="K316">
        <f t="shared" si="60"/>
        <v>0.60492556680794074</v>
      </c>
      <c r="L316">
        <f t="shared" si="61"/>
        <v>-0.92868109337240234</v>
      </c>
      <c r="M316">
        <f t="shared" si="62"/>
        <v>0.48241206030150752</v>
      </c>
      <c r="N316">
        <f t="shared" si="63"/>
        <v>0.51758793969849248</v>
      </c>
      <c r="P316">
        <f t="shared" si="64"/>
        <v>178</v>
      </c>
      <c r="Q316">
        <f t="shared" si="65"/>
        <v>870</v>
      </c>
    </row>
    <row r="317" spans="1:17" x14ac:dyDescent="0.35">
      <c r="A317">
        <v>2022</v>
      </c>
      <c r="B317" s="15">
        <v>190</v>
      </c>
      <c r="C317" s="15">
        <v>26</v>
      </c>
      <c r="D317" s="12">
        <f t="shared" si="53"/>
        <v>23.75</v>
      </c>
      <c r="E317" s="27">
        <f t="shared" si="54"/>
        <v>0.47499999999999998</v>
      </c>
      <c r="F317" s="27">
        <f t="shared" si="55"/>
        <v>0.52</v>
      </c>
      <c r="G317">
        <f t="shared" si="56"/>
        <v>49.75</v>
      </c>
      <c r="H317">
        <f t="shared" si="57"/>
        <v>0</v>
      </c>
      <c r="I317">
        <f t="shared" si="58"/>
        <v>0.30850888602173082</v>
      </c>
      <c r="J317">
        <f t="shared" si="59"/>
        <v>-0.55575979871700476</v>
      </c>
      <c r="K317">
        <f t="shared" si="60"/>
        <v>0.50549443871907296</v>
      </c>
      <c r="L317">
        <f t="shared" si="61"/>
        <v>-0.70419688171177586</v>
      </c>
      <c r="M317">
        <f t="shared" si="62"/>
        <v>0.52261306532663321</v>
      </c>
      <c r="N317">
        <f t="shared" si="63"/>
        <v>0.47738693467336685</v>
      </c>
      <c r="P317">
        <f t="shared" si="64"/>
        <v>341</v>
      </c>
      <c r="Q317">
        <f t="shared" si="65"/>
        <v>796</v>
      </c>
    </row>
    <row r="318" spans="1:17" x14ac:dyDescent="0.35">
      <c r="A318">
        <v>2022</v>
      </c>
      <c r="B318" s="15">
        <v>188</v>
      </c>
      <c r="C318" s="15">
        <v>26</v>
      </c>
      <c r="D318" s="12">
        <f t="shared" si="53"/>
        <v>23.5</v>
      </c>
      <c r="E318" s="27">
        <f t="shared" si="54"/>
        <v>0.47</v>
      </c>
      <c r="F318" s="27">
        <f t="shared" si="55"/>
        <v>0.52</v>
      </c>
      <c r="G318">
        <f t="shared" si="56"/>
        <v>49.5</v>
      </c>
      <c r="H318">
        <f t="shared" si="57"/>
        <v>0</v>
      </c>
      <c r="I318">
        <f t="shared" si="58"/>
        <v>0.23740783617339151</v>
      </c>
      <c r="J318">
        <f t="shared" si="59"/>
        <v>-0.55575979871700476</v>
      </c>
      <c r="K318">
        <f t="shared" si="60"/>
        <v>0.42823125044541249</v>
      </c>
      <c r="L318">
        <f t="shared" si="61"/>
        <v>-0.55902065334262274</v>
      </c>
      <c r="M318">
        <f t="shared" si="62"/>
        <v>0.5252525252525253</v>
      </c>
      <c r="N318">
        <f t="shared" si="63"/>
        <v>0.47474747474747475</v>
      </c>
      <c r="P318">
        <f t="shared" si="64"/>
        <v>374.5</v>
      </c>
      <c r="Q318">
        <f t="shared" si="65"/>
        <v>796</v>
      </c>
    </row>
    <row r="319" spans="1:17" x14ac:dyDescent="0.35">
      <c r="A319">
        <v>2022</v>
      </c>
      <c r="B319" s="15">
        <v>188</v>
      </c>
      <c r="C319" s="15">
        <v>26</v>
      </c>
      <c r="D319" s="12">
        <f t="shared" si="53"/>
        <v>23.5</v>
      </c>
      <c r="E319" s="27">
        <f t="shared" si="54"/>
        <v>0.47</v>
      </c>
      <c r="F319" s="27">
        <f t="shared" si="55"/>
        <v>0.52</v>
      </c>
      <c r="G319">
        <f t="shared" si="56"/>
        <v>49.5</v>
      </c>
      <c r="H319">
        <f t="shared" si="57"/>
        <v>0</v>
      </c>
      <c r="I319">
        <f t="shared" si="58"/>
        <v>0.23740783617339151</v>
      </c>
      <c r="J319">
        <f t="shared" si="59"/>
        <v>-0.55575979871700476</v>
      </c>
      <c r="K319">
        <f t="shared" si="60"/>
        <v>0.42823125044541249</v>
      </c>
      <c r="L319">
        <f t="shared" si="61"/>
        <v>-0.55902065334262274</v>
      </c>
      <c r="M319">
        <f t="shared" si="62"/>
        <v>0.5252525252525253</v>
      </c>
      <c r="N319">
        <f t="shared" si="63"/>
        <v>0.47474747474747475</v>
      </c>
      <c r="P319">
        <f t="shared" si="64"/>
        <v>374.5</v>
      </c>
      <c r="Q319">
        <f t="shared" si="65"/>
        <v>796</v>
      </c>
    </row>
    <row r="320" spans="1:17" x14ac:dyDescent="0.35">
      <c r="A320">
        <v>2022</v>
      </c>
      <c r="B320" s="15">
        <v>171</v>
      </c>
      <c r="C320" s="15">
        <v>28</v>
      </c>
      <c r="D320" s="12">
        <f t="shared" si="53"/>
        <v>21.375</v>
      </c>
      <c r="E320" s="27">
        <f t="shared" si="54"/>
        <v>0.42749999999999999</v>
      </c>
      <c r="F320" s="27">
        <f t="shared" si="55"/>
        <v>0.56000000000000005</v>
      </c>
      <c r="G320">
        <f t="shared" si="56"/>
        <v>49.375</v>
      </c>
      <c r="H320">
        <f t="shared" si="57"/>
        <v>0</v>
      </c>
      <c r="I320">
        <f t="shared" si="58"/>
        <v>-0.36695108753749267</v>
      </c>
      <c r="J320">
        <f t="shared" si="59"/>
        <v>-0.3246817885556601</v>
      </c>
      <c r="K320">
        <f t="shared" si="60"/>
        <v>0.29971637478471619</v>
      </c>
      <c r="L320">
        <f t="shared" si="61"/>
        <v>-0.35626984712255155</v>
      </c>
      <c r="M320">
        <f t="shared" si="62"/>
        <v>0.56708860759493673</v>
      </c>
      <c r="N320">
        <f t="shared" si="63"/>
        <v>0.43291139240506327</v>
      </c>
      <c r="P320">
        <f t="shared" si="64"/>
        <v>700</v>
      </c>
      <c r="Q320">
        <f t="shared" si="65"/>
        <v>709.5</v>
      </c>
    </row>
    <row r="321" spans="1:17" x14ac:dyDescent="0.35">
      <c r="A321">
        <v>2022</v>
      </c>
      <c r="B321" s="15">
        <v>162</v>
      </c>
      <c r="C321" s="15">
        <v>29</v>
      </c>
      <c r="D321" s="12">
        <f t="shared" si="53"/>
        <v>20.25</v>
      </c>
      <c r="E321" s="27">
        <f t="shared" si="54"/>
        <v>0.40500000000000003</v>
      </c>
      <c r="F321" s="27">
        <f t="shared" si="55"/>
        <v>0.57999999999999996</v>
      </c>
      <c r="G321">
        <f t="shared" si="56"/>
        <v>49.25</v>
      </c>
      <c r="H321">
        <f t="shared" si="57"/>
        <v>0</v>
      </c>
      <c r="I321">
        <f t="shared" si="58"/>
        <v>-0.68690581185501953</v>
      </c>
      <c r="J321">
        <f t="shared" si="59"/>
        <v>-0.2091427834749878</v>
      </c>
      <c r="K321">
        <f t="shared" si="60"/>
        <v>0.23037409442555576</v>
      </c>
      <c r="L321">
        <f t="shared" si="61"/>
        <v>-0.26185071910770752</v>
      </c>
      <c r="M321">
        <f t="shared" si="62"/>
        <v>0.58883248730964466</v>
      </c>
      <c r="N321">
        <f t="shared" si="63"/>
        <v>0.41116751269035534</v>
      </c>
      <c r="P321">
        <f t="shared" si="64"/>
        <v>876</v>
      </c>
      <c r="Q321">
        <f t="shared" si="65"/>
        <v>671</v>
      </c>
    </row>
    <row r="322" spans="1:17" x14ac:dyDescent="0.35">
      <c r="A322">
        <v>2022</v>
      </c>
      <c r="B322" s="15">
        <v>176</v>
      </c>
      <c r="C322" s="15">
        <v>27</v>
      </c>
      <c r="D322" s="12">
        <f t="shared" si="53"/>
        <v>22</v>
      </c>
      <c r="E322" s="27">
        <f t="shared" si="54"/>
        <v>0.44</v>
      </c>
      <c r="F322" s="27">
        <f t="shared" si="55"/>
        <v>0.54</v>
      </c>
      <c r="G322">
        <f t="shared" si="56"/>
        <v>49</v>
      </c>
      <c r="H322">
        <f t="shared" si="57"/>
        <v>0</v>
      </c>
      <c r="I322">
        <f t="shared" si="58"/>
        <v>-0.18919846291664436</v>
      </c>
      <c r="J322">
        <f t="shared" si="59"/>
        <v>-0.44022079363633243</v>
      </c>
      <c r="K322">
        <f t="shared" si="60"/>
        <v>0.24727527682873449</v>
      </c>
      <c r="L322">
        <f t="shared" si="61"/>
        <v>-0.28405569149825238</v>
      </c>
      <c r="M322">
        <f t="shared" si="62"/>
        <v>0.55102040816326525</v>
      </c>
      <c r="N322">
        <f t="shared" si="63"/>
        <v>0.44897959183673469</v>
      </c>
      <c r="P322">
        <f t="shared" si="64"/>
        <v>607.5</v>
      </c>
      <c r="Q322">
        <f t="shared" si="65"/>
        <v>752.5</v>
      </c>
    </row>
    <row r="323" spans="1:17" x14ac:dyDescent="0.35">
      <c r="A323">
        <v>2022</v>
      </c>
      <c r="B323" s="15">
        <v>176</v>
      </c>
      <c r="C323" s="15">
        <v>27</v>
      </c>
      <c r="D323" s="12">
        <f t="shared" ref="D323:D386" si="66">B323/8</f>
        <v>22</v>
      </c>
      <c r="E323" s="27">
        <f t="shared" ref="E323:E386" si="67">B323/400</f>
        <v>0.44</v>
      </c>
      <c r="F323" s="27">
        <f t="shared" ref="F323:F386" si="68">C323/50</f>
        <v>0.54</v>
      </c>
      <c r="G323">
        <f t="shared" ref="G323:G386" si="69">SUM(C323+D323)</f>
        <v>49</v>
      </c>
      <c r="H323">
        <f t="shared" ref="H323:H386" si="70">IF(G323&gt;=50,1,0)</f>
        <v>0</v>
      </c>
      <c r="I323">
        <f t="shared" ref="I323:I386" si="71" xml:space="preserve"> (D:D - AVERAGE(D:D)) / STDEV(D:D)</f>
        <v>-0.18919846291664436</v>
      </c>
      <c r="J323">
        <f t="shared" ref="J323:J386" si="72" xml:space="preserve"> (C:C - AVERAGE(C:C)) / STDEV(C:C)</f>
        <v>-0.44022079363633243</v>
      </c>
      <c r="K323">
        <f t="shared" ref="K323:K386" si="73">1/(1+EXP(-($AD$25 +$AD$26 * I323 +$AD$27 * J323 )))</f>
        <v>0.24727527682873449</v>
      </c>
      <c r="L323">
        <f t="shared" ref="L323:L386" si="74">IF(K323=0, -1000, IF(K323=1, -1000, H323 * LN(K323) + (1 - H323) * LN(1 - K323)))</f>
        <v>-0.28405569149825238</v>
      </c>
      <c r="M323">
        <f t="shared" ref="M323:M386" si="75">IF(G323=0, 0,  C323  / G323 )</f>
        <v>0.55102040816326525</v>
      </c>
      <c r="N323">
        <f t="shared" ref="N323:N386" si="76">IF(G323=0, 0,  D323  / G323 )</f>
        <v>0.44897959183673469</v>
      </c>
      <c r="P323">
        <f t="shared" ref="P323:P386" si="77">_xlfn.RANK.AVG(B323,$B$2:$B$1144)</f>
        <v>607.5</v>
      </c>
      <c r="Q323">
        <f t="shared" ref="Q323:Q386" si="78">_xlfn.RANK.AVG(C323,$C$2:$C$1144)</f>
        <v>752.5</v>
      </c>
    </row>
    <row r="324" spans="1:17" x14ac:dyDescent="0.35">
      <c r="A324">
        <v>2022</v>
      </c>
      <c r="B324" s="15">
        <v>176</v>
      </c>
      <c r="C324" s="15">
        <v>27</v>
      </c>
      <c r="D324" s="12">
        <f t="shared" si="66"/>
        <v>22</v>
      </c>
      <c r="E324" s="27">
        <f t="shared" si="67"/>
        <v>0.44</v>
      </c>
      <c r="F324" s="27">
        <f t="shared" si="68"/>
        <v>0.54</v>
      </c>
      <c r="G324">
        <f t="shared" si="69"/>
        <v>49</v>
      </c>
      <c r="H324">
        <f t="shared" si="70"/>
        <v>0</v>
      </c>
      <c r="I324">
        <f t="shared" si="71"/>
        <v>-0.18919846291664436</v>
      </c>
      <c r="J324">
        <f t="shared" si="72"/>
        <v>-0.44022079363633243</v>
      </c>
      <c r="K324">
        <f t="shared" si="73"/>
        <v>0.24727527682873449</v>
      </c>
      <c r="L324">
        <f t="shared" si="74"/>
        <v>-0.28405569149825238</v>
      </c>
      <c r="M324">
        <f t="shared" si="75"/>
        <v>0.55102040816326525</v>
      </c>
      <c r="N324">
        <f t="shared" si="76"/>
        <v>0.44897959183673469</v>
      </c>
      <c r="P324">
        <f t="shared" si="77"/>
        <v>607.5</v>
      </c>
      <c r="Q324">
        <f t="shared" si="78"/>
        <v>752.5</v>
      </c>
    </row>
    <row r="325" spans="1:17" x14ac:dyDescent="0.35">
      <c r="A325">
        <v>2022</v>
      </c>
      <c r="B325" s="15">
        <v>159</v>
      </c>
      <c r="C325" s="15">
        <v>29</v>
      </c>
      <c r="D325" s="12">
        <f t="shared" si="66"/>
        <v>19.875</v>
      </c>
      <c r="E325" s="27">
        <f t="shared" si="67"/>
        <v>0.39750000000000002</v>
      </c>
      <c r="F325" s="27">
        <f t="shared" si="68"/>
        <v>0.57999999999999996</v>
      </c>
      <c r="G325">
        <f t="shared" si="69"/>
        <v>48.875</v>
      </c>
      <c r="H325">
        <f t="shared" si="70"/>
        <v>0</v>
      </c>
      <c r="I325">
        <f t="shared" si="71"/>
        <v>-0.7935573866275285</v>
      </c>
      <c r="J325">
        <f t="shared" si="72"/>
        <v>-0.2091427834749878</v>
      </c>
      <c r="K325">
        <f t="shared" si="73"/>
        <v>0.15805455776992089</v>
      </c>
      <c r="L325">
        <f t="shared" si="74"/>
        <v>-0.17204006229033866</v>
      </c>
      <c r="M325">
        <f t="shared" si="75"/>
        <v>0.59335038363171355</v>
      </c>
      <c r="N325">
        <f t="shared" si="76"/>
        <v>0.40664961636828645</v>
      </c>
      <c r="P325">
        <f t="shared" si="77"/>
        <v>923</v>
      </c>
      <c r="Q325">
        <f t="shared" si="78"/>
        <v>671</v>
      </c>
    </row>
    <row r="326" spans="1:17" x14ac:dyDescent="0.35">
      <c r="A326">
        <v>2022</v>
      </c>
      <c r="B326" s="15">
        <v>150</v>
      </c>
      <c r="C326" s="15">
        <v>30</v>
      </c>
      <c r="D326" s="12">
        <f t="shared" si="66"/>
        <v>18.75</v>
      </c>
      <c r="E326" s="27">
        <f t="shared" si="67"/>
        <v>0.375</v>
      </c>
      <c r="F326" s="27">
        <f t="shared" si="68"/>
        <v>0.6</v>
      </c>
      <c r="G326">
        <f t="shared" si="69"/>
        <v>48.75</v>
      </c>
      <c r="H326">
        <f t="shared" si="70"/>
        <v>0</v>
      </c>
      <c r="I326">
        <f t="shared" si="71"/>
        <v>-1.1135121109450554</v>
      </c>
      <c r="J326">
        <f t="shared" si="72"/>
        <v>-9.3603778394315509E-2</v>
      </c>
      <c r="K326">
        <f t="shared" si="73"/>
        <v>0.11605545475781782</v>
      </c>
      <c r="L326">
        <f t="shared" si="74"/>
        <v>-0.12336094993869519</v>
      </c>
      <c r="M326">
        <f t="shared" si="75"/>
        <v>0.61538461538461542</v>
      </c>
      <c r="N326">
        <f t="shared" si="76"/>
        <v>0.38461538461538464</v>
      </c>
      <c r="P326">
        <f t="shared" si="77"/>
        <v>1041</v>
      </c>
      <c r="Q326">
        <f t="shared" si="78"/>
        <v>639</v>
      </c>
    </row>
    <row r="327" spans="1:17" x14ac:dyDescent="0.35">
      <c r="A327">
        <v>2022</v>
      </c>
      <c r="B327" s="15">
        <v>174</v>
      </c>
      <c r="C327" s="15">
        <v>27</v>
      </c>
      <c r="D327" s="12">
        <f t="shared" si="66"/>
        <v>21.75</v>
      </c>
      <c r="E327" s="27">
        <f t="shared" si="67"/>
        <v>0.435</v>
      </c>
      <c r="F327" s="27">
        <f t="shared" si="68"/>
        <v>0.54</v>
      </c>
      <c r="G327">
        <f t="shared" si="69"/>
        <v>48.75</v>
      </c>
      <c r="H327">
        <f t="shared" si="70"/>
        <v>0</v>
      </c>
      <c r="I327">
        <f t="shared" si="71"/>
        <v>-0.2602995127649837</v>
      </c>
      <c r="J327">
        <f t="shared" si="72"/>
        <v>-0.44022079363633243</v>
      </c>
      <c r="K327">
        <f t="shared" si="73"/>
        <v>0.19399660416031517</v>
      </c>
      <c r="L327">
        <f t="shared" si="74"/>
        <v>-0.21566732328378274</v>
      </c>
      <c r="M327">
        <f t="shared" si="75"/>
        <v>0.55384615384615388</v>
      </c>
      <c r="N327">
        <f t="shared" si="76"/>
        <v>0.44615384615384618</v>
      </c>
      <c r="P327">
        <f t="shared" si="77"/>
        <v>653</v>
      </c>
      <c r="Q327">
        <f t="shared" si="78"/>
        <v>752.5</v>
      </c>
    </row>
    <row r="328" spans="1:17" x14ac:dyDescent="0.35">
      <c r="A328">
        <v>2022</v>
      </c>
      <c r="B328" s="15">
        <v>156</v>
      </c>
      <c r="C328" s="15">
        <v>29</v>
      </c>
      <c r="D328" s="12">
        <f t="shared" si="66"/>
        <v>19.5</v>
      </c>
      <c r="E328" s="27">
        <f t="shared" si="67"/>
        <v>0.39</v>
      </c>
      <c r="F328" s="27">
        <f t="shared" si="68"/>
        <v>0.57999999999999996</v>
      </c>
      <c r="G328">
        <f t="shared" si="69"/>
        <v>48.5</v>
      </c>
      <c r="H328">
        <f t="shared" si="70"/>
        <v>0</v>
      </c>
      <c r="I328">
        <f t="shared" si="71"/>
        <v>-0.90020896140003748</v>
      </c>
      <c r="J328">
        <f t="shared" si="72"/>
        <v>-0.2091427834749878</v>
      </c>
      <c r="K328">
        <f t="shared" si="73"/>
        <v>0.10533064544585009</v>
      </c>
      <c r="L328">
        <f t="shared" si="74"/>
        <v>-0.1113010652180124</v>
      </c>
      <c r="M328">
        <f t="shared" si="75"/>
        <v>0.59793814432989689</v>
      </c>
      <c r="N328">
        <f t="shared" si="76"/>
        <v>0.40206185567010311</v>
      </c>
      <c r="P328">
        <f t="shared" si="77"/>
        <v>968</v>
      </c>
      <c r="Q328">
        <f t="shared" si="78"/>
        <v>671</v>
      </c>
    </row>
    <row r="329" spans="1:17" x14ac:dyDescent="0.35">
      <c r="A329">
        <v>2022</v>
      </c>
      <c r="B329" s="15">
        <v>179</v>
      </c>
      <c r="C329" s="15">
        <v>26</v>
      </c>
      <c r="D329" s="12">
        <f t="shared" si="66"/>
        <v>22.375</v>
      </c>
      <c r="E329" s="27">
        <f t="shared" si="67"/>
        <v>0.44750000000000001</v>
      </c>
      <c r="F329" s="27">
        <f t="shared" si="68"/>
        <v>0.52</v>
      </c>
      <c r="G329">
        <f t="shared" si="69"/>
        <v>48.375</v>
      </c>
      <c r="H329">
        <f t="shared" si="70"/>
        <v>0</v>
      </c>
      <c r="I329">
        <f t="shared" si="71"/>
        <v>-8.2546888144135397E-2</v>
      </c>
      <c r="J329">
        <f t="shared" si="72"/>
        <v>-0.55575979871700476</v>
      </c>
      <c r="K329">
        <f t="shared" si="73"/>
        <v>0.15593426061888818</v>
      </c>
      <c r="L329">
        <f t="shared" si="74"/>
        <v>-0.16952489715748803</v>
      </c>
      <c r="M329">
        <f t="shared" si="75"/>
        <v>0.53746770025839796</v>
      </c>
      <c r="N329">
        <f t="shared" si="76"/>
        <v>0.46253229974160209</v>
      </c>
      <c r="P329">
        <f t="shared" si="77"/>
        <v>547</v>
      </c>
      <c r="Q329">
        <f t="shared" si="78"/>
        <v>796</v>
      </c>
    </row>
    <row r="330" spans="1:17" x14ac:dyDescent="0.35">
      <c r="A330">
        <v>2022</v>
      </c>
      <c r="B330" s="15">
        <v>210</v>
      </c>
      <c r="C330" s="15">
        <v>22</v>
      </c>
      <c r="D330" s="12">
        <f t="shared" si="66"/>
        <v>26.25</v>
      </c>
      <c r="E330" s="27">
        <f t="shared" si="67"/>
        <v>0.52500000000000002</v>
      </c>
      <c r="F330" s="27">
        <f t="shared" si="68"/>
        <v>0.44</v>
      </c>
      <c r="G330">
        <f t="shared" si="69"/>
        <v>48.25</v>
      </c>
      <c r="H330">
        <f t="shared" si="70"/>
        <v>0</v>
      </c>
      <c r="I330">
        <f t="shared" si="71"/>
        <v>1.019519384505124</v>
      </c>
      <c r="J330">
        <f t="shared" si="72"/>
        <v>-1.017915819039694</v>
      </c>
      <c r="K330">
        <f t="shared" si="73"/>
        <v>0.2618808495035308</v>
      </c>
      <c r="L330">
        <f t="shared" si="74"/>
        <v>-0.30365001687617871</v>
      </c>
      <c r="M330">
        <f t="shared" si="75"/>
        <v>0.45595854922279794</v>
      </c>
      <c r="N330">
        <f t="shared" si="76"/>
        <v>0.54404145077720212</v>
      </c>
      <c r="P330">
        <f t="shared" si="77"/>
        <v>138.5</v>
      </c>
      <c r="Q330">
        <f t="shared" si="78"/>
        <v>936.5</v>
      </c>
    </row>
    <row r="331" spans="1:17" x14ac:dyDescent="0.35">
      <c r="A331">
        <v>2022</v>
      </c>
      <c r="B331" s="15">
        <v>216</v>
      </c>
      <c r="C331" s="15">
        <v>21</v>
      </c>
      <c r="D331" s="12">
        <f t="shared" si="66"/>
        <v>27</v>
      </c>
      <c r="E331" s="27">
        <f t="shared" si="67"/>
        <v>0.54</v>
      </c>
      <c r="F331" s="27">
        <f t="shared" si="68"/>
        <v>0.42</v>
      </c>
      <c r="G331">
        <f t="shared" si="69"/>
        <v>48</v>
      </c>
      <c r="H331">
        <f t="shared" si="70"/>
        <v>0</v>
      </c>
      <c r="I331">
        <f t="shared" si="71"/>
        <v>1.232822534050142</v>
      </c>
      <c r="J331">
        <f t="shared" si="72"/>
        <v>-1.1334548241203661</v>
      </c>
      <c r="K331">
        <f t="shared" si="73"/>
        <v>0.24135972788273566</v>
      </c>
      <c r="L331">
        <f t="shared" si="74"/>
        <v>-0.27622756371582941</v>
      </c>
      <c r="M331">
        <f t="shared" si="75"/>
        <v>0.4375</v>
      </c>
      <c r="N331">
        <f t="shared" si="76"/>
        <v>0.5625</v>
      </c>
      <c r="P331">
        <f t="shared" si="77"/>
        <v>98.5</v>
      </c>
      <c r="Q331">
        <f t="shared" si="78"/>
        <v>967.5</v>
      </c>
    </row>
    <row r="332" spans="1:17" x14ac:dyDescent="0.35">
      <c r="A332">
        <v>2022</v>
      </c>
      <c r="B332" s="15">
        <v>176</v>
      </c>
      <c r="C332" s="15">
        <v>26</v>
      </c>
      <c r="D332" s="12">
        <f t="shared" si="66"/>
        <v>22</v>
      </c>
      <c r="E332" s="27">
        <f t="shared" si="67"/>
        <v>0.44</v>
      </c>
      <c r="F332" s="27">
        <f t="shared" si="68"/>
        <v>0.52</v>
      </c>
      <c r="G332">
        <f t="shared" si="69"/>
        <v>48</v>
      </c>
      <c r="H332">
        <f t="shared" si="70"/>
        <v>0</v>
      </c>
      <c r="I332">
        <f t="shared" si="71"/>
        <v>-0.18919846291664436</v>
      </c>
      <c r="J332">
        <f t="shared" si="72"/>
        <v>-0.55575979871700476</v>
      </c>
      <c r="K332">
        <f t="shared" si="73"/>
        <v>0.10383041360140625</v>
      </c>
      <c r="L332">
        <f t="shared" si="74"/>
        <v>-0.1096256133824695</v>
      </c>
      <c r="M332">
        <f t="shared" si="75"/>
        <v>0.54166666666666663</v>
      </c>
      <c r="N332">
        <f t="shared" si="76"/>
        <v>0.45833333333333331</v>
      </c>
      <c r="P332">
        <f t="shared" si="77"/>
        <v>607.5</v>
      </c>
      <c r="Q332">
        <f t="shared" si="78"/>
        <v>796</v>
      </c>
    </row>
    <row r="333" spans="1:17" x14ac:dyDescent="0.35">
      <c r="A333">
        <v>2022</v>
      </c>
      <c r="B333" s="15">
        <v>182</v>
      </c>
      <c r="C333" s="15">
        <v>25</v>
      </c>
      <c r="D333" s="12">
        <f t="shared" si="66"/>
        <v>22.75</v>
      </c>
      <c r="E333" s="27">
        <f t="shared" si="67"/>
        <v>0.45500000000000002</v>
      </c>
      <c r="F333" s="27">
        <f t="shared" si="68"/>
        <v>0.5</v>
      </c>
      <c r="G333">
        <f t="shared" si="69"/>
        <v>47.75</v>
      </c>
      <c r="H333">
        <f t="shared" si="70"/>
        <v>0</v>
      </c>
      <c r="I333">
        <f t="shared" si="71"/>
        <v>2.4104686628373572E-2</v>
      </c>
      <c r="J333">
        <f t="shared" si="72"/>
        <v>-0.67129880379767704</v>
      </c>
      <c r="K333">
        <f t="shared" si="73"/>
        <v>9.4115049331816442E-2</v>
      </c>
      <c r="L333">
        <f t="shared" si="74"/>
        <v>-9.8842967020022141E-2</v>
      </c>
      <c r="M333">
        <f t="shared" si="75"/>
        <v>0.52356020942408377</v>
      </c>
      <c r="N333">
        <f t="shared" si="76"/>
        <v>0.47643979057591623</v>
      </c>
      <c r="P333">
        <f t="shared" si="77"/>
        <v>484.5</v>
      </c>
      <c r="Q333">
        <f t="shared" si="78"/>
        <v>835</v>
      </c>
    </row>
    <row r="334" spans="1:17" x14ac:dyDescent="0.35">
      <c r="A334">
        <v>2022</v>
      </c>
      <c r="B334" s="15">
        <v>181</v>
      </c>
      <c r="C334" s="15">
        <v>25</v>
      </c>
      <c r="D334" s="12">
        <f t="shared" si="66"/>
        <v>22.625</v>
      </c>
      <c r="E334" s="27">
        <f t="shared" si="67"/>
        <v>0.45250000000000001</v>
      </c>
      <c r="F334" s="27">
        <f t="shared" si="68"/>
        <v>0.5</v>
      </c>
      <c r="G334">
        <f t="shared" si="69"/>
        <v>47.625</v>
      </c>
      <c r="H334">
        <f t="shared" si="70"/>
        <v>0</v>
      </c>
      <c r="I334">
        <f t="shared" si="71"/>
        <v>-1.1445838295796084E-2</v>
      </c>
      <c r="J334">
        <f t="shared" si="72"/>
        <v>-0.67129880379767704</v>
      </c>
      <c r="K334">
        <f t="shared" si="73"/>
        <v>8.1666307178228537E-2</v>
      </c>
      <c r="L334">
        <f t="shared" si="74"/>
        <v>-8.5194454605844114E-2</v>
      </c>
      <c r="M334">
        <f t="shared" si="75"/>
        <v>0.52493438320209973</v>
      </c>
      <c r="N334">
        <f t="shared" si="76"/>
        <v>0.47506561679790027</v>
      </c>
      <c r="P334">
        <f t="shared" si="77"/>
        <v>505</v>
      </c>
      <c r="Q334">
        <f t="shared" si="78"/>
        <v>835</v>
      </c>
    </row>
    <row r="335" spans="1:17" x14ac:dyDescent="0.35">
      <c r="A335">
        <v>2022</v>
      </c>
      <c r="B335" s="15">
        <v>220</v>
      </c>
      <c r="C335" s="15">
        <v>20</v>
      </c>
      <c r="D335" s="12">
        <f t="shared" si="66"/>
        <v>27.5</v>
      </c>
      <c r="E335" s="27">
        <f t="shared" si="67"/>
        <v>0.55000000000000004</v>
      </c>
      <c r="F335" s="27">
        <f t="shared" si="68"/>
        <v>0.4</v>
      </c>
      <c r="G335">
        <f t="shared" si="69"/>
        <v>47.5</v>
      </c>
      <c r="H335">
        <f t="shared" si="70"/>
        <v>0</v>
      </c>
      <c r="I335">
        <f t="shared" si="71"/>
        <v>1.3750246337468206</v>
      </c>
      <c r="J335">
        <f t="shared" si="72"/>
        <v>-1.2489938292010385</v>
      </c>
      <c r="K335">
        <f t="shared" si="73"/>
        <v>0.17288562014650821</v>
      </c>
      <c r="L335">
        <f t="shared" si="74"/>
        <v>-0.18981228656490731</v>
      </c>
      <c r="M335">
        <f t="shared" si="75"/>
        <v>0.42105263157894735</v>
      </c>
      <c r="N335">
        <f t="shared" si="76"/>
        <v>0.57894736842105265</v>
      </c>
      <c r="P335">
        <f t="shared" si="77"/>
        <v>84</v>
      </c>
      <c r="Q335">
        <f t="shared" si="78"/>
        <v>996</v>
      </c>
    </row>
    <row r="336" spans="1:17" x14ac:dyDescent="0.35">
      <c r="A336">
        <v>2022</v>
      </c>
      <c r="B336" s="15">
        <v>268</v>
      </c>
      <c r="C336" s="15">
        <v>14</v>
      </c>
      <c r="D336" s="12">
        <f t="shared" si="66"/>
        <v>33.5</v>
      </c>
      <c r="E336" s="27">
        <f t="shared" si="67"/>
        <v>0.67</v>
      </c>
      <c r="F336" s="27">
        <f t="shared" si="68"/>
        <v>0.28000000000000003</v>
      </c>
      <c r="G336">
        <f t="shared" si="69"/>
        <v>47.5</v>
      </c>
      <c r="H336">
        <f t="shared" si="70"/>
        <v>0</v>
      </c>
      <c r="I336">
        <f t="shared" si="71"/>
        <v>3.0814498301069642</v>
      </c>
      <c r="J336">
        <f t="shared" si="72"/>
        <v>-1.9422278596850724</v>
      </c>
      <c r="K336">
        <f t="shared" si="73"/>
        <v>0.41261755480103707</v>
      </c>
      <c r="L336">
        <f t="shared" si="74"/>
        <v>-0.53207914626351493</v>
      </c>
      <c r="M336">
        <f t="shared" si="75"/>
        <v>0.29473684210526313</v>
      </c>
      <c r="N336">
        <f t="shared" si="76"/>
        <v>0.70526315789473681</v>
      </c>
      <c r="P336">
        <f t="shared" si="77"/>
        <v>19</v>
      </c>
      <c r="Q336">
        <f t="shared" si="78"/>
        <v>1107.5</v>
      </c>
    </row>
    <row r="337" spans="1:17" x14ac:dyDescent="0.35">
      <c r="A337">
        <v>2022</v>
      </c>
      <c r="B337" s="15">
        <v>161</v>
      </c>
      <c r="C337" s="15">
        <v>27</v>
      </c>
      <c r="D337" s="12">
        <f t="shared" si="66"/>
        <v>20.125</v>
      </c>
      <c r="E337" s="27">
        <f t="shared" si="67"/>
        <v>0.40250000000000002</v>
      </c>
      <c r="F337" s="27">
        <f t="shared" si="68"/>
        <v>0.54</v>
      </c>
      <c r="G337">
        <f t="shared" si="69"/>
        <v>47.125</v>
      </c>
      <c r="H337">
        <f t="shared" si="70"/>
        <v>0</v>
      </c>
      <c r="I337">
        <f t="shared" si="71"/>
        <v>-0.72245633677918919</v>
      </c>
      <c r="J337">
        <f t="shared" si="72"/>
        <v>-0.44022079363633243</v>
      </c>
      <c r="K337">
        <f t="shared" si="73"/>
        <v>3.0886225211707131E-2</v>
      </c>
      <c r="L337">
        <f t="shared" si="74"/>
        <v>-3.1373259341729312E-2</v>
      </c>
      <c r="M337">
        <f t="shared" si="75"/>
        <v>0.57294429708222816</v>
      </c>
      <c r="N337">
        <f t="shared" si="76"/>
        <v>0.4270557029177719</v>
      </c>
      <c r="P337">
        <f t="shared" si="77"/>
        <v>892.5</v>
      </c>
      <c r="Q337">
        <f t="shared" si="78"/>
        <v>752.5</v>
      </c>
    </row>
    <row r="338" spans="1:17" x14ac:dyDescent="0.35">
      <c r="A338">
        <v>2022</v>
      </c>
      <c r="B338" s="15">
        <v>200</v>
      </c>
      <c r="C338" s="15">
        <v>22</v>
      </c>
      <c r="D338" s="12">
        <f t="shared" si="66"/>
        <v>25</v>
      </c>
      <c r="E338" s="27">
        <f t="shared" si="67"/>
        <v>0.5</v>
      </c>
      <c r="F338" s="27">
        <f t="shared" si="68"/>
        <v>0.44</v>
      </c>
      <c r="G338">
        <f t="shared" si="69"/>
        <v>47</v>
      </c>
      <c r="H338">
        <f t="shared" si="70"/>
        <v>0</v>
      </c>
      <c r="I338">
        <f t="shared" si="71"/>
        <v>0.66401413526342745</v>
      </c>
      <c r="J338">
        <f t="shared" si="72"/>
        <v>-1.017915819039694</v>
      </c>
      <c r="K338">
        <f t="shared" si="73"/>
        <v>6.9689730289816537E-2</v>
      </c>
      <c r="L338">
        <f t="shared" si="74"/>
        <v>-7.2237125130445196E-2</v>
      </c>
      <c r="M338">
        <f t="shared" si="75"/>
        <v>0.46808510638297873</v>
      </c>
      <c r="N338">
        <f t="shared" si="76"/>
        <v>0.53191489361702127</v>
      </c>
      <c r="P338">
        <f t="shared" si="77"/>
        <v>229</v>
      </c>
      <c r="Q338">
        <f t="shared" si="78"/>
        <v>936.5</v>
      </c>
    </row>
    <row r="339" spans="1:17" x14ac:dyDescent="0.35">
      <c r="A339">
        <v>2022</v>
      </c>
      <c r="B339" s="15">
        <v>182</v>
      </c>
      <c r="C339" s="15">
        <v>24</v>
      </c>
      <c r="D339" s="12">
        <f t="shared" si="66"/>
        <v>22.75</v>
      </c>
      <c r="E339" s="27">
        <f t="shared" si="67"/>
        <v>0.45500000000000002</v>
      </c>
      <c r="F339" s="27">
        <f t="shared" si="68"/>
        <v>0.48</v>
      </c>
      <c r="G339">
        <f t="shared" si="69"/>
        <v>46.75</v>
      </c>
      <c r="H339">
        <f t="shared" si="70"/>
        <v>0</v>
      </c>
      <c r="I339">
        <f t="shared" si="71"/>
        <v>2.4104686628373572E-2</v>
      </c>
      <c r="J339">
        <f t="shared" si="72"/>
        <v>-0.78683780887834931</v>
      </c>
      <c r="K339">
        <f t="shared" si="73"/>
        <v>3.5346564697218461E-2</v>
      </c>
      <c r="L339">
        <f t="shared" si="74"/>
        <v>-3.5986376548617069E-2</v>
      </c>
      <c r="M339">
        <f t="shared" si="75"/>
        <v>0.5133689839572193</v>
      </c>
      <c r="N339">
        <f t="shared" si="76"/>
        <v>0.48663101604278075</v>
      </c>
      <c r="P339">
        <f t="shared" si="77"/>
        <v>484.5</v>
      </c>
      <c r="Q339">
        <f t="shared" si="78"/>
        <v>870</v>
      </c>
    </row>
    <row r="340" spans="1:17" x14ac:dyDescent="0.35">
      <c r="A340">
        <v>2022</v>
      </c>
      <c r="B340" s="15">
        <v>206</v>
      </c>
      <c r="C340" s="15">
        <v>21</v>
      </c>
      <c r="D340" s="12">
        <f t="shared" si="66"/>
        <v>25.75</v>
      </c>
      <c r="E340" s="27">
        <f t="shared" si="67"/>
        <v>0.51500000000000001</v>
      </c>
      <c r="F340" s="27">
        <f t="shared" si="68"/>
        <v>0.42</v>
      </c>
      <c r="G340">
        <f t="shared" si="69"/>
        <v>46.75</v>
      </c>
      <c r="H340">
        <f t="shared" si="70"/>
        <v>0</v>
      </c>
      <c r="I340">
        <f t="shared" si="71"/>
        <v>0.8773172848084454</v>
      </c>
      <c r="J340">
        <f t="shared" si="72"/>
        <v>-1.1334548241203661</v>
      </c>
      <c r="K340">
        <f t="shared" si="73"/>
        <v>6.294451914591602E-2</v>
      </c>
      <c r="L340">
        <f t="shared" si="74"/>
        <v>-6.5012787339652947E-2</v>
      </c>
      <c r="M340">
        <f t="shared" si="75"/>
        <v>0.44919786096256686</v>
      </c>
      <c r="N340">
        <f t="shared" si="76"/>
        <v>0.55080213903743314</v>
      </c>
      <c r="P340">
        <f t="shared" si="77"/>
        <v>178</v>
      </c>
      <c r="Q340">
        <f t="shared" si="78"/>
        <v>967.5</v>
      </c>
    </row>
    <row r="341" spans="1:17" x14ac:dyDescent="0.35">
      <c r="A341">
        <v>2022</v>
      </c>
      <c r="B341" s="15">
        <v>222</v>
      </c>
      <c r="C341" s="15">
        <v>19</v>
      </c>
      <c r="D341" s="12">
        <f t="shared" si="66"/>
        <v>27.75</v>
      </c>
      <c r="E341" s="27">
        <f t="shared" si="67"/>
        <v>0.55500000000000005</v>
      </c>
      <c r="F341" s="27">
        <f t="shared" si="68"/>
        <v>0.38</v>
      </c>
      <c r="G341">
        <f t="shared" si="69"/>
        <v>46.75</v>
      </c>
      <c r="H341">
        <f t="shared" si="70"/>
        <v>0</v>
      </c>
      <c r="I341">
        <f t="shared" si="71"/>
        <v>1.4461256835951599</v>
      </c>
      <c r="J341">
        <f t="shared" si="72"/>
        <v>-1.3645328342817109</v>
      </c>
      <c r="K341">
        <f t="shared" si="73"/>
        <v>9.14185432427395E-2</v>
      </c>
      <c r="L341">
        <f t="shared" si="74"/>
        <v>-9.5870734452742926E-2</v>
      </c>
      <c r="M341">
        <f t="shared" si="75"/>
        <v>0.40641711229946526</v>
      </c>
      <c r="N341">
        <f t="shared" si="76"/>
        <v>0.5935828877005348</v>
      </c>
      <c r="P341">
        <f t="shared" si="77"/>
        <v>79.5</v>
      </c>
      <c r="Q341">
        <f t="shared" si="78"/>
        <v>1022</v>
      </c>
    </row>
    <row r="342" spans="1:17" x14ac:dyDescent="0.35">
      <c r="A342">
        <v>2022</v>
      </c>
      <c r="B342" s="15">
        <v>178</v>
      </c>
      <c r="C342" s="15">
        <v>24</v>
      </c>
      <c r="D342" s="12">
        <f t="shared" si="66"/>
        <v>22.25</v>
      </c>
      <c r="E342" s="27">
        <f t="shared" si="67"/>
        <v>0.44500000000000001</v>
      </c>
      <c r="F342" s="27">
        <f t="shared" si="68"/>
        <v>0.48</v>
      </c>
      <c r="G342">
        <f t="shared" si="69"/>
        <v>46.25</v>
      </c>
      <c r="H342">
        <f t="shared" si="70"/>
        <v>0</v>
      </c>
      <c r="I342">
        <f t="shared" si="71"/>
        <v>-0.11809741306830505</v>
      </c>
      <c r="J342">
        <f t="shared" si="72"/>
        <v>-0.78683780887834931</v>
      </c>
      <c r="K342">
        <f t="shared" si="73"/>
        <v>1.9290424827723848E-2</v>
      </c>
      <c r="L342">
        <f t="shared" si="74"/>
        <v>-1.9478913021577966E-2</v>
      </c>
      <c r="M342">
        <f t="shared" si="75"/>
        <v>0.51891891891891895</v>
      </c>
      <c r="N342">
        <f t="shared" si="76"/>
        <v>0.48108108108108111</v>
      </c>
      <c r="P342">
        <f t="shared" si="77"/>
        <v>564.5</v>
      </c>
      <c r="Q342">
        <f t="shared" si="78"/>
        <v>870</v>
      </c>
    </row>
    <row r="343" spans="1:17" x14ac:dyDescent="0.35">
      <c r="A343">
        <v>2022</v>
      </c>
      <c r="B343" s="15">
        <v>186</v>
      </c>
      <c r="C343" s="15">
        <v>23</v>
      </c>
      <c r="D343" s="12">
        <f t="shared" si="66"/>
        <v>23.25</v>
      </c>
      <c r="E343" s="27">
        <f t="shared" si="67"/>
        <v>0.46500000000000002</v>
      </c>
      <c r="F343" s="27">
        <f t="shared" si="68"/>
        <v>0.46</v>
      </c>
      <c r="G343">
        <f t="shared" si="69"/>
        <v>46.25</v>
      </c>
      <c r="H343">
        <f t="shared" si="70"/>
        <v>0</v>
      </c>
      <c r="I343">
        <f t="shared" si="71"/>
        <v>0.16630678632505219</v>
      </c>
      <c r="J343">
        <f t="shared" si="72"/>
        <v>-0.90237681395902158</v>
      </c>
      <c r="K343">
        <f t="shared" si="73"/>
        <v>2.3507645354299445E-2</v>
      </c>
      <c r="L343">
        <f t="shared" si="74"/>
        <v>-2.3788358039933597E-2</v>
      </c>
      <c r="M343">
        <f t="shared" si="75"/>
        <v>0.49729729729729732</v>
      </c>
      <c r="N343">
        <f t="shared" si="76"/>
        <v>0.50270270270270268</v>
      </c>
      <c r="P343">
        <f t="shared" si="77"/>
        <v>411.5</v>
      </c>
      <c r="Q343">
        <f t="shared" si="78"/>
        <v>904</v>
      </c>
    </row>
    <row r="344" spans="1:17" x14ac:dyDescent="0.35">
      <c r="A344">
        <v>2022</v>
      </c>
      <c r="B344" s="15">
        <v>153</v>
      </c>
      <c r="C344" s="15">
        <v>27</v>
      </c>
      <c r="D344" s="12">
        <f t="shared" si="66"/>
        <v>19.125</v>
      </c>
      <c r="E344" s="27">
        <f t="shared" si="67"/>
        <v>0.38250000000000001</v>
      </c>
      <c r="F344" s="27">
        <f t="shared" si="68"/>
        <v>0.54</v>
      </c>
      <c r="G344">
        <f t="shared" si="69"/>
        <v>46.125</v>
      </c>
      <c r="H344">
        <f t="shared" si="70"/>
        <v>0</v>
      </c>
      <c r="I344">
        <f t="shared" si="71"/>
        <v>-1.0068605361725464</v>
      </c>
      <c r="J344">
        <f t="shared" si="72"/>
        <v>-0.44022079363633243</v>
      </c>
      <c r="K344">
        <f t="shared" si="73"/>
        <v>9.1006117761386878E-3</v>
      </c>
      <c r="L344">
        <f t="shared" si="74"/>
        <v>-9.1422753119019071E-3</v>
      </c>
      <c r="M344">
        <f t="shared" si="75"/>
        <v>0.58536585365853655</v>
      </c>
      <c r="N344">
        <f t="shared" si="76"/>
        <v>0.41463414634146339</v>
      </c>
      <c r="P344">
        <f t="shared" si="77"/>
        <v>1004.5</v>
      </c>
      <c r="Q344">
        <f t="shared" si="78"/>
        <v>752.5</v>
      </c>
    </row>
    <row r="345" spans="1:17" x14ac:dyDescent="0.35">
      <c r="A345">
        <v>2022</v>
      </c>
      <c r="B345" s="15">
        <v>188</v>
      </c>
      <c r="C345" s="15">
        <v>22</v>
      </c>
      <c r="D345" s="12">
        <f t="shared" si="66"/>
        <v>23.5</v>
      </c>
      <c r="E345" s="27">
        <f t="shared" si="67"/>
        <v>0.47</v>
      </c>
      <c r="F345" s="27">
        <f t="shared" si="68"/>
        <v>0.44</v>
      </c>
      <c r="G345">
        <f t="shared" si="69"/>
        <v>45.5</v>
      </c>
      <c r="H345">
        <f t="shared" si="70"/>
        <v>0</v>
      </c>
      <c r="I345">
        <f t="shared" si="71"/>
        <v>0.23740783617339151</v>
      </c>
      <c r="J345">
        <f t="shared" si="72"/>
        <v>-1.017915819039694</v>
      </c>
      <c r="K345">
        <f t="shared" si="73"/>
        <v>1.1455489152287942E-2</v>
      </c>
      <c r="L345">
        <f t="shared" si="74"/>
        <v>-1.1521608707722519E-2</v>
      </c>
      <c r="M345">
        <f t="shared" si="75"/>
        <v>0.48351648351648352</v>
      </c>
      <c r="N345">
        <f t="shared" si="76"/>
        <v>0.51648351648351654</v>
      </c>
      <c r="P345">
        <f t="shared" si="77"/>
        <v>374.5</v>
      </c>
      <c r="Q345">
        <f t="shared" si="78"/>
        <v>936.5</v>
      </c>
    </row>
    <row r="346" spans="1:17" x14ac:dyDescent="0.35">
      <c r="A346">
        <v>2022</v>
      </c>
      <c r="B346" s="15">
        <v>160</v>
      </c>
      <c r="C346" s="15">
        <v>25</v>
      </c>
      <c r="D346" s="12">
        <f t="shared" si="66"/>
        <v>20</v>
      </c>
      <c r="E346" s="27">
        <f t="shared" si="67"/>
        <v>0.4</v>
      </c>
      <c r="F346" s="27">
        <f t="shared" si="68"/>
        <v>0.5</v>
      </c>
      <c r="G346">
        <f t="shared" si="69"/>
        <v>45</v>
      </c>
      <c r="H346">
        <f t="shared" si="70"/>
        <v>0</v>
      </c>
      <c r="I346">
        <f t="shared" si="71"/>
        <v>-0.75800686170335885</v>
      </c>
      <c r="J346">
        <f t="shared" si="72"/>
        <v>-0.67129880379767704</v>
      </c>
      <c r="K346">
        <f t="shared" si="73"/>
        <v>3.3818548298432819E-3</v>
      </c>
      <c r="L346">
        <f t="shared" si="74"/>
        <v>-3.3875862263706381E-3</v>
      </c>
      <c r="M346">
        <f t="shared" si="75"/>
        <v>0.55555555555555558</v>
      </c>
      <c r="N346">
        <f t="shared" si="76"/>
        <v>0.44444444444444442</v>
      </c>
      <c r="P346">
        <f t="shared" si="77"/>
        <v>908</v>
      </c>
      <c r="Q346">
        <f t="shared" si="78"/>
        <v>835</v>
      </c>
    </row>
    <row r="347" spans="1:17" ht="16" thickBot="1" x14ac:dyDescent="0.4">
      <c r="A347">
        <v>2022</v>
      </c>
      <c r="B347" s="16">
        <v>160</v>
      </c>
      <c r="C347" s="16">
        <v>25</v>
      </c>
      <c r="D347" s="12">
        <f t="shared" si="66"/>
        <v>20</v>
      </c>
      <c r="E347" s="27">
        <f t="shared" si="67"/>
        <v>0.4</v>
      </c>
      <c r="F347" s="27">
        <f t="shared" si="68"/>
        <v>0.5</v>
      </c>
      <c r="G347">
        <f t="shared" si="69"/>
        <v>45</v>
      </c>
      <c r="H347">
        <f t="shared" si="70"/>
        <v>0</v>
      </c>
      <c r="I347">
        <f t="shared" si="71"/>
        <v>-0.75800686170335885</v>
      </c>
      <c r="J347">
        <f t="shared" si="72"/>
        <v>-0.67129880379767704</v>
      </c>
      <c r="K347">
        <f t="shared" si="73"/>
        <v>3.3818548298432819E-3</v>
      </c>
      <c r="L347">
        <f t="shared" si="74"/>
        <v>-3.3875862263706381E-3</v>
      </c>
      <c r="M347">
        <f t="shared" si="75"/>
        <v>0.55555555555555558</v>
      </c>
      <c r="N347">
        <f t="shared" si="76"/>
        <v>0.44444444444444442</v>
      </c>
      <c r="P347">
        <f t="shared" si="77"/>
        <v>908</v>
      </c>
      <c r="Q347">
        <f t="shared" si="78"/>
        <v>835</v>
      </c>
    </row>
    <row r="348" spans="1:17" x14ac:dyDescent="0.35">
      <c r="A348">
        <v>2022</v>
      </c>
      <c r="B348" s="17">
        <v>143</v>
      </c>
      <c r="C348" s="17">
        <v>27</v>
      </c>
      <c r="D348" s="12">
        <f t="shared" si="66"/>
        <v>17.875</v>
      </c>
      <c r="E348" s="27">
        <f t="shared" si="67"/>
        <v>0.35749999999999998</v>
      </c>
      <c r="F348" s="27">
        <f t="shared" si="68"/>
        <v>0.54</v>
      </c>
      <c r="G348">
        <f t="shared" si="69"/>
        <v>44.875</v>
      </c>
      <c r="H348">
        <f t="shared" si="70"/>
        <v>0</v>
      </c>
      <c r="I348">
        <f t="shared" si="71"/>
        <v>-1.362365785414243</v>
      </c>
      <c r="J348">
        <f t="shared" si="72"/>
        <v>-0.44022079363633243</v>
      </c>
      <c r="K348">
        <f t="shared" si="73"/>
        <v>1.9353672820575573E-3</v>
      </c>
      <c r="L348">
        <f t="shared" si="74"/>
        <v>-1.9372425252292735E-3</v>
      </c>
      <c r="M348">
        <f t="shared" si="75"/>
        <v>0.60167130919220058</v>
      </c>
      <c r="N348">
        <f t="shared" si="76"/>
        <v>0.39832869080779942</v>
      </c>
      <c r="P348">
        <f t="shared" si="77"/>
        <v>1094</v>
      </c>
      <c r="Q348">
        <f t="shared" si="78"/>
        <v>752.5</v>
      </c>
    </row>
    <row r="349" spans="1:17" x14ac:dyDescent="0.35">
      <c r="A349">
        <v>2022</v>
      </c>
      <c r="B349" s="15">
        <v>199</v>
      </c>
      <c r="C349" s="15">
        <v>20</v>
      </c>
      <c r="D349" s="12">
        <f t="shared" si="66"/>
        <v>24.875</v>
      </c>
      <c r="E349" s="27">
        <f t="shared" si="67"/>
        <v>0.4975</v>
      </c>
      <c r="F349" s="27">
        <f t="shared" si="68"/>
        <v>0.4</v>
      </c>
      <c r="G349">
        <f t="shared" si="69"/>
        <v>44.875</v>
      </c>
      <c r="H349">
        <f t="shared" si="70"/>
        <v>0</v>
      </c>
      <c r="I349">
        <f t="shared" si="71"/>
        <v>0.62846361033925779</v>
      </c>
      <c r="J349">
        <f t="shared" si="72"/>
        <v>-1.2489938292010385</v>
      </c>
      <c r="K349">
        <f t="shared" si="73"/>
        <v>7.9127408903391979E-3</v>
      </c>
      <c r="L349">
        <f t="shared" si="74"/>
        <v>-7.9442127536075227E-3</v>
      </c>
      <c r="M349">
        <f t="shared" si="75"/>
        <v>0.44568245125348188</v>
      </c>
      <c r="N349">
        <f t="shared" si="76"/>
        <v>0.55431754874651806</v>
      </c>
      <c r="P349">
        <f t="shared" si="77"/>
        <v>239</v>
      </c>
      <c r="Q349">
        <f t="shared" si="78"/>
        <v>996</v>
      </c>
    </row>
    <row r="350" spans="1:17" x14ac:dyDescent="0.35">
      <c r="A350">
        <v>2022</v>
      </c>
      <c r="B350" s="15">
        <v>165</v>
      </c>
      <c r="C350" s="15">
        <v>24</v>
      </c>
      <c r="D350" s="12">
        <f t="shared" si="66"/>
        <v>20.625</v>
      </c>
      <c r="E350" s="27">
        <f t="shared" si="67"/>
        <v>0.41249999999999998</v>
      </c>
      <c r="F350" s="27">
        <f t="shared" si="68"/>
        <v>0.48</v>
      </c>
      <c r="G350">
        <f t="shared" si="69"/>
        <v>44.625</v>
      </c>
      <c r="H350">
        <f t="shared" si="70"/>
        <v>0</v>
      </c>
      <c r="I350">
        <f t="shared" si="71"/>
        <v>-0.58025423708251056</v>
      </c>
      <c r="J350">
        <f t="shared" si="72"/>
        <v>-0.78683780887834931</v>
      </c>
      <c r="K350">
        <f t="shared" si="73"/>
        <v>2.5977928221158231E-3</v>
      </c>
      <c r="L350">
        <f t="shared" si="74"/>
        <v>-2.6011729410573021E-3</v>
      </c>
      <c r="M350">
        <f t="shared" si="75"/>
        <v>0.53781512605042014</v>
      </c>
      <c r="N350">
        <f t="shared" si="76"/>
        <v>0.46218487394957986</v>
      </c>
      <c r="P350">
        <f t="shared" si="77"/>
        <v>826.5</v>
      </c>
      <c r="Q350">
        <f t="shared" si="78"/>
        <v>870</v>
      </c>
    </row>
    <row r="351" spans="1:17" x14ac:dyDescent="0.35">
      <c r="A351">
        <v>2022</v>
      </c>
      <c r="B351" s="15">
        <v>171</v>
      </c>
      <c r="C351" s="15">
        <v>23</v>
      </c>
      <c r="D351" s="12">
        <f t="shared" si="66"/>
        <v>21.375</v>
      </c>
      <c r="E351" s="27">
        <f t="shared" si="67"/>
        <v>0.42749999999999999</v>
      </c>
      <c r="F351" s="27">
        <f t="shared" si="68"/>
        <v>0.46</v>
      </c>
      <c r="G351">
        <f t="shared" si="69"/>
        <v>44.375</v>
      </c>
      <c r="H351">
        <f t="shared" si="70"/>
        <v>0</v>
      </c>
      <c r="I351">
        <f t="shared" si="71"/>
        <v>-0.36695108753749267</v>
      </c>
      <c r="J351">
        <f t="shared" si="72"/>
        <v>-0.90237681395902158</v>
      </c>
      <c r="K351">
        <f t="shared" si="73"/>
        <v>2.3300900636119178E-3</v>
      </c>
      <c r="L351">
        <f t="shared" si="74"/>
        <v>-2.3328089477820013E-3</v>
      </c>
      <c r="M351">
        <f t="shared" si="75"/>
        <v>0.51830985915492955</v>
      </c>
      <c r="N351">
        <f t="shared" si="76"/>
        <v>0.48169014084507045</v>
      </c>
      <c r="P351">
        <f t="shared" si="77"/>
        <v>700</v>
      </c>
      <c r="Q351">
        <f t="shared" si="78"/>
        <v>904</v>
      </c>
    </row>
    <row r="352" spans="1:17" x14ac:dyDescent="0.35">
      <c r="A352">
        <v>2022</v>
      </c>
      <c r="B352" s="15">
        <v>177</v>
      </c>
      <c r="C352" s="15">
        <v>22</v>
      </c>
      <c r="D352" s="12">
        <f t="shared" si="66"/>
        <v>22.125</v>
      </c>
      <c r="E352" s="27">
        <f t="shared" si="67"/>
        <v>0.4425</v>
      </c>
      <c r="F352" s="27">
        <f t="shared" si="68"/>
        <v>0.44</v>
      </c>
      <c r="G352">
        <f t="shared" si="69"/>
        <v>44.125</v>
      </c>
      <c r="H352">
        <f t="shared" si="70"/>
        <v>0</v>
      </c>
      <c r="I352">
        <f t="shared" si="71"/>
        <v>-0.15364793799247473</v>
      </c>
      <c r="J352">
        <f t="shared" si="72"/>
        <v>-1.017915819039694</v>
      </c>
      <c r="K352">
        <f t="shared" si="73"/>
        <v>2.0899162915784955E-3</v>
      </c>
      <c r="L352">
        <f t="shared" si="74"/>
        <v>-2.0921032141527438E-3</v>
      </c>
      <c r="M352">
        <f t="shared" si="75"/>
        <v>0.49858356940509913</v>
      </c>
      <c r="N352">
        <f t="shared" si="76"/>
        <v>0.50141643059490082</v>
      </c>
      <c r="P352">
        <f t="shared" si="77"/>
        <v>585</v>
      </c>
      <c r="Q352">
        <f t="shared" si="78"/>
        <v>936.5</v>
      </c>
    </row>
    <row r="353" spans="1:17" x14ac:dyDescent="0.35">
      <c r="A353">
        <v>2022</v>
      </c>
      <c r="B353" s="15">
        <v>176</v>
      </c>
      <c r="C353" s="15">
        <v>22</v>
      </c>
      <c r="D353" s="12">
        <f t="shared" si="66"/>
        <v>22</v>
      </c>
      <c r="E353" s="27">
        <f t="shared" si="67"/>
        <v>0.44</v>
      </c>
      <c r="F353" s="27">
        <f t="shared" si="68"/>
        <v>0.44</v>
      </c>
      <c r="G353">
        <f t="shared" si="69"/>
        <v>44</v>
      </c>
      <c r="H353">
        <f t="shared" si="70"/>
        <v>0</v>
      </c>
      <c r="I353">
        <f t="shared" si="71"/>
        <v>-0.18919846291664436</v>
      </c>
      <c r="J353">
        <f t="shared" si="72"/>
        <v>-1.017915819039694</v>
      </c>
      <c r="K353">
        <f t="shared" si="73"/>
        <v>1.7894353493949199E-3</v>
      </c>
      <c r="L353">
        <f t="shared" si="74"/>
        <v>-1.7910383013677825E-3</v>
      </c>
      <c r="M353">
        <f t="shared" si="75"/>
        <v>0.5</v>
      </c>
      <c r="N353">
        <f t="shared" si="76"/>
        <v>0.5</v>
      </c>
      <c r="P353">
        <f t="shared" si="77"/>
        <v>607.5</v>
      </c>
      <c r="Q353">
        <f t="shared" si="78"/>
        <v>936.5</v>
      </c>
    </row>
    <row r="354" spans="1:17" x14ac:dyDescent="0.35">
      <c r="A354">
        <v>2022</v>
      </c>
      <c r="B354" s="15">
        <v>167</v>
      </c>
      <c r="C354" s="15">
        <v>23</v>
      </c>
      <c r="D354" s="12">
        <f t="shared" si="66"/>
        <v>20.875</v>
      </c>
      <c r="E354" s="27">
        <f t="shared" si="67"/>
        <v>0.41749999999999998</v>
      </c>
      <c r="F354" s="27">
        <f t="shared" si="68"/>
        <v>0.46</v>
      </c>
      <c r="G354">
        <f t="shared" si="69"/>
        <v>43.875</v>
      </c>
      <c r="H354">
        <f t="shared" si="70"/>
        <v>0</v>
      </c>
      <c r="I354">
        <f t="shared" si="71"/>
        <v>-0.50915318723417125</v>
      </c>
      <c r="J354">
        <f t="shared" si="72"/>
        <v>-0.90237681395902158</v>
      </c>
      <c r="K354">
        <f t="shared" si="73"/>
        <v>1.2521811395499621E-3</v>
      </c>
      <c r="L354">
        <f t="shared" si="74"/>
        <v>-1.2529657734239549E-3</v>
      </c>
      <c r="M354">
        <f t="shared" si="75"/>
        <v>0.5242165242165242</v>
      </c>
      <c r="N354">
        <f t="shared" si="76"/>
        <v>0.4757834757834758</v>
      </c>
      <c r="P354">
        <f t="shared" si="77"/>
        <v>789.5</v>
      </c>
      <c r="Q354">
        <f t="shared" si="78"/>
        <v>904</v>
      </c>
    </row>
    <row r="355" spans="1:17" x14ac:dyDescent="0.35">
      <c r="A355">
        <v>2022</v>
      </c>
      <c r="B355" s="15">
        <v>151</v>
      </c>
      <c r="C355" s="15">
        <v>25</v>
      </c>
      <c r="D355" s="12">
        <f t="shared" si="66"/>
        <v>18.875</v>
      </c>
      <c r="E355" s="27">
        <f t="shared" si="67"/>
        <v>0.3775</v>
      </c>
      <c r="F355" s="27">
        <f t="shared" si="68"/>
        <v>0.5</v>
      </c>
      <c r="G355">
        <f t="shared" si="69"/>
        <v>43.875</v>
      </c>
      <c r="H355">
        <f t="shared" si="70"/>
        <v>0</v>
      </c>
      <c r="I355">
        <f t="shared" si="71"/>
        <v>-1.0779615860208858</v>
      </c>
      <c r="J355">
        <f t="shared" si="72"/>
        <v>-0.67129880379767704</v>
      </c>
      <c r="K355">
        <f t="shared" si="73"/>
        <v>8.3631549354947962E-4</v>
      </c>
      <c r="L355">
        <f t="shared" si="74"/>
        <v>-8.3666540045381019E-4</v>
      </c>
      <c r="M355">
        <f t="shared" si="75"/>
        <v>0.56980056980056981</v>
      </c>
      <c r="N355">
        <f t="shared" si="76"/>
        <v>0.43019943019943019</v>
      </c>
      <c r="P355">
        <f t="shared" si="77"/>
        <v>1029</v>
      </c>
      <c r="Q355">
        <f t="shared" si="78"/>
        <v>835</v>
      </c>
    </row>
    <row r="356" spans="1:17" x14ac:dyDescent="0.35">
      <c r="A356">
        <v>2022</v>
      </c>
      <c r="B356" s="15">
        <v>195</v>
      </c>
      <c r="C356" s="15">
        <v>19</v>
      </c>
      <c r="D356" s="12">
        <f t="shared" si="66"/>
        <v>24.375</v>
      </c>
      <c r="E356" s="27">
        <f t="shared" si="67"/>
        <v>0.48749999999999999</v>
      </c>
      <c r="F356" s="27">
        <f t="shared" si="68"/>
        <v>0.38</v>
      </c>
      <c r="G356">
        <f t="shared" si="69"/>
        <v>43.375</v>
      </c>
      <c r="H356">
        <f t="shared" si="70"/>
        <v>0</v>
      </c>
      <c r="I356">
        <f t="shared" si="71"/>
        <v>0.48626151064257911</v>
      </c>
      <c r="J356">
        <f t="shared" si="72"/>
        <v>-1.3645328342817109</v>
      </c>
      <c r="K356">
        <f t="shared" si="73"/>
        <v>1.5077769721126965E-3</v>
      </c>
      <c r="L356">
        <f t="shared" si="74"/>
        <v>-1.5089148116942046E-3</v>
      </c>
      <c r="M356">
        <f t="shared" si="75"/>
        <v>0.43804034582132567</v>
      </c>
      <c r="N356">
        <f t="shared" si="76"/>
        <v>0.56195965417867433</v>
      </c>
      <c r="P356">
        <f t="shared" si="77"/>
        <v>282.5</v>
      </c>
      <c r="Q356">
        <f t="shared" si="78"/>
        <v>1022</v>
      </c>
    </row>
    <row r="357" spans="1:17" x14ac:dyDescent="0.35">
      <c r="A357">
        <v>2022</v>
      </c>
      <c r="B357" s="15">
        <v>177</v>
      </c>
      <c r="C357" s="15">
        <v>21</v>
      </c>
      <c r="D357" s="12">
        <f t="shared" si="66"/>
        <v>22.125</v>
      </c>
      <c r="E357" s="27">
        <f t="shared" si="67"/>
        <v>0.4425</v>
      </c>
      <c r="F357" s="27">
        <f t="shared" si="68"/>
        <v>0.42</v>
      </c>
      <c r="G357">
        <f t="shared" si="69"/>
        <v>43.125</v>
      </c>
      <c r="H357">
        <f t="shared" si="70"/>
        <v>0</v>
      </c>
      <c r="I357">
        <f t="shared" si="71"/>
        <v>-0.15364793799247473</v>
      </c>
      <c r="J357">
        <f t="shared" si="72"/>
        <v>-1.1334548241203661</v>
      </c>
      <c r="K357">
        <f t="shared" si="73"/>
        <v>7.3808551506322924E-4</v>
      </c>
      <c r="L357">
        <f t="shared" si="74"/>
        <v>-7.383580342802845E-4</v>
      </c>
      <c r="M357">
        <f t="shared" si="75"/>
        <v>0.48695652173913045</v>
      </c>
      <c r="N357">
        <f t="shared" si="76"/>
        <v>0.5130434782608696</v>
      </c>
      <c r="P357">
        <f t="shared" si="77"/>
        <v>585</v>
      </c>
      <c r="Q357">
        <f t="shared" si="78"/>
        <v>967.5</v>
      </c>
    </row>
    <row r="358" spans="1:17" x14ac:dyDescent="0.35">
      <c r="A358">
        <v>2022</v>
      </c>
      <c r="B358" s="15">
        <v>201</v>
      </c>
      <c r="C358" s="15">
        <v>18</v>
      </c>
      <c r="D358" s="12">
        <f t="shared" si="66"/>
        <v>25.125</v>
      </c>
      <c r="E358" s="27">
        <f t="shared" si="67"/>
        <v>0.50249999999999995</v>
      </c>
      <c r="F358" s="27">
        <f t="shared" si="68"/>
        <v>0.36</v>
      </c>
      <c r="G358">
        <f t="shared" si="69"/>
        <v>43.125</v>
      </c>
      <c r="H358">
        <f t="shared" si="70"/>
        <v>0</v>
      </c>
      <c r="I358">
        <f t="shared" si="71"/>
        <v>0.69956466018759711</v>
      </c>
      <c r="J358">
        <f t="shared" si="72"/>
        <v>-1.4800718393623831</v>
      </c>
      <c r="K358">
        <f t="shared" si="73"/>
        <v>1.3522481457668137E-3</v>
      </c>
      <c r="L358">
        <f t="shared" si="74"/>
        <v>-1.3531632583566079E-3</v>
      </c>
      <c r="M358">
        <f t="shared" si="75"/>
        <v>0.41739130434782606</v>
      </c>
      <c r="N358">
        <f t="shared" si="76"/>
        <v>0.58260869565217388</v>
      </c>
      <c r="P358">
        <f t="shared" si="77"/>
        <v>219.5</v>
      </c>
      <c r="Q358">
        <f t="shared" si="78"/>
        <v>1044.5</v>
      </c>
    </row>
    <row r="359" spans="1:17" x14ac:dyDescent="0.35">
      <c r="A359">
        <v>2022</v>
      </c>
      <c r="B359" s="15">
        <v>158</v>
      </c>
      <c r="C359" s="15">
        <v>23</v>
      </c>
      <c r="D359" s="12">
        <f t="shared" si="66"/>
        <v>19.75</v>
      </c>
      <c r="E359" s="27">
        <f t="shared" si="67"/>
        <v>0.39500000000000002</v>
      </c>
      <c r="F359" s="27">
        <f t="shared" si="68"/>
        <v>0.46</v>
      </c>
      <c r="G359">
        <f t="shared" si="69"/>
        <v>42.75</v>
      </c>
      <c r="H359">
        <f t="shared" si="70"/>
        <v>0</v>
      </c>
      <c r="I359">
        <f t="shared" si="71"/>
        <v>-0.82910791155169816</v>
      </c>
      <c r="J359">
        <f t="shared" si="72"/>
        <v>-0.90237681395902158</v>
      </c>
      <c r="K359">
        <f t="shared" si="73"/>
        <v>3.0916075368277716E-4</v>
      </c>
      <c r="L359">
        <f t="shared" si="74"/>
        <v>-3.0920855372080662E-4</v>
      </c>
      <c r="M359">
        <f t="shared" si="75"/>
        <v>0.53801169590643272</v>
      </c>
      <c r="N359">
        <f t="shared" si="76"/>
        <v>0.46198830409356723</v>
      </c>
      <c r="P359">
        <f t="shared" si="77"/>
        <v>940.5</v>
      </c>
      <c r="Q359">
        <f t="shared" si="78"/>
        <v>904</v>
      </c>
    </row>
    <row r="360" spans="1:17" x14ac:dyDescent="0.35">
      <c r="A360">
        <v>2022</v>
      </c>
      <c r="B360" s="15">
        <v>188</v>
      </c>
      <c r="C360" s="15">
        <v>19</v>
      </c>
      <c r="D360" s="12">
        <f t="shared" si="66"/>
        <v>23.5</v>
      </c>
      <c r="E360" s="27">
        <f t="shared" si="67"/>
        <v>0.47</v>
      </c>
      <c r="F360" s="27">
        <f t="shared" si="68"/>
        <v>0.38</v>
      </c>
      <c r="G360">
        <f t="shared" si="69"/>
        <v>42.5</v>
      </c>
      <c r="H360">
        <f t="shared" si="70"/>
        <v>0</v>
      </c>
      <c r="I360">
        <f t="shared" si="71"/>
        <v>0.23740783617339151</v>
      </c>
      <c r="J360">
        <f t="shared" si="72"/>
        <v>-1.3645328342817109</v>
      </c>
      <c r="K360">
        <f t="shared" si="73"/>
        <v>5.0811998931375279E-4</v>
      </c>
      <c r="L360">
        <f t="shared" si="74"/>
        <v>-5.0824912602202258E-4</v>
      </c>
      <c r="M360">
        <f t="shared" si="75"/>
        <v>0.44705882352941179</v>
      </c>
      <c r="N360">
        <f t="shared" si="76"/>
        <v>0.55294117647058827</v>
      </c>
      <c r="P360">
        <f t="shared" si="77"/>
        <v>374.5</v>
      </c>
      <c r="Q360">
        <f t="shared" si="78"/>
        <v>1022</v>
      </c>
    </row>
    <row r="361" spans="1:17" x14ac:dyDescent="0.35">
      <c r="A361">
        <v>2022</v>
      </c>
      <c r="B361" s="15">
        <v>164</v>
      </c>
      <c r="C361" s="15">
        <v>22</v>
      </c>
      <c r="D361" s="12">
        <f t="shared" si="66"/>
        <v>20.5</v>
      </c>
      <c r="E361" s="27">
        <f t="shared" si="67"/>
        <v>0.41</v>
      </c>
      <c r="F361" s="27">
        <f t="shared" si="68"/>
        <v>0.44</v>
      </c>
      <c r="G361">
        <f t="shared" si="69"/>
        <v>42.5</v>
      </c>
      <c r="H361">
        <f t="shared" si="70"/>
        <v>0</v>
      </c>
      <c r="I361">
        <f t="shared" si="71"/>
        <v>-0.61580476200668022</v>
      </c>
      <c r="J361">
        <f t="shared" si="72"/>
        <v>-1.017915819039694</v>
      </c>
      <c r="K361">
        <f t="shared" si="73"/>
        <v>2.7723615853594141E-4</v>
      </c>
      <c r="L361">
        <f t="shared" si="74"/>
        <v>-2.7727459558397769E-4</v>
      </c>
      <c r="M361">
        <f t="shared" si="75"/>
        <v>0.51764705882352946</v>
      </c>
      <c r="N361">
        <f t="shared" si="76"/>
        <v>0.4823529411764706</v>
      </c>
      <c r="P361">
        <f t="shared" si="77"/>
        <v>844.5</v>
      </c>
      <c r="Q361">
        <f t="shared" si="78"/>
        <v>936.5</v>
      </c>
    </row>
    <row r="362" spans="1:17" x14ac:dyDescent="0.35">
      <c r="A362">
        <v>2022</v>
      </c>
      <c r="B362" s="15">
        <v>170</v>
      </c>
      <c r="C362" s="15">
        <v>21</v>
      </c>
      <c r="D362" s="12">
        <f t="shared" si="66"/>
        <v>21.25</v>
      </c>
      <c r="E362" s="27">
        <f t="shared" si="67"/>
        <v>0.42499999999999999</v>
      </c>
      <c r="F362" s="27">
        <f t="shared" si="68"/>
        <v>0.42</v>
      </c>
      <c r="G362">
        <f t="shared" si="69"/>
        <v>42.25</v>
      </c>
      <c r="H362">
        <f t="shared" si="70"/>
        <v>0</v>
      </c>
      <c r="I362">
        <f t="shared" si="71"/>
        <v>-0.40250161246166233</v>
      </c>
      <c r="J362">
        <f t="shared" si="72"/>
        <v>-1.1334548241203661</v>
      </c>
      <c r="K362">
        <f t="shared" si="73"/>
        <v>2.4860734498239055E-4</v>
      </c>
      <c r="L362">
        <f t="shared" si="74"/>
        <v>-2.4863825291116448E-4</v>
      </c>
      <c r="M362">
        <f t="shared" si="75"/>
        <v>0.49704142011834318</v>
      </c>
      <c r="N362">
        <f t="shared" si="76"/>
        <v>0.50295857988165682</v>
      </c>
      <c r="P362">
        <f t="shared" si="77"/>
        <v>720</v>
      </c>
      <c r="Q362">
        <f t="shared" si="78"/>
        <v>967.5</v>
      </c>
    </row>
    <row r="363" spans="1:17" x14ac:dyDescent="0.35">
      <c r="A363">
        <v>2022</v>
      </c>
      <c r="B363" s="15">
        <v>175</v>
      </c>
      <c r="C363" s="15">
        <v>20</v>
      </c>
      <c r="D363" s="12">
        <f t="shared" si="66"/>
        <v>21.875</v>
      </c>
      <c r="E363" s="27">
        <f t="shared" si="67"/>
        <v>0.4375</v>
      </c>
      <c r="F363" s="27">
        <f t="shared" si="68"/>
        <v>0.4</v>
      </c>
      <c r="G363">
        <f t="shared" si="69"/>
        <v>41.875</v>
      </c>
      <c r="H363">
        <f t="shared" si="70"/>
        <v>0</v>
      </c>
      <c r="I363">
        <f t="shared" si="71"/>
        <v>-0.22474898784081401</v>
      </c>
      <c r="J363">
        <f t="shared" si="72"/>
        <v>-1.2489938292010385</v>
      </c>
      <c r="K363">
        <f t="shared" si="73"/>
        <v>1.9083018433401665E-4</v>
      </c>
      <c r="L363">
        <f t="shared" si="74"/>
        <v>-1.9084839473035989E-4</v>
      </c>
      <c r="M363">
        <f t="shared" si="75"/>
        <v>0.47761194029850745</v>
      </c>
      <c r="N363">
        <f t="shared" si="76"/>
        <v>0.52238805970149249</v>
      </c>
      <c r="P363">
        <f t="shared" si="77"/>
        <v>631.5</v>
      </c>
      <c r="Q363">
        <f t="shared" si="78"/>
        <v>996</v>
      </c>
    </row>
    <row r="364" spans="1:17" x14ac:dyDescent="0.35">
      <c r="A364">
        <v>2022</v>
      </c>
      <c r="B364" s="15">
        <v>182</v>
      </c>
      <c r="C364" s="15">
        <v>19</v>
      </c>
      <c r="D364" s="12">
        <f t="shared" si="66"/>
        <v>22.75</v>
      </c>
      <c r="E364" s="27">
        <f t="shared" si="67"/>
        <v>0.45500000000000002</v>
      </c>
      <c r="F364" s="27">
        <f t="shared" si="68"/>
        <v>0.38</v>
      </c>
      <c r="G364">
        <f t="shared" si="69"/>
        <v>41.75</v>
      </c>
      <c r="H364">
        <f t="shared" si="70"/>
        <v>0</v>
      </c>
      <c r="I364">
        <f t="shared" si="71"/>
        <v>2.4104686628373572E-2</v>
      </c>
      <c r="J364">
        <f t="shared" si="72"/>
        <v>-1.3645328342817109</v>
      </c>
      <c r="K364">
        <f t="shared" si="73"/>
        <v>1.9991178698027735E-4</v>
      </c>
      <c r="L364">
        <f t="shared" si="74"/>
        <v>-1.9993177200513721E-4</v>
      </c>
      <c r="M364">
        <f t="shared" si="75"/>
        <v>0.45508982035928142</v>
      </c>
      <c r="N364">
        <f t="shared" si="76"/>
        <v>0.54491017964071853</v>
      </c>
      <c r="P364">
        <f t="shared" si="77"/>
        <v>484.5</v>
      </c>
      <c r="Q364">
        <f t="shared" si="78"/>
        <v>1022</v>
      </c>
    </row>
    <row r="365" spans="1:17" x14ac:dyDescent="0.35">
      <c r="A365">
        <v>2022</v>
      </c>
      <c r="B365" s="15">
        <v>181</v>
      </c>
      <c r="C365" s="15">
        <v>19</v>
      </c>
      <c r="D365" s="12">
        <f t="shared" si="66"/>
        <v>22.625</v>
      </c>
      <c r="E365" s="27">
        <f t="shared" si="67"/>
        <v>0.45250000000000001</v>
      </c>
      <c r="F365" s="27">
        <f t="shared" si="68"/>
        <v>0.38</v>
      </c>
      <c r="G365">
        <f t="shared" si="69"/>
        <v>41.625</v>
      </c>
      <c r="H365">
        <f t="shared" si="70"/>
        <v>0</v>
      </c>
      <c r="I365">
        <f t="shared" si="71"/>
        <v>-1.1445838295796084E-2</v>
      </c>
      <c r="J365">
        <f t="shared" si="72"/>
        <v>-1.3645328342817109</v>
      </c>
      <c r="K365">
        <f t="shared" si="73"/>
        <v>1.7112256314959318E-4</v>
      </c>
      <c r="L365">
        <f t="shared" si="74"/>
        <v>-1.7113720628589781E-4</v>
      </c>
      <c r="M365">
        <f t="shared" si="75"/>
        <v>0.45645645645645644</v>
      </c>
      <c r="N365">
        <f t="shared" si="76"/>
        <v>0.54354354354354351</v>
      </c>
      <c r="P365">
        <f t="shared" si="77"/>
        <v>505</v>
      </c>
      <c r="Q365">
        <f t="shared" si="78"/>
        <v>1022</v>
      </c>
    </row>
    <row r="366" spans="1:17" x14ac:dyDescent="0.35">
      <c r="A366">
        <v>2022</v>
      </c>
      <c r="B366" s="15">
        <v>179</v>
      </c>
      <c r="C366" s="15">
        <v>19</v>
      </c>
      <c r="D366" s="12">
        <f t="shared" si="66"/>
        <v>22.375</v>
      </c>
      <c r="E366" s="27">
        <f t="shared" si="67"/>
        <v>0.44750000000000001</v>
      </c>
      <c r="F366" s="27">
        <f t="shared" si="68"/>
        <v>0.38</v>
      </c>
      <c r="G366">
        <f t="shared" si="69"/>
        <v>41.375</v>
      </c>
      <c r="H366">
        <f t="shared" si="70"/>
        <v>0</v>
      </c>
      <c r="I366">
        <f t="shared" si="71"/>
        <v>-8.2546888144135397E-2</v>
      </c>
      <c r="J366">
        <f t="shared" si="72"/>
        <v>-1.3645328342817109</v>
      </c>
      <c r="K366">
        <f t="shared" si="73"/>
        <v>1.2538335429826538E-4</v>
      </c>
      <c r="L366">
        <f t="shared" si="74"/>
        <v>-1.2539121544811563E-4</v>
      </c>
      <c r="M366">
        <f t="shared" si="75"/>
        <v>0.45921450151057402</v>
      </c>
      <c r="N366">
        <f t="shared" si="76"/>
        <v>0.54078549848942603</v>
      </c>
      <c r="P366">
        <f t="shared" si="77"/>
        <v>547</v>
      </c>
      <c r="Q366">
        <f t="shared" si="78"/>
        <v>1022</v>
      </c>
    </row>
    <row r="367" spans="1:17" x14ac:dyDescent="0.35">
      <c r="A367">
        <v>2022</v>
      </c>
      <c r="B367" s="15">
        <v>209</v>
      </c>
      <c r="C367" s="15">
        <v>15</v>
      </c>
      <c r="D367" s="12">
        <f t="shared" si="66"/>
        <v>26.125</v>
      </c>
      <c r="E367" s="27">
        <f t="shared" si="67"/>
        <v>0.52249999999999996</v>
      </c>
      <c r="F367" s="27">
        <f t="shared" si="68"/>
        <v>0.3</v>
      </c>
      <c r="G367">
        <f t="shared" si="69"/>
        <v>41.125</v>
      </c>
      <c r="H367">
        <f t="shared" si="70"/>
        <v>0</v>
      </c>
      <c r="I367">
        <f t="shared" si="71"/>
        <v>0.98396885958095437</v>
      </c>
      <c r="J367">
        <f t="shared" si="72"/>
        <v>-1.8266888546044</v>
      </c>
      <c r="K367">
        <f t="shared" si="73"/>
        <v>2.0609772106640358E-4</v>
      </c>
      <c r="L367">
        <f t="shared" si="74"/>
        <v>-2.0611896212024251E-4</v>
      </c>
      <c r="M367">
        <f t="shared" si="75"/>
        <v>0.36474164133738601</v>
      </c>
      <c r="N367">
        <f t="shared" si="76"/>
        <v>0.63525835866261393</v>
      </c>
      <c r="P367">
        <f t="shared" si="77"/>
        <v>150.5</v>
      </c>
      <c r="Q367">
        <f t="shared" si="78"/>
        <v>1094</v>
      </c>
    </row>
    <row r="368" spans="1:17" x14ac:dyDescent="0.35">
      <c r="A368">
        <v>2022</v>
      </c>
      <c r="B368" s="15">
        <v>168</v>
      </c>
      <c r="C368" s="15">
        <v>20</v>
      </c>
      <c r="D368" s="12">
        <f t="shared" si="66"/>
        <v>21</v>
      </c>
      <c r="E368" s="27">
        <f t="shared" si="67"/>
        <v>0.42</v>
      </c>
      <c r="F368" s="27">
        <f t="shared" si="68"/>
        <v>0.4</v>
      </c>
      <c r="G368">
        <f t="shared" si="69"/>
        <v>41</v>
      </c>
      <c r="H368">
        <f t="shared" si="70"/>
        <v>0</v>
      </c>
      <c r="I368">
        <f t="shared" si="71"/>
        <v>-0.47360266231000164</v>
      </c>
      <c r="J368">
        <f t="shared" si="72"/>
        <v>-1.2489938292010385</v>
      </c>
      <c r="K368">
        <f t="shared" si="73"/>
        <v>6.4253477733339497E-5</v>
      </c>
      <c r="L368">
        <f t="shared" si="74"/>
        <v>-6.4255542076439834E-5</v>
      </c>
      <c r="M368">
        <f t="shared" si="75"/>
        <v>0.48780487804878048</v>
      </c>
      <c r="N368">
        <f t="shared" si="76"/>
        <v>0.51219512195121952</v>
      </c>
      <c r="P368">
        <f t="shared" si="77"/>
        <v>767</v>
      </c>
      <c r="Q368">
        <f t="shared" si="78"/>
        <v>996</v>
      </c>
    </row>
    <row r="369" spans="1:17" x14ac:dyDescent="0.35">
      <c r="A369">
        <v>2022</v>
      </c>
      <c r="B369" s="15">
        <v>183</v>
      </c>
      <c r="C369" s="15">
        <v>18</v>
      </c>
      <c r="D369" s="12">
        <f t="shared" si="66"/>
        <v>22.875</v>
      </c>
      <c r="E369" s="27">
        <f t="shared" si="67"/>
        <v>0.45750000000000002</v>
      </c>
      <c r="F369" s="27">
        <f t="shared" si="68"/>
        <v>0.36</v>
      </c>
      <c r="G369">
        <f t="shared" si="69"/>
        <v>40.875</v>
      </c>
      <c r="H369">
        <f t="shared" si="70"/>
        <v>0</v>
      </c>
      <c r="I369">
        <f t="shared" si="71"/>
        <v>5.9655211552543233E-2</v>
      </c>
      <c r="J369">
        <f t="shared" si="72"/>
        <v>-1.4800718393623831</v>
      </c>
      <c r="K369">
        <f t="shared" si="73"/>
        <v>8.2380220217397954E-5</v>
      </c>
      <c r="L369">
        <f t="shared" si="74"/>
        <v>-8.2383613654159253E-5</v>
      </c>
      <c r="M369">
        <f t="shared" si="75"/>
        <v>0.44036697247706424</v>
      </c>
      <c r="N369">
        <f t="shared" si="76"/>
        <v>0.55963302752293576</v>
      </c>
      <c r="P369">
        <f t="shared" si="77"/>
        <v>465</v>
      </c>
      <c r="Q369">
        <f t="shared" si="78"/>
        <v>1044.5</v>
      </c>
    </row>
    <row r="370" spans="1:17" x14ac:dyDescent="0.35">
      <c r="A370">
        <v>2022</v>
      </c>
      <c r="B370" s="15">
        <v>166</v>
      </c>
      <c r="C370" s="15">
        <v>20</v>
      </c>
      <c r="D370" s="12">
        <f t="shared" si="66"/>
        <v>20.75</v>
      </c>
      <c r="E370" s="27">
        <f t="shared" si="67"/>
        <v>0.41499999999999998</v>
      </c>
      <c r="F370" s="27">
        <f t="shared" si="68"/>
        <v>0.4</v>
      </c>
      <c r="G370">
        <f t="shared" si="69"/>
        <v>40.75</v>
      </c>
      <c r="H370">
        <f t="shared" si="70"/>
        <v>0</v>
      </c>
      <c r="I370">
        <f t="shared" si="71"/>
        <v>-0.5447037121583409</v>
      </c>
      <c r="J370">
        <f t="shared" si="72"/>
        <v>-1.2489938292010385</v>
      </c>
      <c r="K370">
        <f t="shared" si="73"/>
        <v>4.7077873625604052E-5</v>
      </c>
      <c r="L370">
        <f t="shared" si="74"/>
        <v>-4.7078981823441015E-5</v>
      </c>
      <c r="M370">
        <f t="shared" si="75"/>
        <v>0.49079754601226994</v>
      </c>
      <c r="N370">
        <f t="shared" si="76"/>
        <v>0.50920245398773001</v>
      </c>
      <c r="P370">
        <f t="shared" si="77"/>
        <v>809</v>
      </c>
      <c r="Q370">
        <f t="shared" si="78"/>
        <v>996</v>
      </c>
    </row>
    <row r="371" spans="1:17" x14ac:dyDescent="0.35">
      <c r="A371">
        <v>2022</v>
      </c>
      <c r="B371" s="15">
        <v>190</v>
      </c>
      <c r="C371" s="15">
        <v>17</v>
      </c>
      <c r="D371" s="12">
        <f t="shared" si="66"/>
        <v>23.75</v>
      </c>
      <c r="E371" s="27">
        <f t="shared" si="67"/>
        <v>0.47499999999999998</v>
      </c>
      <c r="F371" s="27">
        <f t="shared" si="68"/>
        <v>0.34</v>
      </c>
      <c r="G371">
        <f t="shared" si="69"/>
        <v>40.75</v>
      </c>
      <c r="H371">
        <f t="shared" si="70"/>
        <v>0</v>
      </c>
      <c r="I371">
        <f t="shared" si="71"/>
        <v>0.30850888602173082</v>
      </c>
      <c r="J371">
        <f t="shared" si="72"/>
        <v>-1.5956108444430555</v>
      </c>
      <c r="K371">
        <f t="shared" si="73"/>
        <v>8.6301137878858652E-5</v>
      </c>
      <c r="L371">
        <f t="shared" si="74"/>
        <v>-8.6304862036352977E-5</v>
      </c>
      <c r="M371">
        <f t="shared" si="75"/>
        <v>0.41717791411042943</v>
      </c>
      <c r="N371">
        <f t="shared" si="76"/>
        <v>0.58282208588957052</v>
      </c>
      <c r="P371">
        <f t="shared" si="77"/>
        <v>341</v>
      </c>
      <c r="Q371">
        <f t="shared" si="78"/>
        <v>1063.5</v>
      </c>
    </row>
    <row r="372" spans="1:17" x14ac:dyDescent="0.35">
      <c r="A372">
        <v>2022</v>
      </c>
      <c r="B372" s="15">
        <v>189</v>
      </c>
      <c r="C372" s="15">
        <v>17</v>
      </c>
      <c r="D372" s="12">
        <f t="shared" si="66"/>
        <v>23.625</v>
      </c>
      <c r="E372" s="27">
        <f t="shared" si="67"/>
        <v>0.47249999999999998</v>
      </c>
      <c r="F372" s="27">
        <f t="shared" si="68"/>
        <v>0.34</v>
      </c>
      <c r="G372">
        <f t="shared" si="69"/>
        <v>40.625</v>
      </c>
      <c r="H372">
        <f t="shared" si="70"/>
        <v>0</v>
      </c>
      <c r="I372">
        <f t="shared" si="71"/>
        <v>0.27295836109756116</v>
      </c>
      <c r="J372">
        <f t="shared" si="72"/>
        <v>-1.5956108444430555</v>
      </c>
      <c r="K372">
        <f t="shared" si="73"/>
        <v>7.3871733500202022E-5</v>
      </c>
      <c r="L372">
        <f t="shared" si="74"/>
        <v>-7.3874462151038743E-5</v>
      </c>
      <c r="M372">
        <f t="shared" si="75"/>
        <v>0.41846153846153844</v>
      </c>
      <c r="N372">
        <f t="shared" si="76"/>
        <v>0.58153846153846156</v>
      </c>
      <c r="P372">
        <f t="shared" si="77"/>
        <v>357.5</v>
      </c>
      <c r="Q372">
        <f t="shared" si="78"/>
        <v>1063.5</v>
      </c>
    </row>
    <row r="373" spans="1:17" x14ac:dyDescent="0.35">
      <c r="A373">
        <v>2022</v>
      </c>
      <c r="B373" s="15">
        <v>180</v>
      </c>
      <c r="C373" s="15">
        <v>18</v>
      </c>
      <c r="D373" s="12">
        <f t="shared" si="66"/>
        <v>22.5</v>
      </c>
      <c r="E373" s="27">
        <f t="shared" si="67"/>
        <v>0.45</v>
      </c>
      <c r="F373" s="27">
        <f t="shared" si="68"/>
        <v>0.36</v>
      </c>
      <c r="G373">
        <f t="shared" si="69"/>
        <v>40.5</v>
      </c>
      <c r="H373">
        <f t="shared" si="70"/>
        <v>0</v>
      </c>
      <c r="I373">
        <f t="shared" si="71"/>
        <v>-4.6996363219965739E-2</v>
      </c>
      <c r="J373">
        <f t="shared" si="72"/>
        <v>-1.4800718393623831</v>
      </c>
      <c r="K373">
        <f t="shared" si="73"/>
        <v>5.1666066509756662E-5</v>
      </c>
      <c r="L373">
        <f t="shared" si="74"/>
        <v>-5.1667401246936161E-5</v>
      </c>
      <c r="M373">
        <f t="shared" si="75"/>
        <v>0.44444444444444442</v>
      </c>
      <c r="N373">
        <f t="shared" si="76"/>
        <v>0.55555555555555558</v>
      </c>
      <c r="P373">
        <f t="shared" si="77"/>
        <v>528</v>
      </c>
      <c r="Q373">
        <f t="shared" si="78"/>
        <v>1044.5</v>
      </c>
    </row>
    <row r="374" spans="1:17" x14ac:dyDescent="0.35">
      <c r="A374">
        <v>2022</v>
      </c>
      <c r="B374" s="15">
        <v>155</v>
      </c>
      <c r="C374" s="15">
        <v>21</v>
      </c>
      <c r="D374" s="12">
        <f t="shared" si="66"/>
        <v>19.375</v>
      </c>
      <c r="E374" s="27">
        <f t="shared" si="67"/>
        <v>0.38750000000000001</v>
      </c>
      <c r="F374" s="27">
        <f t="shared" si="68"/>
        <v>0.42</v>
      </c>
      <c r="G374">
        <f t="shared" si="69"/>
        <v>40.375</v>
      </c>
      <c r="H374">
        <f t="shared" si="70"/>
        <v>0</v>
      </c>
      <c r="I374">
        <f t="shared" si="71"/>
        <v>-0.93575948632420713</v>
      </c>
      <c r="J374">
        <f t="shared" si="72"/>
        <v>-1.1334548241203661</v>
      </c>
      <c r="K374">
        <f t="shared" si="73"/>
        <v>2.4124427267637718E-5</v>
      </c>
      <c r="L374">
        <f t="shared" si="74"/>
        <v>-2.4124718266300049E-5</v>
      </c>
      <c r="M374">
        <f t="shared" si="75"/>
        <v>0.52012383900928794</v>
      </c>
      <c r="N374">
        <f t="shared" si="76"/>
        <v>0.47987616099071206</v>
      </c>
      <c r="P374">
        <f t="shared" si="77"/>
        <v>985</v>
      </c>
      <c r="Q374">
        <f t="shared" si="78"/>
        <v>967.5</v>
      </c>
    </row>
    <row r="375" spans="1:17" x14ac:dyDescent="0.35">
      <c r="A375">
        <v>2022</v>
      </c>
      <c r="B375" s="15">
        <v>174</v>
      </c>
      <c r="C375" s="15">
        <v>18</v>
      </c>
      <c r="D375" s="12">
        <f t="shared" si="66"/>
        <v>21.75</v>
      </c>
      <c r="E375" s="27">
        <f t="shared" si="67"/>
        <v>0.435</v>
      </c>
      <c r="F375" s="27">
        <f t="shared" si="68"/>
        <v>0.36</v>
      </c>
      <c r="G375">
        <f t="shared" si="69"/>
        <v>39.75</v>
      </c>
      <c r="H375">
        <f t="shared" si="70"/>
        <v>0</v>
      </c>
      <c r="I375">
        <f t="shared" si="71"/>
        <v>-0.2602995127649837</v>
      </c>
      <c r="J375">
        <f t="shared" si="72"/>
        <v>-1.4800718393623831</v>
      </c>
      <c r="K375">
        <f t="shared" si="73"/>
        <v>2.0321568822112582E-5</v>
      </c>
      <c r="L375">
        <f t="shared" si="74"/>
        <v>-2.0321775308022976E-5</v>
      </c>
      <c r="M375">
        <f t="shared" si="75"/>
        <v>0.45283018867924529</v>
      </c>
      <c r="N375">
        <f t="shared" si="76"/>
        <v>0.54716981132075471</v>
      </c>
      <c r="P375">
        <f t="shared" si="77"/>
        <v>653</v>
      </c>
      <c r="Q375">
        <f t="shared" si="78"/>
        <v>1044.5</v>
      </c>
    </row>
    <row r="376" spans="1:17" x14ac:dyDescent="0.35">
      <c r="A376">
        <v>2022</v>
      </c>
      <c r="B376" s="15">
        <v>206</v>
      </c>
      <c r="C376" s="15">
        <v>13</v>
      </c>
      <c r="D376" s="12">
        <f t="shared" si="66"/>
        <v>25.75</v>
      </c>
      <c r="E376" s="27">
        <f t="shared" si="67"/>
        <v>0.51500000000000001</v>
      </c>
      <c r="F376" s="27">
        <f t="shared" si="68"/>
        <v>0.26</v>
      </c>
      <c r="G376">
        <f t="shared" si="69"/>
        <v>38.75</v>
      </c>
      <c r="H376">
        <f t="shared" si="70"/>
        <v>0</v>
      </c>
      <c r="I376">
        <f t="shared" si="71"/>
        <v>0.8773172848084454</v>
      </c>
      <c r="J376">
        <f t="shared" si="72"/>
        <v>-2.0577668647657448</v>
      </c>
      <c r="K376">
        <f t="shared" si="73"/>
        <v>1.6080685788751082E-5</v>
      </c>
      <c r="L376">
        <f t="shared" si="74"/>
        <v>-1.6080815084346834E-5</v>
      </c>
      <c r="M376">
        <f t="shared" si="75"/>
        <v>0.33548387096774196</v>
      </c>
      <c r="N376">
        <f t="shared" si="76"/>
        <v>0.6645161290322581</v>
      </c>
      <c r="P376">
        <f t="shared" si="77"/>
        <v>178</v>
      </c>
      <c r="Q376">
        <f t="shared" si="78"/>
        <v>1116.5</v>
      </c>
    </row>
    <row r="377" spans="1:17" x14ac:dyDescent="0.35">
      <c r="A377">
        <v>2022</v>
      </c>
      <c r="B377" s="15">
        <v>190</v>
      </c>
      <c r="C377" s="15">
        <v>15</v>
      </c>
      <c r="D377" s="12">
        <f t="shared" si="66"/>
        <v>23.75</v>
      </c>
      <c r="E377" s="27">
        <f t="shared" si="67"/>
        <v>0.47499999999999998</v>
      </c>
      <c r="F377" s="27">
        <f t="shared" si="68"/>
        <v>0.3</v>
      </c>
      <c r="G377">
        <f t="shared" si="69"/>
        <v>38.75</v>
      </c>
      <c r="H377">
        <f t="shared" si="70"/>
        <v>0</v>
      </c>
      <c r="I377">
        <f t="shared" si="71"/>
        <v>0.30850888602173082</v>
      </c>
      <c r="J377">
        <f t="shared" si="72"/>
        <v>-1.8266888546044</v>
      </c>
      <c r="K377">
        <f t="shared" si="73"/>
        <v>1.0735668059366688E-5</v>
      </c>
      <c r="L377">
        <f t="shared" si="74"/>
        <v>-1.0735725687010818E-5</v>
      </c>
      <c r="M377">
        <f t="shared" si="75"/>
        <v>0.38709677419354838</v>
      </c>
      <c r="N377">
        <f t="shared" si="76"/>
        <v>0.61290322580645162</v>
      </c>
      <c r="P377">
        <f t="shared" si="77"/>
        <v>341</v>
      </c>
      <c r="Q377">
        <f t="shared" si="78"/>
        <v>1094</v>
      </c>
    </row>
    <row r="378" spans="1:17" x14ac:dyDescent="0.35">
      <c r="A378">
        <v>2022</v>
      </c>
      <c r="B378" s="15">
        <v>189</v>
      </c>
      <c r="C378" s="15">
        <v>15</v>
      </c>
      <c r="D378" s="12">
        <f t="shared" si="66"/>
        <v>23.625</v>
      </c>
      <c r="E378" s="27">
        <f t="shared" si="67"/>
        <v>0.47249999999999998</v>
      </c>
      <c r="F378" s="27">
        <f t="shared" si="68"/>
        <v>0.3</v>
      </c>
      <c r="G378">
        <f t="shared" si="69"/>
        <v>38.625</v>
      </c>
      <c r="H378">
        <f t="shared" si="70"/>
        <v>0</v>
      </c>
      <c r="I378">
        <f t="shared" si="71"/>
        <v>0.27295836109756116</v>
      </c>
      <c r="J378">
        <f t="shared" si="72"/>
        <v>-1.8266888546044</v>
      </c>
      <c r="K378">
        <f t="shared" si="73"/>
        <v>9.1893780035924974E-6</v>
      </c>
      <c r="L378">
        <f t="shared" si="74"/>
        <v>-9.1894202261306311E-6</v>
      </c>
      <c r="M378">
        <f t="shared" si="75"/>
        <v>0.38834951456310679</v>
      </c>
      <c r="N378">
        <f t="shared" si="76"/>
        <v>0.61165048543689315</v>
      </c>
      <c r="P378">
        <f t="shared" si="77"/>
        <v>357.5</v>
      </c>
      <c r="Q378">
        <f t="shared" si="78"/>
        <v>1094</v>
      </c>
    </row>
    <row r="379" spans="1:17" x14ac:dyDescent="0.35">
      <c r="A379">
        <v>2022</v>
      </c>
      <c r="B379" s="15">
        <v>188</v>
      </c>
      <c r="C379" s="15">
        <v>15</v>
      </c>
      <c r="D379" s="12">
        <f t="shared" si="66"/>
        <v>23.5</v>
      </c>
      <c r="E379" s="27">
        <f t="shared" si="67"/>
        <v>0.47</v>
      </c>
      <c r="F379" s="27">
        <f t="shared" si="68"/>
        <v>0.3</v>
      </c>
      <c r="G379">
        <f t="shared" si="69"/>
        <v>38.5</v>
      </c>
      <c r="H379">
        <f t="shared" si="70"/>
        <v>0</v>
      </c>
      <c r="I379">
        <f t="shared" si="71"/>
        <v>0.23740783617339151</v>
      </c>
      <c r="J379">
        <f t="shared" si="72"/>
        <v>-1.8266888546044</v>
      </c>
      <c r="K379">
        <f t="shared" si="73"/>
        <v>7.8658029308008116E-6</v>
      </c>
      <c r="L379">
        <f t="shared" si="74"/>
        <v>-7.8658338663633085E-6</v>
      </c>
      <c r="M379">
        <f t="shared" si="75"/>
        <v>0.38961038961038963</v>
      </c>
      <c r="N379">
        <f t="shared" si="76"/>
        <v>0.61038961038961037</v>
      </c>
      <c r="P379">
        <f t="shared" si="77"/>
        <v>374.5</v>
      </c>
      <c r="Q379">
        <f t="shared" si="78"/>
        <v>1094</v>
      </c>
    </row>
    <row r="380" spans="1:17" x14ac:dyDescent="0.35">
      <c r="A380">
        <v>2022</v>
      </c>
      <c r="B380" s="15">
        <v>185</v>
      </c>
      <c r="C380" s="15">
        <v>15</v>
      </c>
      <c r="D380" s="12">
        <f t="shared" si="66"/>
        <v>23.125</v>
      </c>
      <c r="E380" s="27">
        <f t="shared" si="67"/>
        <v>0.46250000000000002</v>
      </c>
      <c r="F380" s="27">
        <f t="shared" si="68"/>
        <v>0.3</v>
      </c>
      <c r="G380">
        <f t="shared" si="69"/>
        <v>38.125</v>
      </c>
      <c r="H380">
        <f t="shared" si="70"/>
        <v>0</v>
      </c>
      <c r="I380">
        <f t="shared" si="71"/>
        <v>0.13075626140088253</v>
      </c>
      <c r="J380">
        <f t="shared" si="72"/>
        <v>-1.8266888546044</v>
      </c>
      <c r="K380">
        <f t="shared" si="73"/>
        <v>4.9330264645480044E-6</v>
      </c>
      <c r="L380">
        <f t="shared" si="74"/>
        <v>-4.9330386319525911E-6</v>
      </c>
      <c r="M380">
        <f t="shared" si="75"/>
        <v>0.39344262295081966</v>
      </c>
      <c r="N380">
        <f t="shared" si="76"/>
        <v>0.60655737704918034</v>
      </c>
      <c r="P380">
        <f t="shared" si="77"/>
        <v>428.5</v>
      </c>
      <c r="Q380">
        <f t="shared" si="78"/>
        <v>1094</v>
      </c>
    </row>
    <row r="381" spans="1:17" x14ac:dyDescent="0.35">
      <c r="A381">
        <v>2022</v>
      </c>
      <c r="B381" s="15">
        <v>176</v>
      </c>
      <c r="C381" s="15">
        <v>16</v>
      </c>
      <c r="D381" s="12">
        <f t="shared" si="66"/>
        <v>22</v>
      </c>
      <c r="E381" s="27">
        <f t="shared" si="67"/>
        <v>0.44</v>
      </c>
      <c r="F381" s="27">
        <f t="shared" si="68"/>
        <v>0.32</v>
      </c>
      <c r="G381">
        <f t="shared" si="69"/>
        <v>38</v>
      </c>
      <c r="H381">
        <f t="shared" si="70"/>
        <v>0</v>
      </c>
      <c r="I381">
        <f t="shared" si="71"/>
        <v>-0.18919846291664436</v>
      </c>
      <c r="J381">
        <f t="shared" si="72"/>
        <v>-1.7111498495237276</v>
      </c>
      <c r="K381">
        <f t="shared" si="73"/>
        <v>3.4500989679082501E-6</v>
      </c>
      <c r="L381">
        <f t="shared" si="74"/>
        <v>-3.4501049195660242E-6</v>
      </c>
      <c r="M381">
        <f t="shared" si="75"/>
        <v>0.42105263157894735</v>
      </c>
      <c r="N381">
        <f t="shared" si="76"/>
        <v>0.57894736842105265</v>
      </c>
      <c r="P381">
        <f t="shared" si="77"/>
        <v>607.5</v>
      </c>
      <c r="Q381">
        <f t="shared" si="78"/>
        <v>1079.5</v>
      </c>
    </row>
    <row r="382" spans="1:17" x14ac:dyDescent="0.35">
      <c r="A382">
        <v>2022</v>
      </c>
      <c r="B382" s="15">
        <v>171</v>
      </c>
      <c r="C382" s="15">
        <v>16</v>
      </c>
      <c r="D382" s="12">
        <f t="shared" si="66"/>
        <v>21.375</v>
      </c>
      <c r="E382" s="27">
        <f t="shared" si="67"/>
        <v>0.42749999999999999</v>
      </c>
      <c r="F382" s="27">
        <f t="shared" si="68"/>
        <v>0.32</v>
      </c>
      <c r="G382">
        <f t="shared" si="69"/>
        <v>37.375</v>
      </c>
      <c r="H382">
        <f t="shared" si="70"/>
        <v>0</v>
      </c>
      <c r="I382">
        <f t="shared" si="71"/>
        <v>-0.36695108753749267</v>
      </c>
      <c r="J382">
        <f t="shared" si="72"/>
        <v>-1.7111498495237276</v>
      </c>
      <c r="K382">
        <f t="shared" si="73"/>
        <v>1.5853100523710887E-6</v>
      </c>
      <c r="L382">
        <f t="shared" si="74"/>
        <v>-1.5853113089486119E-6</v>
      </c>
      <c r="M382">
        <f t="shared" si="75"/>
        <v>0.42809364548494983</v>
      </c>
      <c r="N382">
        <f t="shared" si="76"/>
        <v>0.57190635451505012</v>
      </c>
      <c r="P382">
        <f t="shared" si="77"/>
        <v>700</v>
      </c>
      <c r="Q382">
        <f t="shared" si="78"/>
        <v>1079.5</v>
      </c>
    </row>
    <row r="383" spans="1:17" x14ac:dyDescent="0.35">
      <c r="A383">
        <v>2022</v>
      </c>
      <c r="B383" s="15">
        <v>184</v>
      </c>
      <c r="C383" s="15">
        <v>14</v>
      </c>
      <c r="D383" s="12">
        <f t="shared" si="66"/>
        <v>23</v>
      </c>
      <c r="E383" s="27">
        <f t="shared" si="67"/>
        <v>0.46</v>
      </c>
      <c r="F383" s="27">
        <f t="shared" si="68"/>
        <v>0.28000000000000003</v>
      </c>
      <c r="G383">
        <f t="shared" si="69"/>
        <v>37</v>
      </c>
      <c r="H383">
        <f t="shared" si="70"/>
        <v>0</v>
      </c>
      <c r="I383">
        <f t="shared" si="71"/>
        <v>9.5205736476712891E-2</v>
      </c>
      <c r="J383">
        <f t="shared" si="72"/>
        <v>-1.9422278596850724</v>
      </c>
      <c r="K383">
        <f t="shared" si="73"/>
        <v>1.4892279479850637E-6</v>
      </c>
      <c r="L383">
        <f t="shared" si="74"/>
        <v>-1.489229056860512E-6</v>
      </c>
      <c r="M383">
        <f t="shared" si="75"/>
        <v>0.3783783783783784</v>
      </c>
      <c r="N383">
        <f t="shared" si="76"/>
        <v>0.6216216216216216</v>
      </c>
      <c r="P383">
        <f t="shared" si="77"/>
        <v>445</v>
      </c>
      <c r="Q383">
        <f t="shared" si="78"/>
        <v>1107.5</v>
      </c>
    </row>
    <row r="384" spans="1:17" x14ac:dyDescent="0.35">
      <c r="A384">
        <v>2022</v>
      </c>
      <c r="B384" s="15">
        <v>175</v>
      </c>
      <c r="C384" s="15">
        <v>15</v>
      </c>
      <c r="D384" s="12">
        <f t="shared" si="66"/>
        <v>21.875</v>
      </c>
      <c r="E384" s="27">
        <f t="shared" si="67"/>
        <v>0.4375</v>
      </c>
      <c r="F384" s="27">
        <f t="shared" si="68"/>
        <v>0.3</v>
      </c>
      <c r="G384">
        <f t="shared" si="69"/>
        <v>36.875</v>
      </c>
      <c r="H384">
        <f t="shared" si="70"/>
        <v>0</v>
      </c>
      <c r="I384">
        <f t="shared" si="71"/>
        <v>-0.22474898784081401</v>
      </c>
      <c r="J384">
        <f t="shared" si="72"/>
        <v>-1.8266888546044</v>
      </c>
      <c r="K384">
        <f t="shared" si="73"/>
        <v>1.0415469132676395E-6</v>
      </c>
      <c r="L384">
        <f t="shared" si="74"/>
        <v>-1.0415474556822143E-6</v>
      </c>
      <c r="M384">
        <f t="shared" si="75"/>
        <v>0.40677966101694918</v>
      </c>
      <c r="N384">
        <f t="shared" si="76"/>
        <v>0.59322033898305082</v>
      </c>
      <c r="P384">
        <f t="shared" si="77"/>
        <v>631.5</v>
      </c>
      <c r="Q384">
        <f t="shared" si="78"/>
        <v>1094</v>
      </c>
    </row>
    <row r="385" spans="1:17" x14ac:dyDescent="0.35">
      <c r="A385">
        <v>2022</v>
      </c>
      <c r="B385" s="15">
        <v>151</v>
      </c>
      <c r="C385" s="15">
        <v>17</v>
      </c>
      <c r="D385" s="12">
        <f t="shared" si="66"/>
        <v>18.875</v>
      </c>
      <c r="E385" s="27">
        <f t="shared" si="67"/>
        <v>0.3775</v>
      </c>
      <c r="F385" s="27">
        <f t="shared" si="68"/>
        <v>0.34</v>
      </c>
      <c r="G385">
        <f t="shared" si="69"/>
        <v>35.875</v>
      </c>
      <c r="H385">
        <f t="shared" si="70"/>
        <v>0</v>
      </c>
      <c r="I385">
        <f t="shared" si="71"/>
        <v>-1.0779615860208858</v>
      </c>
      <c r="J385">
        <f t="shared" si="72"/>
        <v>-1.5956108444430555</v>
      </c>
      <c r="K385">
        <f t="shared" si="73"/>
        <v>2.0037906676589097E-7</v>
      </c>
      <c r="L385">
        <f t="shared" si="74"/>
        <v>-2.0037908685960585E-7</v>
      </c>
      <c r="M385">
        <f t="shared" si="75"/>
        <v>0.47386759581881532</v>
      </c>
      <c r="N385">
        <f t="shared" si="76"/>
        <v>0.52613240418118468</v>
      </c>
      <c r="P385">
        <f t="shared" si="77"/>
        <v>1029</v>
      </c>
      <c r="Q385">
        <f t="shared" si="78"/>
        <v>1063.5</v>
      </c>
    </row>
    <row r="386" spans="1:17" x14ac:dyDescent="0.35">
      <c r="A386">
        <v>2022</v>
      </c>
      <c r="B386" s="15">
        <v>159</v>
      </c>
      <c r="C386" s="15">
        <v>15</v>
      </c>
      <c r="D386" s="12">
        <f t="shared" si="66"/>
        <v>19.875</v>
      </c>
      <c r="E386" s="27">
        <f t="shared" si="67"/>
        <v>0.39750000000000002</v>
      </c>
      <c r="F386" s="27">
        <f t="shared" si="68"/>
        <v>0.3</v>
      </c>
      <c r="G386">
        <f t="shared" si="69"/>
        <v>34.875</v>
      </c>
      <c r="H386">
        <f t="shared" si="70"/>
        <v>0</v>
      </c>
      <c r="I386">
        <f t="shared" si="71"/>
        <v>-0.7935573866275285</v>
      </c>
      <c r="J386">
        <f t="shared" si="72"/>
        <v>-1.8266888546044</v>
      </c>
      <c r="K386">
        <f t="shared" si="73"/>
        <v>8.6493042093784321E-8</v>
      </c>
      <c r="L386">
        <f t="shared" si="74"/>
        <v>-8.6493045802398186E-8</v>
      </c>
      <c r="M386">
        <f t="shared" si="75"/>
        <v>0.43010752688172044</v>
      </c>
      <c r="N386">
        <f t="shared" si="76"/>
        <v>0.56989247311827962</v>
      </c>
      <c r="P386">
        <f t="shared" si="77"/>
        <v>923</v>
      </c>
      <c r="Q386">
        <f t="shared" si="78"/>
        <v>1094</v>
      </c>
    </row>
    <row r="387" spans="1:17" x14ac:dyDescent="0.35">
      <c r="A387">
        <v>2022</v>
      </c>
      <c r="B387" s="15">
        <v>174</v>
      </c>
      <c r="C387" s="15">
        <v>13</v>
      </c>
      <c r="D387" s="12">
        <f t="shared" ref="D387:D450" si="79">B387/8</f>
        <v>21.75</v>
      </c>
      <c r="E387" s="27">
        <f t="shared" ref="E387:E450" si="80">B387/400</f>
        <v>0.435</v>
      </c>
      <c r="F387" s="27">
        <f t="shared" ref="F387:F450" si="81">C387/50</f>
        <v>0.26</v>
      </c>
      <c r="G387">
        <f t="shared" ref="G387:G450" si="82">SUM(C387+D387)</f>
        <v>34.75</v>
      </c>
      <c r="H387">
        <f t="shared" ref="H387:H450" si="83">IF(G387&gt;=50,1,0)</f>
        <v>0</v>
      </c>
      <c r="I387">
        <f t="shared" ref="I387:I450" si="84" xml:space="preserve"> (D:D - AVERAGE(D:D)) / STDEV(D:D)</f>
        <v>-0.2602995127649837</v>
      </c>
      <c r="J387">
        <f t="shared" ref="J387:J450" si="85" xml:space="preserve"> (C:C - AVERAGE(C:C)) / STDEV(C:C)</f>
        <v>-2.0577668647657448</v>
      </c>
      <c r="K387">
        <f t="shared" ref="K387:K450" si="86">1/(1+EXP(-($AD$25 +$AD$26 * I387 +$AD$27 * J387 )))</f>
        <v>1.1089586278980586E-7</v>
      </c>
      <c r="L387">
        <f t="shared" ref="L387:L450" si="87">IF(K387=0, -1000, IF(K387=1, -1000, H387 * LN(K387) + (1 - H387) * LN(1 - K387)))</f>
        <v>-1.1089586897492373E-7</v>
      </c>
      <c r="M387">
        <f t="shared" ref="M387:M450" si="88">IF(G387=0, 0,  C387  / G387 )</f>
        <v>0.37410071942446044</v>
      </c>
      <c r="N387">
        <f t="shared" ref="N387:N450" si="89">IF(G387=0, 0,  D387  / G387 )</f>
        <v>0.62589928057553956</v>
      </c>
      <c r="P387">
        <f t="shared" ref="P387:P450" si="90">_xlfn.RANK.AVG(B387,$B$2:$B$1144)</f>
        <v>653</v>
      </c>
      <c r="Q387">
        <f t="shared" ref="Q387:Q450" si="91">_xlfn.RANK.AVG(C387,$C$2:$C$1144)</f>
        <v>1116.5</v>
      </c>
    </row>
    <row r="388" spans="1:17" x14ac:dyDescent="0.35">
      <c r="A388">
        <v>2022</v>
      </c>
      <c r="B388" s="15">
        <v>166</v>
      </c>
      <c r="C388" s="15">
        <v>11</v>
      </c>
      <c r="D388" s="12">
        <f t="shared" si="79"/>
        <v>20.75</v>
      </c>
      <c r="E388" s="27">
        <f t="shared" si="80"/>
        <v>0.41499999999999998</v>
      </c>
      <c r="F388" s="27">
        <f t="shared" si="81"/>
        <v>0.22</v>
      </c>
      <c r="G388">
        <f t="shared" si="82"/>
        <v>31.75</v>
      </c>
      <c r="H388">
        <f t="shared" si="83"/>
        <v>0</v>
      </c>
      <c r="I388">
        <f t="shared" si="84"/>
        <v>-0.5447037121583409</v>
      </c>
      <c r="J388">
        <f t="shared" si="85"/>
        <v>-2.2888448749270891</v>
      </c>
      <c r="K388">
        <f t="shared" si="86"/>
        <v>3.9750819359028436E-9</v>
      </c>
      <c r="L388">
        <f t="shared" si="87"/>
        <v>-3.9750819381859233E-9</v>
      </c>
      <c r="M388">
        <f t="shared" si="88"/>
        <v>0.34645669291338582</v>
      </c>
      <c r="N388">
        <f t="shared" si="89"/>
        <v>0.65354330708661412</v>
      </c>
      <c r="P388">
        <f t="shared" si="90"/>
        <v>809</v>
      </c>
      <c r="Q388">
        <f t="shared" si="91"/>
        <v>1128</v>
      </c>
    </row>
    <row r="389" spans="1:17" x14ac:dyDescent="0.35">
      <c r="A389">
        <v>2022</v>
      </c>
      <c r="B389" s="15">
        <v>166</v>
      </c>
      <c r="C389" s="15">
        <v>10</v>
      </c>
      <c r="D389" s="12">
        <f t="shared" si="79"/>
        <v>20.75</v>
      </c>
      <c r="E389" s="27">
        <f t="shared" si="80"/>
        <v>0.41499999999999998</v>
      </c>
      <c r="F389" s="27">
        <f t="shared" si="81"/>
        <v>0.2</v>
      </c>
      <c r="G389">
        <f t="shared" si="82"/>
        <v>30.75</v>
      </c>
      <c r="H389">
        <f t="shared" si="83"/>
        <v>0</v>
      </c>
      <c r="I389">
        <f t="shared" si="84"/>
        <v>-0.5447037121583409</v>
      </c>
      <c r="J389">
        <f t="shared" si="85"/>
        <v>-2.4043838800077615</v>
      </c>
      <c r="K389">
        <f t="shared" si="86"/>
        <v>1.4019610658187563E-9</v>
      </c>
      <c r="L389">
        <f t="shared" si="87"/>
        <v>-1.4019611037476622E-9</v>
      </c>
      <c r="M389">
        <f t="shared" si="88"/>
        <v>0.32520325203252032</v>
      </c>
      <c r="N389">
        <f t="shared" si="89"/>
        <v>0.67479674796747968</v>
      </c>
      <c r="P389">
        <f t="shared" si="90"/>
        <v>809</v>
      </c>
      <c r="Q389">
        <f t="shared" si="91"/>
        <v>1135</v>
      </c>
    </row>
    <row r="390" spans="1:17" ht="16" thickBot="1" x14ac:dyDescent="0.4">
      <c r="A390">
        <v>2022</v>
      </c>
      <c r="B390" s="16">
        <v>158</v>
      </c>
      <c r="C390" s="16">
        <v>7</v>
      </c>
      <c r="D390" s="12">
        <f t="shared" si="79"/>
        <v>19.75</v>
      </c>
      <c r="E390" s="27">
        <f t="shared" si="80"/>
        <v>0.39500000000000002</v>
      </c>
      <c r="F390" s="27">
        <f t="shared" si="81"/>
        <v>0.14000000000000001</v>
      </c>
      <c r="G390">
        <f t="shared" si="82"/>
        <v>26.75</v>
      </c>
      <c r="H390">
        <f t="shared" si="83"/>
        <v>0</v>
      </c>
      <c r="I390">
        <f t="shared" si="84"/>
        <v>-0.82910791155169816</v>
      </c>
      <c r="J390">
        <f t="shared" si="85"/>
        <v>-2.7510008952497786</v>
      </c>
      <c r="K390">
        <f t="shared" si="86"/>
        <v>1.7723786696245876E-11</v>
      </c>
      <c r="L390">
        <f t="shared" si="87"/>
        <v>-1.7723822409877991E-11</v>
      </c>
      <c r="M390">
        <f t="shared" si="88"/>
        <v>0.26168224299065418</v>
      </c>
      <c r="N390">
        <f t="shared" si="89"/>
        <v>0.73831775700934577</v>
      </c>
      <c r="P390">
        <f t="shared" si="90"/>
        <v>940.5</v>
      </c>
      <c r="Q390">
        <f t="shared" si="91"/>
        <v>1141</v>
      </c>
    </row>
    <row r="391" spans="1:17" x14ac:dyDescent="0.35">
      <c r="A391">
        <v>2022</v>
      </c>
      <c r="B391" s="17">
        <v>321</v>
      </c>
      <c r="C391" s="17">
        <v>40</v>
      </c>
      <c r="D391" s="12">
        <f t="shared" si="79"/>
        <v>40.125</v>
      </c>
      <c r="E391" s="27">
        <f t="shared" si="80"/>
        <v>0.80249999999999999</v>
      </c>
      <c r="F391" s="27">
        <f t="shared" si="81"/>
        <v>0.8</v>
      </c>
      <c r="G391">
        <f t="shared" si="82"/>
        <v>80.125</v>
      </c>
      <c r="H391">
        <f t="shared" si="83"/>
        <v>1</v>
      </c>
      <c r="I391">
        <f t="shared" si="84"/>
        <v>4.9656276510879556</v>
      </c>
      <c r="J391">
        <f t="shared" si="85"/>
        <v>1.0617862724124074</v>
      </c>
      <c r="K391">
        <f t="shared" si="86"/>
        <v>0.99999999999999933</v>
      </c>
      <c r="L391">
        <f t="shared" si="87"/>
        <v>-6.6613381477509412E-16</v>
      </c>
      <c r="M391">
        <f t="shared" si="88"/>
        <v>0.49921996879875197</v>
      </c>
      <c r="N391">
        <f t="shared" si="89"/>
        <v>0.50078003120124803</v>
      </c>
      <c r="P391">
        <f t="shared" si="90"/>
        <v>2</v>
      </c>
      <c r="Q391">
        <f t="shared" si="91"/>
        <v>173</v>
      </c>
    </row>
    <row r="392" spans="1:17" x14ac:dyDescent="0.35">
      <c r="A392">
        <v>2022</v>
      </c>
      <c r="B392" s="15">
        <v>259</v>
      </c>
      <c r="C392" s="15">
        <v>41</v>
      </c>
      <c r="D392" s="12">
        <f t="shared" si="79"/>
        <v>32.375</v>
      </c>
      <c r="E392" s="27">
        <f t="shared" si="80"/>
        <v>0.64749999999999996</v>
      </c>
      <c r="F392" s="27">
        <f t="shared" si="81"/>
        <v>0.82</v>
      </c>
      <c r="G392">
        <f t="shared" si="82"/>
        <v>73.375</v>
      </c>
      <c r="H392">
        <f t="shared" si="83"/>
        <v>1</v>
      </c>
      <c r="I392">
        <f t="shared" si="84"/>
        <v>2.7614951057894372</v>
      </c>
      <c r="J392">
        <f t="shared" si="85"/>
        <v>1.1773252774930798</v>
      </c>
      <c r="K392">
        <f t="shared" si="86"/>
        <v>0.99999999999652633</v>
      </c>
      <c r="L392">
        <f t="shared" si="87"/>
        <v>-3.4736657994532228E-12</v>
      </c>
      <c r="M392">
        <f t="shared" si="88"/>
        <v>0.55877342419080067</v>
      </c>
      <c r="N392">
        <f t="shared" si="89"/>
        <v>0.44122657580919933</v>
      </c>
      <c r="P392">
        <f t="shared" si="90"/>
        <v>27</v>
      </c>
      <c r="Q392">
        <f t="shared" si="91"/>
        <v>129.5</v>
      </c>
    </row>
    <row r="393" spans="1:17" x14ac:dyDescent="0.35">
      <c r="A393">
        <v>2022</v>
      </c>
      <c r="B393" s="15">
        <v>206</v>
      </c>
      <c r="C393" s="15">
        <v>39</v>
      </c>
      <c r="D393" s="12">
        <f t="shared" si="79"/>
        <v>25.75</v>
      </c>
      <c r="E393" s="27">
        <f t="shared" si="80"/>
        <v>0.51500000000000001</v>
      </c>
      <c r="F393" s="27">
        <f t="shared" si="81"/>
        <v>0.78</v>
      </c>
      <c r="G393">
        <f t="shared" si="82"/>
        <v>64.75</v>
      </c>
      <c r="H393">
        <f t="shared" si="83"/>
        <v>1</v>
      </c>
      <c r="I393">
        <f t="shared" si="84"/>
        <v>0.8773172848084454</v>
      </c>
      <c r="J393">
        <f t="shared" si="85"/>
        <v>0.94624726733173525</v>
      </c>
      <c r="K393">
        <f t="shared" si="86"/>
        <v>0.99999989387323096</v>
      </c>
      <c r="L393">
        <f t="shared" si="87"/>
        <v>-1.0612677467087337E-7</v>
      </c>
      <c r="M393">
        <f t="shared" si="88"/>
        <v>0.60231660231660233</v>
      </c>
      <c r="N393">
        <f t="shared" si="89"/>
        <v>0.39768339768339767</v>
      </c>
      <c r="P393">
        <f t="shared" si="90"/>
        <v>178</v>
      </c>
      <c r="Q393">
        <f t="shared" si="91"/>
        <v>233</v>
      </c>
    </row>
    <row r="394" spans="1:17" x14ac:dyDescent="0.35">
      <c r="A394">
        <v>2022</v>
      </c>
      <c r="B394" s="15">
        <v>213</v>
      </c>
      <c r="C394" s="15">
        <v>38</v>
      </c>
      <c r="D394" s="12">
        <f t="shared" si="79"/>
        <v>26.625</v>
      </c>
      <c r="E394" s="27">
        <f t="shared" si="80"/>
        <v>0.53249999999999997</v>
      </c>
      <c r="F394" s="27">
        <f t="shared" si="81"/>
        <v>0.76</v>
      </c>
      <c r="G394">
        <f t="shared" si="82"/>
        <v>64.625</v>
      </c>
      <c r="H394">
        <f t="shared" si="83"/>
        <v>1</v>
      </c>
      <c r="I394">
        <f t="shared" si="84"/>
        <v>1.126170959277633</v>
      </c>
      <c r="J394">
        <f t="shared" si="85"/>
        <v>0.83070826225106287</v>
      </c>
      <c r="K394">
        <f t="shared" si="86"/>
        <v>0.99999989869528272</v>
      </c>
      <c r="L394">
        <f t="shared" si="87"/>
        <v>-1.0130472241285944E-7</v>
      </c>
      <c r="M394">
        <f t="shared" si="88"/>
        <v>0.58800773694390718</v>
      </c>
      <c r="N394">
        <f t="shared" si="89"/>
        <v>0.41199226305609282</v>
      </c>
      <c r="P394">
        <f t="shared" si="90"/>
        <v>116</v>
      </c>
      <c r="Q394">
        <f t="shared" si="91"/>
        <v>297.5</v>
      </c>
    </row>
    <row r="395" spans="1:17" x14ac:dyDescent="0.35">
      <c r="A395">
        <v>2022</v>
      </c>
      <c r="B395" s="15">
        <v>202</v>
      </c>
      <c r="C395" s="15">
        <v>39</v>
      </c>
      <c r="D395" s="12">
        <f t="shared" si="79"/>
        <v>25.25</v>
      </c>
      <c r="E395" s="27">
        <f t="shared" si="80"/>
        <v>0.505</v>
      </c>
      <c r="F395" s="27">
        <f t="shared" si="81"/>
        <v>0.78</v>
      </c>
      <c r="G395">
        <f t="shared" si="82"/>
        <v>64.25</v>
      </c>
      <c r="H395">
        <f t="shared" si="83"/>
        <v>1</v>
      </c>
      <c r="I395">
        <f t="shared" si="84"/>
        <v>0.73511518511176677</v>
      </c>
      <c r="J395">
        <f t="shared" si="85"/>
        <v>0.94624726733173525</v>
      </c>
      <c r="K395">
        <f t="shared" si="86"/>
        <v>0.99999980230329899</v>
      </c>
      <c r="L395">
        <f t="shared" si="87"/>
        <v>-1.9769672055177059E-7</v>
      </c>
      <c r="M395">
        <f t="shared" si="88"/>
        <v>0.60700389105058361</v>
      </c>
      <c r="N395">
        <f t="shared" si="89"/>
        <v>0.39299610894941633</v>
      </c>
      <c r="P395">
        <f t="shared" si="90"/>
        <v>211</v>
      </c>
      <c r="Q395">
        <f t="shared" si="91"/>
        <v>233</v>
      </c>
    </row>
    <row r="396" spans="1:17" x14ac:dyDescent="0.35">
      <c r="A396">
        <v>2022</v>
      </c>
      <c r="B396" s="15">
        <v>169</v>
      </c>
      <c r="C396" s="15">
        <v>43</v>
      </c>
      <c r="D396" s="12">
        <f t="shared" si="79"/>
        <v>21.125</v>
      </c>
      <c r="E396" s="27">
        <f t="shared" si="80"/>
        <v>0.42249999999999999</v>
      </c>
      <c r="F396" s="27">
        <f t="shared" si="81"/>
        <v>0.86</v>
      </c>
      <c r="G396">
        <f t="shared" si="82"/>
        <v>64.125</v>
      </c>
      <c r="H396">
        <f t="shared" si="83"/>
        <v>1</v>
      </c>
      <c r="I396">
        <f t="shared" si="84"/>
        <v>-0.43805213738583199</v>
      </c>
      <c r="J396">
        <f t="shared" si="85"/>
        <v>1.4084032876544244</v>
      </c>
      <c r="K396">
        <f t="shared" si="86"/>
        <v>0.99999948179865228</v>
      </c>
      <c r="L396">
        <f t="shared" si="87"/>
        <v>-5.1820148198754591E-7</v>
      </c>
      <c r="M396">
        <f t="shared" si="88"/>
        <v>0.67056530214424948</v>
      </c>
      <c r="N396">
        <f t="shared" si="89"/>
        <v>0.32943469785575047</v>
      </c>
      <c r="P396">
        <f t="shared" si="90"/>
        <v>744.5</v>
      </c>
      <c r="Q396">
        <f t="shared" si="91"/>
        <v>53.5</v>
      </c>
    </row>
    <row r="397" spans="1:17" x14ac:dyDescent="0.35">
      <c r="A397">
        <v>2022</v>
      </c>
      <c r="B397" s="15">
        <v>217</v>
      </c>
      <c r="C397" s="15">
        <v>36</v>
      </c>
      <c r="D397" s="12">
        <f t="shared" si="79"/>
        <v>27.125</v>
      </c>
      <c r="E397" s="27">
        <f t="shared" si="80"/>
        <v>0.54249999999999998</v>
      </c>
      <c r="F397" s="27">
        <f t="shared" si="81"/>
        <v>0.72</v>
      </c>
      <c r="G397">
        <f t="shared" si="82"/>
        <v>63.125</v>
      </c>
      <c r="H397">
        <f t="shared" si="83"/>
        <v>1</v>
      </c>
      <c r="I397">
        <f t="shared" si="84"/>
        <v>1.2683730589743116</v>
      </c>
      <c r="J397">
        <f t="shared" si="85"/>
        <v>0.59963025208971832</v>
      </c>
      <c r="K397">
        <f t="shared" si="86"/>
        <v>0.99999956280491697</v>
      </c>
      <c r="L397">
        <f t="shared" si="87"/>
        <v>-4.3719517859488633E-7</v>
      </c>
      <c r="M397">
        <f t="shared" si="88"/>
        <v>0.57029702970297025</v>
      </c>
      <c r="N397">
        <f t="shared" si="89"/>
        <v>0.4297029702970297</v>
      </c>
      <c r="P397">
        <f t="shared" si="90"/>
        <v>93.5</v>
      </c>
      <c r="Q397">
        <f t="shared" si="91"/>
        <v>403.5</v>
      </c>
    </row>
    <row r="398" spans="1:17" x14ac:dyDescent="0.35">
      <c r="A398">
        <v>2022</v>
      </c>
      <c r="B398" s="15">
        <v>267</v>
      </c>
      <c r="C398" s="15">
        <v>29</v>
      </c>
      <c r="D398" s="12">
        <f t="shared" si="79"/>
        <v>33.375</v>
      </c>
      <c r="E398" s="27">
        <f t="shared" si="80"/>
        <v>0.66749999999999998</v>
      </c>
      <c r="F398" s="27">
        <f t="shared" si="81"/>
        <v>0.57999999999999996</v>
      </c>
      <c r="G398">
        <f t="shared" si="82"/>
        <v>62.375</v>
      </c>
      <c r="H398">
        <f t="shared" si="83"/>
        <v>1</v>
      </c>
      <c r="I398">
        <f t="shared" si="84"/>
        <v>3.0458993051827945</v>
      </c>
      <c r="J398">
        <f t="shared" si="85"/>
        <v>-0.2091427834749878</v>
      </c>
      <c r="K398">
        <f t="shared" si="86"/>
        <v>0.99999972975057583</v>
      </c>
      <c r="L398">
        <f t="shared" si="87"/>
        <v>-2.702494606898018E-7</v>
      </c>
      <c r="M398">
        <f t="shared" si="88"/>
        <v>0.4649298597194389</v>
      </c>
      <c r="N398">
        <f t="shared" si="89"/>
        <v>0.5350701402805611</v>
      </c>
      <c r="P398">
        <f t="shared" si="90"/>
        <v>20</v>
      </c>
      <c r="Q398">
        <f t="shared" si="91"/>
        <v>671</v>
      </c>
    </row>
    <row r="399" spans="1:17" x14ac:dyDescent="0.35">
      <c r="A399">
        <v>2022</v>
      </c>
      <c r="B399" s="15">
        <v>206</v>
      </c>
      <c r="C399" s="15">
        <v>36</v>
      </c>
      <c r="D399" s="12">
        <f t="shared" si="79"/>
        <v>25.75</v>
      </c>
      <c r="E399" s="27">
        <f t="shared" si="80"/>
        <v>0.51500000000000001</v>
      </c>
      <c r="F399" s="27">
        <f t="shared" si="81"/>
        <v>0.72</v>
      </c>
      <c r="G399">
        <f t="shared" si="82"/>
        <v>61.75</v>
      </c>
      <c r="H399">
        <f t="shared" si="83"/>
        <v>1</v>
      </c>
      <c r="I399">
        <f t="shared" si="84"/>
        <v>0.8773172848084454</v>
      </c>
      <c r="J399">
        <f t="shared" si="85"/>
        <v>0.59963025208971832</v>
      </c>
      <c r="K399">
        <f t="shared" si="86"/>
        <v>0.99999758089712654</v>
      </c>
      <c r="L399">
        <f t="shared" si="87"/>
        <v>-2.4191057994973276E-6</v>
      </c>
      <c r="M399">
        <f t="shared" si="88"/>
        <v>0.582995951417004</v>
      </c>
      <c r="N399">
        <f t="shared" si="89"/>
        <v>0.41700404858299595</v>
      </c>
      <c r="P399">
        <f t="shared" si="90"/>
        <v>178</v>
      </c>
      <c r="Q399">
        <f t="shared" si="91"/>
        <v>403.5</v>
      </c>
    </row>
    <row r="400" spans="1:17" x14ac:dyDescent="0.35">
      <c r="A400">
        <v>2022</v>
      </c>
      <c r="B400" s="15">
        <v>160</v>
      </c>
      <c r="C400" s="15">
        <v>41</v>
      </c>
      <c r="D400" s="12">
        <f t="shared" si="79"/>
        <v>20</v>
      </c>
      <c r="E400" s="27">
        <f t="shared" si="80"/>
        <v>0.4</v>
      </c>
      <c r="F400" s="27">
        <f t="shared" si="81"/>
        <v>0.82</v>
      </c>
      <c r="G400">
        <f t="shared" si="82"/>
        <v>61</v>
      </c>
      <c r="H400">
        <f t="shared" si="83"/>
        <v>1</v>
      </c>
      <c r="I400">
        <f t="shared" si="84"/>
        <v>-0.75800686170335885</v>
      </c>
      <c r="J400">
        <f t="shared" si="85"/>
        <v>1.1773252774930798</v>
      </c>
      <c r="K400">
        <f t="shared" si="86"/>
        <v>0.99998311098334958</v>
      </c>
      <c r="L400">
        <f t="shared" si="87"/>
        <v>-1.6889159271470724E-5</v>
      </c>
      <c r="M400">
        <f t="shared" si="88"/>
        <v>0.67213114754098358</v>
      </c>
      <c r="N400">
        <f t="shared" si="89"/>
        <v>0.32786885245901637</v>
      </c>
      <c r="P400">
        <f t="shared" si="90"/>
        <v>908</v>
      </c>
      <c r="Q400">
        <f t="shared" si="91"/>
        <v>129.5</v>
      </c>
    </row>
    <row r="401" spans="1:17" x14ac:dyDescent="0.35">
      <c r="A401">
        <v>2022</v>
      </c>
      <c r="B401" s="15">
        <v>183</v>
      </c>
      <c r="C401" s="15">
        <v>38</v>
      </c>
      <c r="D401" s="12">
        <f t="shared" si="79"/>
        <v>22.875</v>
      </c>
      <c r="E401" s="27">
        <f t="shared" si="80"/>
        <v>0.45750000000000002</v>
      </c>
      <c r="F401" s="27">
        <f t="shared" si="81"/>
        <v>0.76</v>
      </c>
      <c r="G401">
        <f t="shared" si="82"/>
        <v>60.875</v>
      </c>
      <c r="H401">
        <f t="shared" si="83"/>
        <v>1</v>
      </c>
      <c r="I401">
        <f t="shared" si="84"/>
        <v>5.9655211552543233E-2</v>
      </c>
      <c r="J401">
        <f t="shared" si="85"/>
        <v>0.83070826225106287</v>
      </c>
      <c r="K401">
        <f t="shared" si="86"/>
        <v>0.99998923698524722</v>
      </c>
      <c r="L401">
        <f t="shared" si="87"/>
        <v>-1.0763072674438191E-5</v>
      </c>
      <c r="M401">
        <f t="shared" si="88"/>
        <v>0.62422997946611913</v>
      </c>
      <c r="N401">
        <f t="shared" si="89"/>
        <v>0.37577002053388092</v>
      </c>
      <c r="P401">
        <f t="shared" si="90"/>
        <v>465</v>
      </c>
      <c r="Q401">
        <f t="shared" si="91"/>
        <v>297.5</v>
      </c>
    </row>
    <row r="402" spans="1:17" x14ac:dyDescent="0.35">
      <c r="A402">
        <v>2022</v>
      </c>
      <c r="B402" s="15">
        <v>181</v>
      </c>
      <c r="C402" s="15">
        <v>38</v>
      </c>
      <c r="D402" s="12">
        <f t="shared" si="79"/>
        <v>22.625</v>
      </c>
      <c r="E402" s="27">
        <f t="shared" si="80"/>
        <v>0.45250000000000001</v>
      </c>
      <c r="F402" s="27">
        <f t="shared" si="81"/>
        <v>0.76</v>
      </c>
      <c r="G402">
        <f t="shared" si="82"/>
        <v>60.625</v>
      </c>
      <c r="H402">
        <f t="shared" si="83"/>
        <v>1</v>
      </c>
      <c r="I402">
        <f t="shared" si="84"/>
        <v>-1.1445838295796084E-2</v>
      </c>
      <c r="J402">
        <f t="shared" si="85"/>
        <v>0.83070826225106287</v>
      </c>
      <c r="K402">
        <f t="shared" si="86"/>
        <v>0.99998531007799474</v>
      </c>
      <c r="L402">
        <f t="shared" si="87"/>
        <v>-1.4690029903223027E-5</v>
      </c>
      <c r="M402">
        <f t="shared" si="88"/>
        <v>0.6268041237113402</v>
      </c>
      <c r="N402">
        <f t="shared" si="89"/>
        <v>0.3731958762886598</v>
      </c>
      <c r="P402">
        <f t="shared" si="90"/>
        <v>505</v>
      </c>
      <c r="Q402">
        <f t="shared" si="91"/>
        <v>297.5</v>
      </c>
    </row>
    <row r="403" spans="1:17" x14ac:dyDescent="0.35">
      <c r="A403">
        <v>2022</v>
      </c>
      <c r="B403" s="15">
        <v>204</v>
      </c>
      <c r="C403" s="15">
        <v>35</v>
      </c>
      <c r="D403" s="12">
        <f t="shared" si="79"/>
        <v>25.5</v>
      </c>
      <c r="E403" s="27">
        <f t="shared" si="80"/>
        <v>0.51</v>
      </c>
      <c r="F403" s="27">
        <f t="shared" si="81"/>
        <v>0.7</v>
      </c>
      <c r="G403">
        <f t="shared" si="82"/>
        <v>60.5</v>
      </c>
      <c r="H403">
        <f t="shared" si="83"/>
        <v>1</v>
      </c>
      <c r="I403">
        <f t="shared" si="84"/>
        <v>0.80621623496010608</v>
      </c>
      <c r="J403">
        <f t="shared" si="85"/>
        <v>0.48409124700904599</v>
      </c>
      <c r="K403">
        <f t="shared" si="86"/>
        <v>0.99999063842943514</v>
      </c>
      <c r="L403">
        <f t="shared" si="87"/>
        <v>-9.3616143846338483E-6</v>
      </c>
      <c r="M403">
        <f t="shared" si="88"/>
        <v>0.57851239669421484</v>
      </c>
      <c r="N403">
        <f t="shared" si="89"/>
        <v>0.42148760330578511</v>
      </c>
      <c r="P403">
        <f t="shared" si="90"/>
        <v>193.5</v>
      </c>
      <c r="Q403">
        <f t="shared" si="91"/>
        <v>448.5</v>
      </c>
    </row>
    <row r="404" spans="1:17" x14ac:dyDescent="0.35">
      <c r="A404">
        <v>2022</v>
      </c>
      <c r="B404" s="15">
        <v>180</v>
      </c>
      <c r="C404" s="15">
        <v>38</v>
      </c>
      <c r="D404" s="12">
        <f t="shared" si="79"/>
        <v>22.5</v>
      </c>
      <c r="E404" s="27">
        <f t="shared" si="80"/>
        <v>0.45</v>
      </c>
      <c r="F404" s="27">
        <f t="shared" si="81"/>
        <v>0.76</v>
      </c>
      <c r="G404">
        <f t="shared" si="82"/>
        <v>60.5</v>
      </c>
      <c r="H404">
        <f t="shared" si="83"/>
        <v>1</v>
      </c>
      <c r="I404">
        <f t="shared" si="84"/>
        <v>-4.6996363219965739E-2</v>
      </c>
      <c r="J404">
        <f t="shared" si="85"/>
        <v>0.83070826225106287</v>
      </c>
      <c r="K404">
        <f t="shared" si="86"/>
        <v>0.99998283823122358</v>
      </c>
      <c r="L404">
        <f t="shared" si="87"/>
        <v>-1.7161916041257826E-5</v>
      </c>
      <c r="M404">
        <f t="shared" si="88"/>
        <v>0.62809917355371903</v>
      </c>
      <c r="N404">
        <f t="shared" si="89"/>
        <v>0.37190082644628097</v>
      </c>
      <c r="P404">
        <f t="shared" si="90"/>
        <v>528</v>
      </c>
      <c r="Q404">
        <f t="shared" si="91"/>
        <v>297.5</v>
      </c>
    </row>
    <row r="405" spans="1:17" x14ac:dyDescent="0.35">
      <c r="A405">
        <v>2022</v>
      </c>
      <c r="B405" s="15">
        <v>194</v>
      </c>
      <c r="C405" s="15">
        <v>36</v>
      </c>
      <c r="D405" s="12">
        <f t="shared" si="79"/>
        <v>24.25</v>
      </c>
      <c r="E405" s="27">
        <f t="shared" si="80"/>
        <v>0.48499999999999999</v>
      </c>
      <c r="F405" s="27">
        <f t="shared" si="81"/>
        <v>0.72</v>
      </c>
      <c r="G405">
        <f t="shared" si="82"/>
        <v>60.25</v>
      </c>
      <c r="H405">
        <f t="shared" si="83"/>
        <v>1</v>
      </c>
      <c r="I405">
        <f t="shared" si="84"/>
        <v>0.45071098571840945</v>
      </c>
      <c r="J405">
        <f t="shared" si="85"/>
        <v>0.59963025208971832</v>
      </c>
      <c r="K405">
        <f t="shared" si="86"/>
        <v>0.99998436232598176</v>
      </c>
      <c r="L405">
        <f t="shared" si="87"/>
        <v>-1.5637796287941925E-5</v>
      </c>
      <c r="M405">
        <f t="shared" si="88"/>
        <v>0.59751037344398339</v>
      </c>
      <c r="N405">
        <f t="shared" si="89"/>
        <v>0.40248962655601661</v>
      </c>
      <c r="P405">
        <f t="shared" si="90"/>
        <v>293.5</v>
      </c>
      <c r="Q405">
        <f t="shared" si="91"/>
        <v>403.5</v>
      </c>
    </row>
    <row r="406" spans="1:17" x14ac:dyDescent="0.35">
      <c r="A406">
        <v>2022</v>
      </c>
      <c r="B406" s="15">
        <v>177</v>
      </c>
      <c r="C406" s="15">
        <v>38</v>
      </c>
      <c r="D406" s="12">
        <f t="shared" si="79"/>
        <v>22.125</v>
      </c>
      <c r="E406" s="27">
        <f t="shared" si="80"/>
        <v>0.4425</v>
      </c>
      <c r="F406" s="27">
        <f t="shared" si="81"/>
        <v>0.76</v>
      </c>
      <c r="G406">
        <f t="shared" si="82"/>
        <v>60.125</v>
      </c>
      <c r="H406">
        <f t="shared" si="83"/>
        <v>1</v>
      </c>
      <c r="I406">
        <f t="shared" si="84"/>
        <v>-0.15364793799247473</v>
      </c>
      <c r="J406">
        <f t="shared" si="85"/>
        <v>0.83070826225106287</v>
      </c>
      <c r="K406">
        <f t="shared" si="86"/>
        <v>0.99997263543775861</v>
      </c>
      <c r="L406">
        <f t="shared" si="87"/>
        <v>-2.7364936657858118E-5</v>
      </c>
      <c r="M406">
        <f t="shared" si="88"/>
        <v>0.63201663201663205</v>
      </c>
      <c r="N406">
        <f t="shared" si="89"/>
        <v>0.367983367983368</v>
      </c>
      <c r="P406">
        <f t="shared" si="90"/>
        <v>585</v>
      </c>
      <c r="Q406">
        <f t="shared" si="91"/>
        <v>297.5</v>
      </c>
    </row>
    <row r="407" spans="1:17" x14ac:dyDescent="0.35">
      <c r="A407">
        <v>2022</v>
      </c>
      <c r="B407" s="15">
        <v>181</v>
      </c>
      <c r="C407" s="15">
        <v>37</v>
      </c>
      <c r="D407" s="12">
        <f t="shared" si="79"/>
        <v>22.625</v>
      </c>
      <c r="E407" s="27">
        <f t="shared" si="80"/>
        <v>0.45250000000000001</v>
      </c>
      <c r="F407" s="27">
        <f t="shared" si="81"/>
        <v>0.74</v>
      </c>
      <c r="G407">
        <f t="shared" si="82"/>
        <v>59.625</v>
      </c>
      <c r="H407">
        <f t="shared" si="83"/>
        <v>1</v>
      </c>
      <c r="I407">
        <f t="shared" si="84"/>
        <v>-1.1445838295796084E-2</v>
      </c>
      <c r="J407">
        <f t="shared" si="85"/>
        <v>0.71516925717039059</v>
      </c>
      <c r="K407">
        <f t="shared" si="86"/>
        <v>0.99995834972108677</v>
      </c>
      <c r="L407">
        <f t="shared" si="87"/>
        <v>-4.1651146310181776E-5</v>
      </c>
      <c r="M407">
        <f t="shared" si="88"/>
        <v>0.6205450733752621</v>
      </c>
      <c r="N407">
        <f t="shared" si="89"/>
        <v>0.37945492662473795</v>
      </c>
      <c r="P407">
        <f t="shared" si="90"/>
        <v>505</v>
      </c>
      <c r="Q407">
        <f t="shared" si="91"/>
        <v>351</v>
      </c>
    </row>
    <row r="408" spans="1:17" x14ac:dyDescent="0.35">
      <c r="A408">
        <v>2022</v>
      </c>
      <c r="B408" s="15">
        <v>204</v>
      </c>
      <c r="C408" s="15">
        <v>34</v>
      </c>
      <c r="D408" s="12">
        <f t="shared" si="79"/>
        <v>25.5</v>
      </c>
      <c r="E408" s="27">
        <f t="shared" si="80"/>
        <v>0.51</v>
      </c>
      <c r="F408" s="27">
        <f t="shared" si="81"/>
        <v>0.68</v>
      </c>
      <c r="G408">
        <f t="shared" si="82"/>
        <v>59.5</v>
      </c>
      <c r="H408">
        <f t="shared" si="83"/>
        <v>1</v>
      </c>
      <c r="I408">
        <f t="shared" si="84"/>
        <v>0.80621623496010608</v>
      </c>
      <c r="J408">
        <f t="shared" si="85"/>
        <v>0.36855224192837371</v>
      </c>
      <c r="K408">
        <f t="shared" si="86"/>
        <v>0.99997345691569794</v>
      </c>
      <c r="L408">
        <f t="shared" si="87"/>
        <v>-2.654343657595109E-5</v>
      </c>
      <c r="M408">
        <f t="shared" si="88"/>
        <v>0.5714285714285714</v>
      </c>
      <c r="N408">
        <f t="shared" si="89"/>
        <v>0.42857142857142855</v>
      </c>
      <c r="P408">
        <f t="shared" si="90"/>
        <v>193.5</v>
      </c>
      <c r="Q408">
        <f t="shared" si="91"/>
        <v>484.5</v>
      </c>
    </row>
    <row r="409" spans="1:17" x14ac:dyDescent="0.35">
      <c r="A409">
        <v>2022</v>
      </c>
      <c r="B409" s="15">
        <v>258</v>
      </c>
      <c r="C409" s="15">
        <v>27</v>
      </c>
      <c r="D409" s="12">
        <f t="shared" si="79"/>
        <v>32.25</v>
      </c>
      <c r="E409" s="27">
        <f t="shared" si="80"/>
        <v>0.64500000000000002</v>
      </c>
      <c r="F409" s="27">
        <f t="shared" si="81"/>
        <v>0.54</v>
      </c>
      <c r="G409">
        <f t="shared" si="82"/>
        <v>59.25</v>
      </c>
      <c r="H409">
        <f t="shared" si="83"/>
        <v>1</v>
      </c>
      <c r="I409">
        <f t="shared" si="84"/>
        <v>2.7259445808652676</v>
      </c>
      <c r="J409">
        <f t="shared" si="85"/>
        <v>-0.44022079363633243</v>
      </c>
      <c r="K409">
        <f t="shared" si="86"/>
        <v>0.99999119206694842</v>
      </c>
      <c r="L409">
        <f t="shared" si="87"/>
        <v>-8.807971841650102E-6</v>
      </c>
      <c r="M409">
        <f t="shared" si="88"/>
        <v>0.45569620253164556</v>
      </c>
      <c r="N409">
        <f t="shared" si="89"/>
        <v>0.54430379746835444</v>
      </c>
      <c r="P409">
        <f t="shared" si="90"/>
        <v>28</v>
      </c>
      <c r="Q409">
        <f t="shared" si="91"/>
        <v>752.5</v>
      </c>
    </row>
    <row r="410" spans="1:17" x14ac:dyDescent="0.35">
      <c r="A410">
        <v>2022</v>
      </c>
      <c r="B410" s="15">
        <v>200</v>
      </c>
      <c r="C410" s="15">
        <v>34</v>
      </c>
      <c r="D410" s="12">
        <f t="shared" si="79"/>
        <v>25</v>
      </c>
      <c r="E410" s="27">
        <f t="shared" si="80"/>
        <v>0.5</v>
      </c>
      <c r="F410" s="27">
        <f t="shared" si="81"/>
        <v>0.68</v>
      </c>
      <c r="G410">
        <f t="shared" si="82"/>
        <v>59</v>
      </c>
      <c r="H410">
        <f t="shared" si="83"/>
        <v>1</v>
      </c>
      <c r="I410">
        <f t="shared" si="84"/>
        <v>0.66401413526342745</v>
      </c>
      <c r="J410">
        <f t="shared" si="85"/>
        <v>0.36855224192837371</v>
      </c>
      <c r="K410">
        <f t="shared" si="86"/>
        <v>0.99995055573107539</v>
      </c>
      <c r="L410">
        <f t="shared" si="87"/>
        <v>-4.9445491332773361E-5</v>
      </c>
      <c r="M410">
        <f t="shared" si="88"/>
        <v>0.57627118644067798</v>
      </c>
      <c r="N410">
        <f t="shared" si="89"/>
        <v>0.42372881355932202</v>
      </c>
      <c r="P410">
        <f t="shared" si="90"/>
        <v>229</v>
      </c>
      <c r="Q410">
        <f t="shared" si="91"/>
        <v>484.5</v>
      </c>
    </row>
    <row r="411" spans="1:17" x14ac:dyDescent="0.35">
      <c r="A411">
        <v>2022</v>
      </c>
      <c r="B411" s="15">
        <v>183</v>
      </c>
      <c r="C411" s="15">
        <v>36</v>
      </c>
      <c r="D411" s="12">
        <f t="shared" si="79"/>
        <v>22.875</v>
      </c>
      <c r="E411" s="27">
        <f t="shared" si="80"/>
        <v>0.45750000000000002</v>
      </c>
      <c r="F411" s="27">
        <f t="shared" si="81"/>
        <v>0.72</v>
      </c>
      <c r="G411">
        <f t="shared" si="82"/>
        <v>58.875</v>
      </c>
      <c r="H411">
        <f t="shared" si="83"/>
        <v>1</v>
      </c>
      <c r="I411">
        <f t="shared" si="84"/>
        <v>5.9655211552543233E-2</v>
      </c>
      <c r="J411">
        <f t="shared" si="85"/>
        <v>0.59963025208971832</v>
      </c>
      <c r="K411">
        <f t="shared" si="86"/>
        <v>0.99991347904608752</v>
      </c>
      <c r="L411">
        <f t="shared" si="87"/>
        <v>-8.6524697066125376E-5</v>
      </c>
      <c r="M411">
        <f t="shared" si="88"/>
        <v>0.61146496815286622</v>
      </c>
      <c r="N411">
        <f t="shared" si="89"/>
        <v>0.38853503184713378</v>
      </c>
      <c r="P411">
        <f t="shared" si="90"/>
        <v>465</v>
      </c>
      <c r="Q411">
        <f t="shared" si="91"/>
        <v>403.5</v>
      </c>
    </row>
    <row r="412" spans="1:17" x14ac:dyDescent="0.35">
      <c r="A412">
        <v>2022</v>
      </c>
      <c r="B412" s="15">
        <v>203</v>
      </c>
      <c r="C412" s="15">
        <v>33</v>
      </c>
      <c r="D412" s="12">
        <f t="shared" si="79"/>
        <v>25.375</v>
      </c>
      <c r="E412" s="27">
        <f t="shared" si="80"/>
        <v>0.50749999999999995</v>
      </c>
      <c r="F412" s="27">
        <f t="shared" si="81"/>
        <v>0.66</v>
      </c>
      <c r="G412">
        <f t="shared" si="82"/>
        <v>58.375</v>
      </c>
      <c r="H412">
        <f t="shared" si="83"/>
        <v>1</v>
      </c>
      <c r="I412">
        <f t="shared" si="84"/>
        <v>0.77066571003593642</v>
      </c>
      <c r="J412">
        <f t="shared" si="85"/>
        <v>0.25301323684770138</v>
      </c>
      <c r="K412">
        <f t="shared" si="86"/>
        <v>0.99991208185968927</v>
      </c>
      <c r="L412">
        <f t="shared" si="87"/>
        <v>-8.7922005336964434E-5</v>
      </c>
      <c r="M412">
        <f t="shared" si="88"/>
        <v>0.56531049250535337</v>
      </c>
      <c r="N412">
        <f t="shared" si="89"/>
        <v>0.43468950749464669</v>
      </c>
      <c r="P412">
        <f t="shared" si="90"/>
        <v>203</v>
      </c>
      <c r="Q412">
        <f t="shared" si="91"/>
        <v>523.5</v>
      </c>
    </row>
    <row r="413" spans="1:17" x14ac:dyDescent="0.35">
      <c r="A413">
        <v>2022</v>
      </c>
      <c r="B413" s="15">
        <v>168</v>
      </c>
      <c r="C413" s="15">
        <v>37</v>
      </c>
      <c r="D413" s="12">
        <f t="shared" si="79"/>
        <v>21</v>
      </c>
      <c r="E413" s="27">
        <f t="shared" si="80"/>
        <v>0.42</v>
      </c>
      <c r="F413" s="27">
        <f t="shared" si="81"/>
        <v>0.74</v>
      </c>
      <c r="G413">
        <f t="shared" si="82"/>
        <v>58</v>
      </c>
      <c r="H413">
        <f t="shared" si="83"/>
        <v>1</v>
      </c>
      <c r="I413">
        <f t="shared" si="84"/>
        <v>-0.47360266231000164</v>
      </c>
      <c r="J413">
        <f t="shared" si="85"/>
        <v>0.71516925717039059</v>
      </c>
      <c r="K413">
        <f t="shared" si="86"/>
        <v>0.99968553913711533</v>
      </c>
      <c r="L413">
        <f t="shared" si="87"/>
        <v>-3.1451031606947793E-4</v>
      </c>
      <c r="M413">
        <f t="shared" si="88"/>
        <v>0.63793103448275867</v>
      </c>
      <c r="N413">
        <f t="shared" si="89"/>
        <v>0.36206896551724138</v>
      </c>
      <c r="P413">
        <f t="shared" si="90"/>
        <v>767</v>
      </c>
      <c r="Q413">
        <f t="shared" si="91"/>
        <v>351</v>
      </c>
    </row>
    <row r="414" spans="1:17" x14ac:dyDescent="0.35">
      <c r="A414">
        <v>2022</v>
      </c>
      <c r="B414" s="15">
        <v>173</v>
      </c>
      <c r="C414" s="15">
        <v>36</v>
      </c>
      <c r="D414" s="12">
        <f t="shared" si="79"/>
        <v>21.625</v>
      </c>
      <c r="E414" s="27">
        <f t="shared" si="80"/>
        <v>0.4325</v>
      </c>
      <c r="F414" s="27">
        <f t="shared" si="81"/>
        <v>0.72</v>
      </c>
      <c r="G414">
        <f t="shared" si="82"/>
        <v>57.625</v>
      </c>
      <c r="H414">
        <f t="shared" si="83"/>
        <v>1</v>
      </c>
      <c r="I414">
        <f t="shared" si="84"/>
        <v>-0.29585003768915336</v>
      </c>
      <c r="J414">
        <f t="shared" si="85"/>
        <v>0.59963025208971832</v>
      </c>
      <c r="K414">
        <f t="shared" si="86"/>
        <v>0.99959034597295993</v>
      </c>
      <c r="L414">
        <f t="shared" si="87"/>
        <v>-4.0973795817360954E-4</v>
      </c>
      <c r="M414">
        <f t="shared" si="88"/>
        <v>0.62472885032537961</v>
      </c>
      <c r="N414">
        <f t="shared" si="89"/>
        <v>0.37527114967462039</v>
      </c>
      <c r="P414">
        <f t="shared" si="90"/>
        <v>669</v>
      </c>
      <c r="Q414">
        <f t="shared" si="91"/>
        <v>403.5</v>
      </c>
    </row>
    <row r="415" spans="1:17" x14ac:dyDescent="0.35">
      <c r="A415">
        <v>2022</v>
      </c>
      <c r="B415" s="15">
        <v>188</v>
      </c>
      <c r="C415" s="15">
        <v>34</v>
      </c>
      <c r="D415" s="12">
        <f t="shared" si="79"/>
        <v>23.5</v>
      </c>
      <c r="E415" s="27">
        <f t="shared" si="80"/>
        <v>0.47</v>
      </c>
      <c r="F415" s="27">
        <f t="shared" si="81"/>
        <v>0.68</v>
      </c>
      <c r="G415">
        <f t="shared" si="82"/>
        <v>57.5</v>
      </c>
      <c r="H415">
        <f t="shared" si="83"/>
        <v>1</v>
      </c>
      <c r="I415">
        <f t="shared" si="84"/>
        <v>0.23740783617339151</v>
      </c>
      <c r="J415">
        <f t="shared" si="85"/>
        <v>0.36855224192837371</v>
      </c>
      <c r="K415">
        <f t="shared" si="86"/>
        <v>0.99968046223207541</v>
      </c>
      <c r="L415">
        <f t="shared" si="87"/>
        <v>-3.1958883099516818E-4</v>
      </c>
      <c r="M415">
        <f t="shared" si="88"/>
        <v>0.59130434782608698</v>
      </c>
      <c r="N415">
        <f t="shared" si="89"/>
        <v>0.40869565217391307</v>
      </c>
      <c r="P415">
        <f t="shared" si="90"/>
        <v>374.5</v>
      </c>
      <c r="Q415">
        <f t="shared" si="91"/>
        <v>484.5</v>
      </c>
    </row>
    <row r="416" spans="1:17" x14ac:dyDescent="0.35">
      <c r="A416">
        <v>2022</v>
      </c>
      <c r="B416" s="15">
        <v>172</v>
      </c>
      <c r="C416" s="15">
        <v>36</v>
      </c>
      <c r="D416" s="12">
        <f t="shared" si="79"/>
        <v>21.5</v>
      </c>
      <c r="E416" s="27">
        <f t="shared" si="80"/>
        <v>0.43</v>
      </c>
      <c r="F416" s="27">
        <f t="shared" si="81"/>
        <v>0.72</v>
      </c>
      <c r="G416">
        <f t="shared" si="82"/>
        <v>57.5</v>
      </c>
      <c r="H416">
        <f t="shared" si="83"/>
        <v>1</v>
      </c>
      <c r="I416">
        <f t="shared" si="84"/>
        <v>-0.33140056261332301</v>
      </c>
      <c r="J416">
        <f t="shared" si="85"/>
        <v>0.59963025208971832</v>
      </c>
      <c r="K416">
        <f t="shared" si="86"/>
        <v>0.9995214460312859</v>
      </c>
      <c r="L416">
        <f t="shared" si="87"/>
        <v>-4.7866851220954156E-4</v>
      </c>
      <c r="M416">
        <f t="shared" si="88"/>
        <v>0.62608695652173918</v>
      </c>
      <c r="N416">
        <f t="shared" si="89"/>
        <v>0.37391304347826088</v>
      </c>
      <c r="P416">
        <f t="shared" si="90"/>
        <v>684</v>
      </c>
      <c r="Q416">
        <f t="shared" si="91"/>
        <v>403.5</v>
      </c>
    </row>
    <row r="417" spans="1:17" x14ac:dyDescent="0.35">
      <c r="A417">
        <v>2022</v>
      </c>
      <c r="B417" s="15">
        <v>206</v>
      </c>
      <c r="C417" s="15">
        <v>31</v>
      </c>
      <c r="D417" s="12">
        <f t="shared" si="79"/>
        <v>25.75</v>
      </c>
      <c r="E417" s="27">
        <f t="shared" si="80"/>
        <v>0.51500000000000001</v>
      </c>
      <c r="F417" s="27">
        <f t="shared" si="81"/>
        <v>0.62</v>
      </c>
      <c r="G417">
        <f t="shared" si="82"/>
        <v>56.75</v>
      </c>
      <c r="H417">
        <f t="shared" si="83"/>
        <v>1</v>
      </c>
      <c r="I417">
        <f t="shared" si="84"/>
        <v>0.8773172848084454</v>
      </c>
      <c r="J417">
        <f t="shared" si="85"/>
        <v>2.1935226686356796E-2</v>
      </c>
      <c r="K417">
        <f t="shared" si="86"/>
        <v>0.99955688794034214</v>
      </c>
      <c r="L417">
        <f t="shared" si="87"/>
        <v>-4.43210262817639E-4</v>
      </c>
      <c r="M417">
        <f t="shared" si="88"/>
        <v>0.54625550660792954</v>
      </c>
      <c r="N417">
        <f t="shared" si="89"/>
        <v>0.45374449339207046</v>
      </c>
      <c r="P417">
        <f t="shared" si="90"/>
        <v>178</v>
      </c>
      <c r="Q417">
        <f t="shared" si="91"/>
        <v>605</v>
      </c>
    </row>
    <row r="418" spans="1:17" x14ac:dyDescent="0.35">
      <c r="A418">
        <v>2022</v>
      </c>
      <c r="B418" s="15">
        <v>155</v>
      </c>
      <c r="C418" s="15">
        <v>37</v>
      </c>
      <c r="D418" s="12">
        <f t="shared" si="79"/>
        <v>19.375</v>
      </c>
      <c r="E418" s="27">
        <f t="shared" si="80"/>
        <v>0.38750000000000001</v>
      </c>
      <c r="F418" s="27">
        <f t="shared" si="81"/>
        <v>0.74</v>
      </c>
      <c r="G418">
        <f t="shared" si="82"/>
        <v>56.375</v>
      </c>
      <c r="H418">
        <f t="shared" si="83"/>
        <v>1</v>
      </c>
      <c r="I418">
        <f t="shared" si="84"/>
        <v>-0.93575948632420713</v>
      </c>
      <c r="J418">
        <f t="shared" si="85"/>
        <v>0.71516925717039059</v>
      </c>
      <c r="K418">
        <f t="shared" si="86"/>
        <v>0.99763004608281902</v>
      </c>
      <c r="L418">
        <f t="shared" si="87"/>
        <v>-2.3727667029596819E-3</v>
      </c>
      <c r="M418">
        <f t="shared" si="88"/>
        <v>0.65631929046563198</v>
      </c>
      <c r="N418">
        <f t="shared" si="89"/>
        <v>0.34368070953436808</v>
      </c>
      <c r="P418">
        <f t="shared" si="90"/>
        <v>985</v>
      </c>
      <c r="Q418">
        <f t="shared" si="91"/>
        <v>351</v>
      </c>
    </row>
    <row r="419" spans="1:17" x14ac:dyDescent="0.35">
      <c r="A419">
        <v>2022</v>
      </c>
      <c r="B419" s="15">
        <v>167</v>
      </c>
      <c r="C419" s="15">
        <v>35</v>
      </c>
      <c r="D419" s="12">
        <f t="shared" si="79"/>
        <v>20.875</v>
      </c>
      <c r="E419" s="27">
        <f t="shared" si="80"/>
        <v>0.41749999999999998</v>
      </c>
      <c r="F419" s="27">
        <f t="shared" si="81"/>
        <v>0.7</v>
      </c>
      <c r="G419">
        <f t="shared" si="82"/>
        <v>55.875</v>
      </c>
      <c r="H419">
        <f t="shared" si="83"/>
        <v>1</v>
      </c>
      <c r="I419">
        <f t="shared" si="84"/>
        <v>-0.50915318723417125</v>
      </c>
      <c r="J419">
        <f t="shared" si="85"/>
        <v>0.48409124700904599</v>
      </c>
      <c r="K419">
        <f t="shared" si="86"/>
        <v>0.99705431769018704</v>
      </c>
      <c r="L419">
        <f t="shared" si="87"/>
        <v>-2.9500293707539738E-3</v>
      </c>
      <c r="M419">
        <f t="shared" si="88"/>
        <v>0.62639821029082776</v>
      </c>
      <c r="N419">
        <f t="shared" si="89"/>
        <v>0.37360178970917224</v>
      </c>
      <c r="P419">
        <f t="shared" si="90"/>
        <v>789.5</v>
      </c>
      <c r="Q419">
        <f t="shared" si="91"/>
        <v>448.5</v>
      </c>
    </row>
    <row r="420" spans="1:17" x14ac:dyDescent="0.35">
      <c r="A420">
        <v>2022</v>
      </c>
      <c r="B420" s="15">
        <v>149</v>
      </c>
      <c r="C420" s="15">
        <v>37</v>
      </c>
      <c r="D420" s="12">
        <f t="shared" si="79"/>
        <v>18.625</v>
      </c>
      <c r="E420" s="27">
        <f t="shared" si="80"/>
        <v>0.3725</v>
      </c>
      <c r="F420" s="27">
        <f t="shared" si="81"/>
        <v>0.74</v>
      </c>
      <c r="G420">
        <f t="shared" si="82"/>
        <v>55.625</v>
      </c>
      <c r="H420">
        <f t="shared" si="83"/>
        <v>1</v>
      </c>
      <c r="I420">
        <f t="shared" si="84"/>
        <v>-1.1490626358692251</v>
      </c>
      <c r="J420">
        <f t="shared" si="85"/>
        <v>0.71516925717039059</v>
      </c>
      <c r="K420">
        <f t="shared" si="86"/>
        <v>0.9939963282313623</v>
      </c>
      <c r="L420">
        <f t="shared" si="87"/>
        <v>-6.021766264616684E-3</v>
      </c>
      <c r="M420">
        <f t="shared" si="88"/>
        <v>0.66516853932584274</v>
      </c>
      <c r="N420">
        <f t="shared" si="89"/>
        <v>0.33483146067415731</v>
      </c>
      <c r="P420">
        <f t="shared" si="90"/>
        <v>1051.5</v>
      </c>
      <c r="Q420">
        <f t="shared" si="91"/>
        <v>351</v>
      </c>
    </row>
    <row r="421" spans="1:17" x14ac:dyDescent="0.35">
      <c r="A421">
        <v>2022</v>
      </c>
      <c r="B421" s="15">
        <v>221</v>
      </c>
      <c r="C421" s="15">
        <v>28</v>
      </c>
      <c r="D421" s="12">
        <f t="shared" si="79"/>
        <v>27.625</v>
      </c>
      <c r="E421" s="27">
        <f t="shared" si="80"/>
        <v>0.55249999999999999</v>
      </c>
      <c r="F421" s="27">
        <f t="shared" si="81"/>
        <v>0.56000000000000005</v>
      </c>
      <c r="G421">
        <f t="shared" si="82"/>
        <v>55.625</v>
      </c>
      <c r="H421">
        <f t="shared" si="83"/>
        <v>1</v>
      </c>
      <c r="I421">
        <f t="shared" si="84"/>
        <v>1.4105751586709903</v>
      </c>
      <c r="J421">
        <f t="shared" si="85"/>
        <v>-0.3246817885556601</v>
      </c>
      <c r="K421">
        <f t="shared" si="86"/>
        <v>0.99902060822751959</v>
      </c>
      <c r="L421">
        <f t="shared" si="87"/>
        <v>-9.7987168997949823E-4</v>
      </c>
      <c r="M421">
        <f t="shared" si="88"/>
        <v>0.50337078651685396</v>
      </c>
      <c r="N421">
        <f t="shared" si="89"/>
        <v>0.49662921348314609</v>
      </c>
      <c r="P421">
        <f t="shared" si="90"/>
        <v>81</v>
      </c>
      <c r="Q421">
        <f t="shared" si="91"/>
        <v>709.5</v>
      </c>
    </row>
    <row r="422" spans="1:17" x14ac:dyDescent="0.35">
      <c r="A422">
        <v>2022</v>
      </c>
      <c r="B422" s="15">
        <v>189</v>
      </c>
      <c r="C422" s="15">
        <v>32</v>
      </c>
      <c r="D422" s="12">
        <f t="shared" si="79"/>
        <v>23.625</v>
      </c>
      <c r="E422" s="27">
        <f t="shared" si="80"/>
        <v>0.47249999999999998</v>
      </c>
      <c r="F422" s="27">
        <f t="shared" si="81"/>
        <v>0.64</v>
      </c>
      <c r="G422">
        <f t="shared" si="82"/>
        <v>55.625</v>
      </c>
      <c r="H422">
        <f t="shared" si="83"/>
        <v>1</v>
      </c>
      <c r="I422">
        <f t="shared" si="84"/>
        <v>0.27295836109756116</v>
      </c>
      <c r="J422">
        <f t="shared" si="85"/>
        <v>0.13747423176702911</v>
      </c>
      <c r="K422">
        <f t="shared" si="86"/>
        <v>0.99780525828899591</v>
      </c>
      <c r="L422">
        <f t="shared" si="87"/>
        <v>-2.1971536863479085E-3</v>
      </c>
      <c r="M422">
        <f t="shared" si="88"/>
        <v>0.57528089887640455</v>
      </c>
      <c r="N422">
        <f t="shared" si="89"/>
        <v>0.42471910112359551</v>
      </c>
      <c r="P422">
        <f t="shared" si="90"/>
        <v>357.5</v>
      </c>
      <c r="Q422">
        <f t="shared" si="91"/>
        <v>564</v>
      </c>
    </row>
    <row r="423" spans="1:17" x14ac:dyDescent="0.35">
      <c r="A423">
        <v>2022</v>
      </c>
      <c r="B423" s="15">
        <v>196</v>
      </c>
      <c r="C423" s="15">
        <v>31</v>
      </c>
      <c r="D423" s="12">
        <f t="shared" si="79"/>
        <v>24.5</v>
      </c>
      <c r="E423" s="27">
        <f t="shared" si="80"/>
        <v>0.49</v>
      </c>
      <c r="F423" s="27">
        <f t="shared" si="81"/>
        <v>0.62</v>
      </c>
      <c r="G423">
        <f t="shared" si="82"/>
        <v>55.5</v>
      </c>
      <c r="H423">
        <f t="shared" si="83"/>
        <v>1</v>
      </c>
      <c r="I423">
        <f t="shared" si="84"/>
        <v>0.52181203556674882</v>
      </c>
      <c r="J423">
        <f t="shared" si="85"/>
        <v>2.1935226686356796E-2</v>
      </c>
      <c r="K423">
        <f t="shared" si="86"/>
        <v>0.99790477121490773</v>
      </c>
      <c r="L423">
        <f t="shared" si="87"/>
        <v>-2.0974268477560037E-3</v>
      </c>
      <c r="M423">
        <f t="shared" si="88"/>
        <v>0.55855855855855852</v>
      </c>
      <c r="N423">
        <f t="shared" si="89"/>
        <v>0.44144144144144143</v>
      </c>
      <c r="P423">
        <f t="shared" si="90"/>
        <v>270</v>
      </c>
      <c r="Q423">
        <f t="shared" si="91"/>
        <v>605</v>
      </c>
    </row>
    <row r="424" spans="1:17" x14ac:dyDescent="0.35">
      <c r="A424">
        <v>2022</v>
      </c>
      <c r="B424" s="15">
        <v>138</v>
      </c>
      <c r="C424" s="15">
        <v>38</v>
      </c>
      <c r="D424" s="12">
        <f t="shared" si="79"/>
        <v>17.25</v>
      </c>
      <c r="E424" s="27">
        <f t="shared" si="80"/>
        <v>0.34499999999999997</v>
      </c>
      <c r="F424" s="27">
        <f t="shared" si="81"/>
        <v>0.76</v>
      </c>
      <c r="G424">
        <f t="shared" si="82"/>
        <v>55.25</v>
      </c>
      <c r="H424">
        <f t="shared" si="83"/>
        <v>1</v>
      </c>
      <c r="I424">
        <f t="shared" si="84"/>
        <v>-1.5401184100350913</v>
      </c>
      <c r="J424">
        <f t="shared" si="85"/>
        <v>0.83070826225106287</v>
      </c>
      <c r="K424">
        <f t="shared" si="86"/>
        <v>0.98835035002242988</v>
      </c>
      <c r="L424">
        <f t="shared" si="87"/>
        <v>-1.1718038806004097E-2</v>
      </c>
      <c r="M424">
        <f t="shared" si="88"/>
        <v>0.68778280542986425</v>
      </c>
      <c r="N424">
        <f t="shared" si="89"/>
        <v>0.31221719457013575</v>
      </c>
      <c r="P424">
        <f t="shared" si="90"/>
        <v>1113</v>
      </c>
      <c r="Q424">
        <f t="shared" si="91"/>
        <v>297.5</v>
      </c>
    </row>
    <row r="425" spans="1:17" x14ac:dyDescent="0.35">
      <c r="A425">
        <v>2022</v>
      </c>
      <c r="B425" s="15">
        <v>169</v>
      </c>
      <c r="C425" s="15">
        <v>34</v>
      </c>
      <c r="D425" s="12">
        <f t="shared" si="79"/>
        <v>21.125</v>
      </c>
      <c r="E425" s="27">
        <f t="shared" si="80"/>
        <v>0.42249999999999999</v>
      </c>
      <c r="F425" s="27">
        <f t="shared" si="81"/>
        <v>0.68</v>
      </c>
      <c r="G425">
        <f t="shared" si="82"/>
        <v>55.125</v>
      </c>
      <c r="H425">
        <f t="shared" si="83"/>
        <v>1</v>
      </c>
      <c r="I425">
        <f t="shared" si="84"/>
        <v>-0.43805213738583199</v>
      </c>
      <c r="J425">
        <f t="shared" si="85"/>
        <v>0.36855224192837371</v>
      </c>
      <c r="K425">
        <f t="shared" si="86"/>
        <v>0.9938999606746356</v>
      </c>
      <c r="L425">
        <f t="shared" si="87"/>
        <v>-6.1187205748993697E-3</v>
      </c>
      <c r="M425">
        <f t="shared" si="88"/>
        <v>0.6167800453514739</v>
      </c>
      <c r="N425">
        <f t="shared" si="89"/>
        <v>0.3832199546485261</v>
      </c>
      <c r="P425">
        <f t="shared" si="90"/>
        <v>744.5</v>
      </c>
      <c r="Q425">
        <f t="shared" si="91"/>
        <v>484.5</v>
      </c>
    </row>
    <row r="426" spans="1:17" x14ac:dyDescent="0.35">
      <c r="A426">
        <v>2022</v>
      </c>
      <c r="B426" s="15">
        <v>206</v>
      </c>
      <c r="C426" s="15">
        <v>29</v>
      </c>
      <c r="D426" s="12">
        <f t="shared" si="79"/>
        <v>25.75</v>
      </c>
      <c r="E426" s="27">
        <f t="shared" si="80"/>
        <v>0.51500000000000001</v>
      </c>
      <c r="F426" s="27">
        <f t="shared" si="81"/>
        <v>0.57999999999999996</v>
      </c>
      <c r="G426">
        <f t="shared" si="82"/>
        <v>54.75</v>
      </c>
      <c r="H426">
        <f t="shared" si="83"/>
        <v>1</v>
      </c>
      <c r="I426">
        <f t="shared" si="84"/>
        <v>0.8773172848084454</v>
      </c>
      <c r="J426">
        <f t="shared" si="85"/>
        <v>-0.2091427834749878</v>
      </c>
      <c r="K426">
        <f t="shared" si="86"/>
        <v>0.9964487496750124</v>
      </c>
      <c r="L426">
        <f t="shared" si="87"/>
        <v>-3.5575709830190823E-3</v>
      </c>
      <c r="M426">
        <f t="shared" si="88"/>
        <v>0.52968036529680362</v>
      </c>
      <c r="N426">
        <f t="shared" si="89"/>
        <v>0.47031963470319632</v>
      </c>
      <c r="P426">
        <f t="shared" si="90"/>
        <v>178</v>
      </c>
      <c r="Q426">
        <f t="shared" si="91"/>
        <v>671</v>
      </c>
    </row>
    <row r="427" spans="1:17" x14ac:dyDescent="0.35">
      <c r="A427">
        <v>2022</v>
      </c>
      <c r="B427" s="15">
        <v>193</v>
      </c>
      <c r="C427" s="15">
        <v>30</v>
      </c>
      <c r="D427" s="12">
        <f t="shared" si="79"/>
        <v>24.125</v>
      </c>
      <c r="E427" s="27">
        <f t="shared" si="80"/>
        <v>0.48249999999999998</v>
      </c>
      <c r="F427" s="27">
        <f t="shared" si="81"/>
        <v>0.6</v>
      </c>
      <c r="G427">
        <f t="shared" si="82"/>
        <v>54.125</v>
      </c>
      <c r="H427">
        <f t="shared" si="83"/>
        <v>1</v>
      </c>
      <c r="I427">
        <f t="shared" si="84"/>
        <v>0.41516046079423979</v>
      </c>
      <c r="J427">
        <f t="shared" si="85"/>
        <v>-9.3603778394315509E-2</v>
      </c>
      <c r="K427">
        <f t="shared" si="86"/>
        <v>0.99059670084229234</v>
      </c>
      <c r="L427">
        <f t="shared" si="87"/>
        <v>-9.4477892976156472E-3</v>
      </c>
      <c r="M427">
        <f t="shared" si="88"/>
        <v>0.55427251732101612</v>
      </c>
      <c r="N427">
        <f t="shared" si="89"/>
        <v>0.44572748267898382</v>
      </c>
      <c r="P427">
        <f t="shared" si="90"/>
        <v>307</v>
      </c>
      <c r="Q427">
        <f t="shared" si="91"/>
        <v>639</v>
      </c>
    </row>
    <row r="428" spans="1:17" x14ac:dyDescent="0.35">
      <c r="A428">
        <v>2022</v>
      </c>
      <c r="B428" s="15">
        <v>184</v>
      </c>
      <c r="C428" s="15">
        <v>31</v>
      </c>
      <c r="D428" s="12">
        <f t="shared" si="79"/>
        <v>23</v>
      </c>
      <c r="E428" s="27">
        <f t="shared" si="80"/>
        <v>0.46</v>
      </c>
      <c r="F428" s="27">
        <f t="shared" si="81"/>
        <v>0.62</v>
      </c>
      <c r="G428">
        <f t="shared" si="82"/>
        <v>54</v>
      </c>
      <c r="H428">
        <f t="shared" si="83"/>
        <v>1</v>
      </c>
      <c r="I428">
        <f t="shared" si="84"/>
        <v>9.5205736476712891E-2</v>
      </c>
      <c r="J428">
        <f t="shared" si="85"/>
        <v>2.1935226686356796E-2</v>
      </c>
      <c r="K428">
        <f t="shared" si="86"/>
        <v>0.98660906160978723</v>
      </c>
      <c r="L428">
        <f t="shared" si="87"/>
        <v>-1.3481405540117794E-2</v>
      </c>
      <c r="M428">
        <f t="shared" si="88"/>
        <v>0.57407407407407407</v>
      </c>
      <c r="N428">
        <f t="shared" si="89"/>
        <v>0.42592592592592593</v>
      </c>
      <c r="P428">
        <f t="shared" si="90"/>
        <v>445</v>
      </c>
      <c r="Q428">
        <f t="shared" si="91"/>
        <v>605</v>
      </c>
    </row>
    <row r="429" spans="1:17" x14ac:dyDescent="0.35">
      <c r="A429">
        <v>2022</v>
      </c>
      <c r="B429" s="15">
        <v>169</v>
      </c>
      <c r="C429" s="15">
        <v>32</v>
      </c>
      <c r="D429" s="12">
        <f t="shared" si="79"/>
        <v>21.125</v>
      </c>
      <c r="E429" s="27">
        <f t="shared" si="80"/>
        <v>0.42249999999999999</v>
      </c>
      <c r="F429" s="27">
        <f t="shared" si="81"/>
        <v>0.64</v>
      </c>
      <c r="G429">
        <f t="shared" si="82"/>
        <v>53.125</v>
      </c>
      <c r="H429">
        <f t="shared" si="83"/>
        <v>1</v>
      </c>
      <c r="I429">
        <f t="shared" si="84"/>
        <v>-0.43805213738583199</v>
      </c>
      <c r="J429">
        <f t="shared" si="85"/>
        <v>0.13747423176702911</v>
      </c>
      <c r="K429">
        <f t="shared" si="86"/>
        <v>0.95297882488918995</v>
      </c>
      <c r="L429">
        <f t="shared" si="87"/>
        <v>-4.8162594998515128E-2</v>
      </c>
      <c r="M429">
        <f t="shared" si="88"/>
        <v>0.60235294117647054</v>
      </c>
      <c r="N429">
        <f t="shared" si="89"/>
        <v>0.39764705882352941</v>
      </c>
      <c r="P429">
        <f t="shared" si="90"/>
        <v>744.5</v>
      </c>
      <c r="Q429">
        <f t="shared" si="91"/>
        <v>564</v>
      </c>
    </row>
    <row r="430" spans="1:17" x14ac:dyDescent="0.35">
      <c r="A430">
        <v>2022</v>
      </c>
      <c r="B430" s="15">
        <v>129</v>
      </c>
      <c r="C430" s="15">
        <v>37</v>
      </c>
      <c r="D430" s="12">
        <f t="shared" si="79"/>
        <v>16.125</v>
      </c>
      <c r="E430" s="27">
        <f t="shared" si="80"/>
        <v>0.32250000000000001</v>
      </c>
      <c r="F430" s="27">
        <f t="shared" si="81"/>
        <v>0.74</v>
      </c>
      <c r="G430">
        <f t="shared" si="82"/>
        <v>53.125</v>
      </c>
      <c r="H430">
        <f t="shared" si="83"/>
        <v>1</v>
      </c>
      <c r="I430">
        <f t="shared" si="84"/>
        <v>-1.8600731343526182</v>
      </c>
      <c r="J430">
        <f t="shared" si="85"/>
        <v>0.71516925717039059</v>
      </c>
      <c r="K430">
        <f t="shared" si="86"/>
        <v>0.88067766554283455</v>
      </c>
      <c r="L430">
        <f t="shared" si="87"/>
        <v>-0.12706359338460987</v>
      </c>
      <c r="M430">
        <f t="shared" si="88"/>
        <v>0.69647058823529406</v>
      </c>
      <c r="N430">
        <f t="shared" si="89"/>
        <v>0.30352941176470588</v>
      </c>
      <c r="P430">
        <f t="shared" si="90"/>
        <v>1132</v>
      </c>
      <c r="Q430">
        <f t="shared" si="91"/>
        <v>351</v>
      </c>
    </row>
    <row r="431" spans="1:17" x14ac:dyDescent="0.35">
      <c r="A431">
        <v>2022</v>
      </c>
      <c r="B431" s="15">
        <v>187</v>
      </c>
      <c r="C431" s="15">
        <v>29</v>
      </c>
      <c r="D431" s="12">
        <f t="shared" si="79"/>
        <v>23.375</v>
      </c>
      <c r="E431" s="27">
        <f t="shared" si="80"/>
        <v>0.46750000000000003</v>
      </c>
      <c r="F431" s="27">
        <f t="shared" si="81"/>
        <v>0.57999999999999996</v>
      </c>
      <c r="G431">
        <f t="shared" si="82"/>
        <v>52.375</v>
      </c>
      <c r="H431">
        <f t="shared" si="83"/>
        <v>1</v>
      </c>
      <c r="I431">
        <f t="shared" si="84"/>
        <v>0.20185731124922185</v>
      </c>
      <c r="J431">
        <f t="shared" si="85"/>
        <v>-0.2091427834749878</v>
      </c>
      <c r="K431">
        <f t="shared" si="86"/>
        <v>0.93595154555319116</v>
      </c>
      <c r="L431">
        <f t="shared" si="87"/>
        <v>-6.6191571415908951E-2</v>
      </c>
      <c r="M431">
        <f t="shared" si="88"/>
        <v>0.55369928400954649</v>
      </c>
      <c r="N431">
        <f t="shared" si="89"/>
        <v>0.44630071599045346</v>
      </c>
      <c r="P431">
        <f t="shared" si="90"/>
        <v>393</v>
      </c>
      <c r="Q431">
        <f t="shared" si="91"/>
        <v>671</v>
      </c>
    </row>
    <row r="432" spans="1:17" x14ac:dyDescent="0.35">
      <c r="A432">
        <v>2022</v>
      </c>
      <c r="B432" s="15">
        <v>186</v>
      </c>
      <c r="C432" s="15">
        <v>29</v>
      </c>
      <c r="D432" s="12">
        <f t="shared" si="79"/>
        <v>23.25</v>
      </c>
      <c r="E432" s="27">
        <f t="shared" si="80"/>
        <v>0.46500000000000002</v>
      </c>
      <c r="F432" s="27">
        <f t="shared" si="81"/>
        <v>0.57999999999999996</v>
      </c>
      <c r="G432">
        <f t="shared" si="82"/>
        <v>52.25</v>
      </c>
      <c r="H432">
        <f t="shared" si="83"/>
        <v>1</v>
      </c>
      <c r="I432">
        <f t="shared" si="84"/>
        <v>0.16630678632505219</v>
      </c>
      <c r="J432">
        <f t="shared" si="85"/>
        <v>-0.2091427834749878</v>
      </c>
      <c r="K432">
        <f t="shared" si="86"/>
        <v>0.92597188058619162</v>
      </c>
      <c r="L432">
        <f t="shared" si="87"/>
        <v>-7.6911411334620344E-2</v>
      </c>
      <c r="M432">
        <f t="shared" si="88"/>
        <v>0.55502392344497609</v>
      </c>
      <c r="N432">
        <f t="shared" si="89"/>
        <v>0.44497607655502391</v>
      </c>
      <c r="P432">
        <f t="shared" si="90"/>
        <v>411.5</v>
      </c>
      <c r="Q432">
        <f t="shared" si="91"/>
        <v>671</v>
      </c>
    </row>
    <row r="433" spans="1:17" x14ac:dyDescent="0.35">
      <c r="A433">
        <v>2022</v>
      </c>
      <c r="B433" s="15">
        <v>129</v>
      </c>
      <c r="C433" s="15">
        <v>36</v>
      </c>
      <c r="D433" s="12">
        <f t="shared" si="79"/>
        <v>16.125</v>
      </c>
      <c r="E433" s="27">
        <f t="shared" si="80"/>
        <v>0.32250000000000001</v>
      </c>
      <c r="F433" s="27">
        <f t="shared" si="81"/>
        <v>0.72</v>
      </c>
      <c r="G433">
        <f t="shared" si="82"/>
        <v>52.125</v>
      </c>
      <c r="H433">
        <f t="shared" si="83"/>
        <v>1</v>
      </c>
      <c r="I433">
        <f t="shared" si="84"/>
        <v>-1.8600731343526182</v>
      </c>
      <c r="J433">
        <f t="shared" si="85"/>
        <v>0.59963025208971832</v>
      </c>
      <c r="K433">
        <f t="shared" si="86"/>
        <v>0.72245856188347013</v>
      </c>
      <c r="L433">
        <f t="shared" si="87"/>
        <v>-0.32509521443484662</v>
      </c>
      <c r="M433">
        <f t="shared" si="88"/>
        <v>0.69064748201438853</v>
      </c>
      <c r="N433">
        <f t="shared" si="89"/>
        <v>0.30935251798561153</v>
      </c>
      <c r="P433">
        <f t="shared" si="90"/>
        <v>1132</v>
      </c>
      <c r="Q433">
        <f t="shared" si="91"/>
        <v>403.5</v>
      </c>
    </row>
    <row r="434" spans="1:17" x14ac:dyDescent="0.35">
      <c r="A434">
        <v>2022</v>
      </c>
      <c r="B434" s="15">
        <v>190</v>
      </c>
      <c r="C434" s="15">
        <v>28</v>
      </c>
      <c r="D434" s="12">
        <f t="shared" si="79"/>
        <v>23.75</v>
      </c>
      <c r="E434" s="27">
        <f t="shared" si="80"/>
        <v>0.47499999999999998</v>
      </c>
      <c r="F434" s="27">
        <f t="shared" si="81"/>
        <v>0.56000000000000005</v>
      </c>
      <c r="G434">
        <f t="shared" si="82"/>
        <v>51.75</v>
      </c>
      <c r="H434">
        <f t="shared" si="83"/>
        <v>1</v>
      </c>
      <c r="I434">
        <f t="shared" si="84"/>
        <v>0.30850888602173082</v>
      </c>
      <c r="J434">
        <f t="shared" si="85"/>
        <v>-0.3246817885556601</v>
      </c>
      <c r="K434">
        <f t="shared" si="86"/>
        <v>0.89151644903229277</v>
      </c>
      <c r="L434">
        <f t="shared" si="87"/>
        <v>-0.11483139088752928</v>
      </c>
      <c r="M434">
        <f t="shared" si="88"/>
        <v>0.54106280193236711</v>
      </c>
      <c r="N434">
        <f t="shared" si="89"/>
        <v>0.45893719806763283</v>
      </c>
      <c r="P434">
        <f t="shared" si="90"/>
        <v>341</v>
      </c>
      <c r="Q434">
        <f t="shared" si="91"/>
        <v>709.5</v>
      </c>
    </row>
    <row r="435" spans="1:17" x14ac:dyDescent="0.35">
      <c r="A435">
        <v>2022</v>
      </c>
      <c r="B435" s="15">
        <v>210</v>
      </c>
      <c r="C435" s="15">
        <v>24</v>
      </c>
      <c r="D435" s="12">
        <f t="shared" si="79"/>
        <v>26.25</v>
      </c>
      <c r="E435" s="27">
        <f t="shared" si="80"/>
        <v>0.52500000000000002</v>
      </c>
      <c r="F435" s="27">
        <f t="shared" si="81"/>
        <v>0.48</v>
      </c>
      <c r="G435">
        <f t="shared" si="82"/>
        <v>50.25</v>
      </c>
      <c r="H435">
        <f t="shared" si="83"/>
        <v>1</v>
      </c>
      <c r="I435">
        <f t="shared" si="84"/>
        <v>1.019519384505124</v>
      </c>
      <c r="J435">
        <f t="shared" si="85"/>
        <v>-0.78683780887834931</v>
      </c>
      <c r="K435">
        <f t="shared" si="86"/>
        <v>0.74041584923357251</v>
      </c>
      <c r="L435">
        <f t="shared" si="87"/>
        <v>-0.30054329219967996</v>
      </c>
      <c r="M435">
        <f t="shared" si="88"/>
        <v>0.47761194029850745</v>
      </c>
      <c r="N435">
        <f t="shared" si="89"/>
        <v>0.52238805970149249</v>
      </c>
      <c r="P435">
        <f t="shared" si="90"/>
        <v>138.5</v>
      </c>
      <c r="Q435">
        <f t="shared" si="91"/>
        <v>870</v>
      </c>
    </row>
    <row r="436" spans="1:17" x14ac:dyDescent="0.35">
      <c r="A436">
        <v>2022</v>
      </c>
      <c r="B436" s="15">
        <v>178</v>
      </c>
      <c r="C436" s="15">
        <v>28</v>
      </c>
      <c r="D436" s="12">
        <f t="shared" si="79"/>
        <v>22.25</v>
      </c>
      <c r="E436" s="27">
        <f t="shared" si="80"/>
        <v>0.44500000000000001</v>
      </c>
      <c r="F436" s="27">
        <f t="shared" si="81"/>
        <v>0.56000000000000005</v>
      </c>
      <c r="G436">
        <f t="shared" si="82"/>
        <v>50.25</v>
      </c>
      <c r="H436">
        <f t="shared" si="83"/>
        <v>1</v>
      </c>
      <c r="I436">
        <f t="shared" si="84"/>
        <v>-0.11809741306830505</v>
      </c>
      <c r="J436">
        <f t="shared" si="85"/>
        <v>-0.3246817885556601</v>
      </c>
      <c r="K436">
        <f t="shared" si="86"/>
        <v>0.55972002351114647</v>
      </c>
      <c r="L436">
        <f t="shared" si="87"/>
        <v>-0.58031857828943256</v>
      </c>
      <c r="M436">
        <f t="shared" si="88"/>
        <v>0.55721393034825872</v>
      </c>
      <c r="N436">
        <f t="shared" si="89"/>
        <v>0.44278606965174128</v>
      </c>
      <c r="P436">
        <f t="shared" si="90"/>
        <v>564.5</v>
      </c>
      <c r="Q436">
        <f t="shared" si="91"/>
        <v>709.5</v>
      </c>
    </row>
    <row r="437" spans="1:17" x14ac:dyDescent="0.35">
      <c r="A437">
        <v>2022</v>
      </c>
      <c r="B437" s="15">
        <v>186</v>
      </c>
      <c r="C437" s="15">
        <v>27</v>
      </c>
      <c r="D437" s="12">
        <f t="shared" si="79"/>
        <v>23.25</v>
      </c>
      <c r="E437" s="27">
        <f t="shared" si="80"/>
        <v>0.46500000000000002</v>
      </c>
      <c r="F437" s="27">
        <f t="shared" si="81"/>
        <v>0.54</v>
      </c>
      <c r="G437">
        <f t="shared" si="82"/>
        <v>50.25</v>
      </c>
      <c r="H437">
        <f t="shared" si="83"/>
        <v>1</v>
      </c>
      <c r="I437">
        <f t="shared" si="84"/>
        <v>0.16630678632505219</v>
      </c>
      <c r="J437">
        <f t="shared" si="85"/>
        <v>-0.44022079363633243</v>
      </c>
      <c r="K437">
        <f t="shared" si="86"/>
        <v>0.60874791145382723</v>
      </c>
      <c r="L437">
        <f t="shared" si="87"/>
        <v>-0.49635103546789283</v>
      </c>
      <c r="M437">
        <f t="shared" si="88"/>
        <v>0.53731343283582089</v>
      </c>
      <c r="N437">
        <f t="shared" si="89"/>
        <v>0.46268656716417911</v>
      </c>
      <c r="P437">
        <f t="shared" si="90"/>
        <v>411.5</v>
      </c>
      <c r="Q437">
        <f t="shared" si="91"/>
        <v>752.5</v>
      </c>
    </row>
    <row r="438" spans="1:17" x14ac:dyDescent="0.35">
      <c r="A438">
        <v>2022</v>
      </c>
      <c r="B438" s="15">
        <v>136</v>
      </c>
      <c r="C438" s="15">
        <v>33</v>
      </c>
      <c r="D438" s="12">
        <f t="shared" si="79"/>
        <v>17</v>
      </c>
      <c r="E438" s="27">
        <f t="shared" si="80"/>
        <v>0.34</v>
      </c>
      <c r="F438" s="27">
        <f t="shared" si="81"/>
        <v>0.66</v>
      </c>
      <c r="G438">
        <f t="shared" si="82"/>
        <v>50</v>
      </c>
      <c r="H438">
        <f t="shared" si="83"/>
        <v>1</v>
      </c>
      <c r="I438">
        <f t="shared" si="84"/>
        <v>-1.6112194598834306</v>
      </c>
      <c r="J438">
        <f t="shared" si="85"/>
        <v>0.25301323684770138</v>
      </c>
      <c r="K438">
        <f t="shared" si="86"/>
        <v>0.25328740509340686</v>
      </c>
      <c r="L438">
        <f t="shared" si="87"/>
        <v>-1.3732304464898393</v>
      </c>
      <c r="M438">
        <f t="shared" si="88"/>
        <v>0.66</v>
      </c>
      <c r="N438">
        <f t="shared" si="89"/>
        <v>0.34</v>
      </c>
      <c r="P438">
        <f t="shared" si="90"/>
        <v>1120</v>
      </c>
      <c r="Q438">
        <f t="shared" si="91"/>
        <v>523.5</v>
      </c>
    </row>
    <row r="439" spans="1:17" x14ac:dyDescent="0.35">
      <c r="A439">
        <v>2022</v>
      </c>
      <c r="B439" s="15">
        <v>190</v>
      </c>
      <c r="C439" s="15">
        <v>26</v>
      </c>
      <c r="D439" s="12">
        <f t="shared" si="79"/>
        <v>23.75</v>
      </c>
      <c r="E439" s="27">
        <f t="shared" si="80"/>
        <v>0.47499999999999998</v>
      </c>
      <c r="F439" s="27">
        <f t="shared" si="81"/>
        <v>0.52</v>
      </c>
      <c r="G439">
        <f t="shared" si="82"/>
        <v>49.75</v>
      </c>
      <c r="H439">
        <f t="shared" si="83"/>
        <v>0</v>
      </c>
      <c r="I439">
        <f t="shared" si="84"/>
        <v>0.30850888602173082</v>
      </c>
      <c r="J439">
        <f t="shared" si="85"/>
        <v>-0.55575979871700476</v>
      </c>
      <c r="K439">
        <f t="shared" si="86"/>
        <v>0.50549443871907296</v>
      </c>
      <c r="L439">
        <f t="shared" si="87"/>
        <v>-0.70419688171177586</v>
      </c>
      <c r="M439">
        <f t="shared" si="88"/>
        <v>0.52261306532663321</v>
      </c>
      <c r="N439">
        <f t="shared" si="89"/>
        <v>0.47738693467336685</v>
      </c>
      <c r="P439">
        <f t="shared" si="90"/>
        <v>341</v>
      </c>
      <c r="Q439">
        <f t="shared" si="91"/>
        <v>796</v>
      </c>
    </row>
    <row r="440" spans="1:17" x14ac:dyDescent="0.35">
      <c r="A440">
        <v>2022</v>
      </c>
      <c r="B440" s="15">
        <v>158</v>
      </c>
      <c r="C440" s="15">
        <v>30</v>
      </c>
      <c r="D440" s="12">
        <f t="shared" si="79"/>
        <v>19.75</v>
      </c>
      <c r="E440" s="27">
        <f t="shared" si="80"/>
        <v>0.39500000000000002</v>
      </c>
      <c r="F440" s="27">
        <f t="shared" si="81"/>
        <v>0.6</v>
      </c>
      <c r="G440">
        <f t="shared" si="82"/>
        <v>49.75</v>
      </c>
      <c r="H440">
        <f t="shared" si="83"/>
        <v>0</v>
      </c>
      <c r="I440">
        <f t="shared" si="84"/>
        <v>-0.82910791155169816</v>
      </c>
      <c r="J440">
        <f t="shared" si="85"/>
        <v>-9.3603778394315509E-2</v>
      </c>
      <c r="K440">
        <f t="shared" si="86"/>
        <v>0.31300097857917986</v>
      </c>
      <c r="L440">
        <f t="shared" si="87"/>
        <v>-0.37542241118464481</v>
      </c>
      <c r="M440">
        <f t="shared" si="88"/>
        <v>0.60301507537688437</v>
      </c>
      <c r="N440">
        <f t="shared" si="89"/>
        <v>0.39698492462311558</v>
      </c>
      <c r="P440">
        <f t="shared" si="90"/>
        <v>940.5</v>
      </c>
      <c r="Q440">
        <f t="shared" si="91"/>
        <v>639</v>
      </c>
    </row>
    <row r="441" spans="1:17" x14ac:dyDescent="0.35">
      <c r="A441">
        <v>2022</v>
      </c>
      <c r="B441" s="15">
        <v>170</v>
      </c>
      <c r="C441" s="15">
        <v>28</v>
      </c>
      <c r="D441" s="12">
        <f t="shared" si="79"/>
        <v>21.25</v>
      </c>
      <c r="E441" s="27">
        <f t="shared" si="80"/>
        <v>0.42499999999999999</v>
      </c>
      <c r="F441" s="27">
        <f t="shared" si="81"/>
        <v>0.56000000000000005</v>
      </c>
      <c r="G441">
        <f t="shared" si="82"/>
        <v>49.25</v>
      </c>
      <c r="H441">
        <f t="shared" si="83"/>
        <v>0</v>
      </c>
      <c r="I441">
        <f t="shared" si="84"/>
        <v>-0.40250161246166233</v>
      </c>
      <c r="J441">
        <f t="shared" si="85"/>
        <v>-0.3246817885556601</v>
      </c>
      <c r="K441">
        <f t="shared" si="86"/>
        <v>0.26812159878918684</v>
      </c>
      <c r="L441">
        <f t="shared" si="87"/>
        <v>-0.31214089738450534</v>
      </c>
      <c r="M441">
        <f t="shared" si="88"/>
        <v>0.56852791878172593</v>
      </c>
      <c r="N441">
        <f t="shared" si="89"/>
        <v>0.43147208121827413</v>
      </c>
      <c r="P441">
        <f t="shared" si="90"/>
        <v>720</v>
      </c>
      <c r="Q441">
        <f t="shared" si="91"/>
        <v>709.5</v>
      </c>
    </row>
    <row r="442" spans="1:17" x14ac:dyDescent="0.35">
      <c r="A442">
        <v>2022</v>
      </c>
      <c r="B442" s="15">
        <v>173</v>
      </c>
      <c r="C442" s="15">
        <v>27</v>
      </c>
      <c r="D442" s="12">
        <f t="shared" si="79"/>
        <v>21.625</v>
      </c>
      <c r="E442" s="27">
        <f t="shared" si="80"/>
        <v>0.4325</v>
      </c>
      <c r="F442" s="27">
        <f t="shared" si="81"/>
        <v>0.54</v>
      </c>
      <c r="G442">
        <f t="shared" si="82"/>
        <v>48.625</v>
      </c>
      <c r="H442">
        <f t="shared" si="83"/>
        <v>0</v>
      </c>
      <c r="I442">
        <f t="shared" si="84"/>
        <v>-0.29585003768915336</v>
      </c>
      <c r="J442">
        <f t="shared" si="85"/>
        <v>-0.44022079363633243</v>
      </c>
      <c r="K442">
        <f t="shared" si="86"/>
        <v>0.17082773847323232</v>
      </c>
      <c r="L442">
        <f t="shared" si="87"/>
        <v>-0.18732735107029255</v>
      </c>
      <c r="M442">
        <f t="shared" si="88"/>
        <v>0.55526992287917742</v>
      </c>
      <c r="N442">
        <f t="shared" si="89"/>
        <v>0.44473007712082263</v>
      </c>
      <c r="P442">
        <f t="shared" si="90"/>
        <v>669</v>
      </c>
      <c r="Q442">
        <f t="shared" si="91"/>
        <v>752.5</v>
      </c>
    </row>
    <row r="443" spans="1:17" x14ac:dyDescent="0.35">
      <c r="A443">
        <v>2022</v>
      </c>
      <c r="B443" s="15">
        <v>196</v>
      </c>
      <c r="C443" s="15">
        <v>23</v>
      </c>
      <c r="D443" s="12">
        <f t="shared" si="79"/>
        <v>24.5</v>
      </c>
      <c r="E443" s="27">
        <f t="shared" si="80"/>
        <v>0.49</v>
      </c>
      <c r="F443" s="27">
        <f t="shared" si="81"/>
        <v>0.46</v>
      </c>
      <c r="G443">
        <f t="shared" si="82"/>
        <v>47.5</v>
      </c>
      <c r="H443">
        <f t="shared" si="83"/>
        <v>0</v>
      </c>
      <c r="I443">
        <f t="shared" si="84"/>
        <v>0.52181203556674882</v>
      </c>
      <c r="J443">
        <f t="shared" si="85"/>
        <v>-0.90237681395902158</v>
      </c>
      <c r="K443">
        <f t="shared" si="86"/>
        <v>0.10234910520220146</v>
      </c>
      <c r="L443">
        <f t="shared" si="87"/>
        <v>-0.10797404484320527</v>
      </c>
      <c r="M443">
        <f t="shared" si="88"/>
        <v>0.48421052631578948</v>
      </c>
      <c r="N443">
        <f t="shared" si="89"/>
        <v>0.51578947368421058</v>
      </c>
      <c r="P443">
        <f t="shared" si="90"/>
        <v>270</v>
      </c>
      <c r="Q443">
        <f t="shared" si="91"/>
        <v>904</v>
      </c>
    </row>
    <row r="444" spans="1:17" x14ac:dyDescent="0.35">
      <c r="A444">
        <v>2022</v>
      </c>
      <c r="B444" s="15">
        <v>150</v>
      </c>
      <c r="C444" s="15">
        <v>28</v>
      </c>
      <c r="D444" s="12">
        <f t="shared" si="79"/>
        <v>18.75</v>
      </c>
      <c r="E444" s="27">
        <f t="shared" si="80"/>
        <v>0.375</v>
      </c>
      <c r="F444" s="27">
        <f t="shared" si="81"/>
        <v>0.56000000000000005</v>
      </c>
      <c r="G444">
        <f t="shared" si="82"/>
        <v>46.75</v>
      </c>
      <c r="H444">
        <f t="shared" si="83"/>
        <v>0</v>
      </c>
      <c r="I444">
        <f t="shared" si="84"/>
        <v>-1.1135121109450554</v>
      </c>
      <c r="J444">
        <f t="shared" si="85"/>
        <v>-0.3246817885556601</v>
      </c>
      <c r="K444">
        <f t="shared" si="86"/>
        <v>1.6068856717940998E-2</v>
      </c>
      <c r="L444">
        <f t="shared" si="87"/>
        <v>-1.6199360717712826E-2</v>
      </c>
      <c r="M444">
        <f t="shared" si="88"/>
        <v>0.59893048128342241</v>
      </c>
      <c r="N444">
        <f t="shared" si="89"/>
        <v>0.40106951871657753</v>
      </c>
      <c r="P444">
        <f t="shared" si="90"/>
        <v>1041</v>
      </c>
      <c r="Q444">
        <f t="shared" si="91"/>
        <v>709.5</v>
      </c>
    </row>
    <row r="445" spans="1:17" x14ac:dyDescent="0.35">
      <c r="A445">
        <v>2022</v>
      </c>
      <c r="B445" s="15">
        <v>177</v>
      </c>
      <c r="C445" s="15">
        <v>24</v>
      </c>
      <c r="D445" s="12">
        <f t="shared" si="79"/>
        <v>22.125</v>
      </c>
      <c r="E445" s="27">
        <f t="shared" si="80"/>
        <v>0.4425</v>
      </c>
      <c r="F445" s="27">
        <f t="shared" si="81"/>
        <v>0.48</v>
      </c>
      <c r="G445">
        <f t="shared" si="82"/>
        <v>46.125</v>
      </c>
      <c r="H445">
        <f t="shared" si="83"/>
        <v>0</v>
      </c>
      <c r="I445">
        <f t="shared" si="84"/>
        <v>-0.15364793799247473</v>
      </c>
      <c r="J445">
        <f t="shared" si="85"/>
        <v>-0.78683780887834931</v>
      </c>
      <c r="K445">
        <f t="shared" si="86"/>
        <v>1.6557948263982727E-2</v>
      </c>
      <c r="L445">
        <f t="shared" si="87"/>
        <v>-1.6696563340332607E-2</v>
      </c>
      <c r="M445">
        <f t="shared" si="88"/>
        <v>0.52032520325203258</v>
      </c>
      <c r="N445">
        <f t="shared" si="89"/>
        <v>0.47967479674796748</v>
      </c>
      <c r="P445">
        <f t="shared" si="90"/>
        <v>585</v>
      </c>
      <c r="Q445">
        <f t="shared" si="91"/>
        <v>870</v>
      </c>
    </row>
    <row r="446" spans="1:17" x14ac:dyDescent="0.35">
      <c r="A446">
        <v>2022</v>
      </c>
      <c r="B446" s="15">
        <v>151</v>
      </c>
      <c r="C446" s="15">
        <v>27</v>
      </c>
      <c r="D446" s="12">
        <f t="shared" si="79"/>
        <v>18.875</v>
      </c>
      <c r="E446" s="27">
        <f t="shared" si="80"/>
        <v>0.3775</v>
      </c>
      <c r="F446" s="27">
        <f t="shared" si="81"/>
        <v>0.54</v>
      </c>
      <c r="G446">
        <f t="shared" si="82"/>
        <v>45.875</v>
      </c>
      <c r="H446">
        <f t="shared" si="83"/>
        <v>0</v>
      </c>
      <c r="I446">
        <f t="shared" si="84"/>
        <v>-1.0779615860208858</v>
      </c>
      <c r="J446">
        <f t="shared" si="85"/>
        <v>-0.44022079363633243</v>
      </c>
      <c r="K446">
        <f t="shared" si="86"/>
        <v>6.6840727358217587E-3</v>
      </c>
      <c r="L446">
        <f t="shared" si="87"/>
        <v>-6.7065111927353416E-3</v>
      </c>
      <c r="M446">
        <f t="shared" si="88"/>
        <v>0.58855585831062673</v>
      </c>
      <c r="N446">
        <f t="shared" si="89"/>
        <v>0.41144414168937332</v>
      </c>
      <c r="P446">
        <f t="shared" si="90"/>
        <v>1029</v>
      </c>
      <c r="Q446">
        <f t="shared" si="91"/>
        <v>752.5</v>
      </c>
    </row>
    <row r="447" spans="1:17" x14ac:dyDescent="0.35">
      <c r="A447">
        <v>2022</v>
      </c>
      <c r="B447" s="15">
        <v>190</v>
      </c>
      <c r="C447" s="15">
        <v>22</v>
      </c>
      <c r="D447" s="12">
        <f t="shared" si="79"/>
        <v>23.75</v>
      </c>
      <c r="E447" s="27">
        <f t="shared" si="80"/>
        <v>0.47499999999999998</v>
      </c>
      <c r="F447" s="27">
        <f t="shared" si="81"/>
        <v>0.44</v>
      </c>
      <c r="G447">
        <f t="shared" si="82"/>
        <v>45.75</v>
      </c>
      <c r="H447">
        <f t="shared" si="83"/>
        <v>0</v>
      </c>
      <c r="I447">
        <f t="shared" si="84"/>
        <v>0.30850888602173082</v>
      </c>
      <c r="J447">
        <f t="shared" si="85"/>
        <v>-1.017915819039694</v>
      </c>
      <c r="K447">
        <f t="shared" si="86"/>
        <v>1.5570031654458208E-2</v>
      </c>
      <c r="L447">
        <f t="shared" si="87"/>
        <v>-1.5692517668218848E-2</v>
      </c>
      <c r="M447">
        <f t="shared" si="88"/>
        <v>0.48087431693989069</v>
      </c>
      <c r="N447">
        <f t="shared" si="89"/>
        <v>0.51912568306010931</v>
      </c>
      <c r="P447">
        <f t="shared" si="90"/>
        <v>341</v>
      </c>
      <c r="Q447">
        <f t="shared" si="91"/>
        <v>936.5</v>
      </c>
    </row>
    <row r="448" spans="1:17" x14ac:dyDescent="0.35">
      <c r="A448">
        <v>2022</v>
      </c>
      <c r="B448" s="15">
        <v>153</v>
      </c>
      <c r="C448" s="15">
        <v>26</v>
      </c>
      <c r="D448" s="12">
        <f t="shared" si="79"/>
        <v>19.125</v>
      </c>
      <c r="E448" s="27">
        <f t="shared" si="80"/>
        <v>0.38250000000000001</v>
      </c>
      <c r="F448" s="27">
        <f t="shared" si="81"/>
        <v>0.52</v>
      </c>
      <c r="G448">
        <f t="shared" si="82"/>
        <v>45.125</v>
      </c>
      <c r="H448">
        <f t="shared" si="83"/>
        <v>0</v>
      </c>
      <c r="I448">
        <f t="shared" si="84"/>
        <v>-1.0068605361725464</v>
      </c>
      <c r="J448">
        <f t="shared" si="85"/>
        <v>-0.55575979871700476</v>
      </c>
      <c r="K448">
        <f t="shared" si="86"/>
        <v>3.2286905584998928E-3</v>
      </c>
      <c r="L448">
        <f t="shared" si="87"/>
        <v>-3.233914026198765E-3</v>
      </c>
      <c r="M448">
        <f t="shared" si="88"/>
        <v>0.57617728531855961</v>
      </c>
      <c r="N448">
        <f t="shared" si="89"/>
        <v>0.42382271468144045</v>
      </c>
      <c r="P448">
        <f t="shared" si="90"/>
        <v>1004.5</v>
      </c>
      <c r="Q448">
        <f t="shared" si="91"/>
        <v>796</v>
      </c>
    </row>
    <row r="449" spans="1:17" x14ac:dyDescent="0.35">
      <c r="A449">
        <v>2022</v>
      </c>
      <c r="B449" s="15">
        <v>152</v>
      </c>
      <c r="C449" s="15">
        <v>26</v>
      </c>
      <c r="D449" s="12">
        <f t="shared" si="79"/>
        <v>19</v>
      </c>
      <c r="E449" s="27">
        <f t="shared" si="80"/>
        <v>0.38</v>
      </c>
      <c r="F449" s="27">
        <f t="shared" si="81"/>
        <v>0.52</v>
      </c>
      <c r="G449">
        <f t="shared" si="82"/>
        <v>45</v>
      </c>
      <c r="H449">
        <f t="shared" si="83"/>
        <v>0</v>
      </c>
      <c r="I449">
        <f t="shared" si="84"/>
        <v>-1.0424110610967161</v>
      </c>
      <c r="J449">
        <f t="shared" si="85"/>
        <v>-0.55575979871700476</v>
      </c>
      <c r="K449">
        <f t="shared" si="86"/>
        <v>2.7649342356163872E-3</v>
      </c>
      <c r="L449">
        <f t="shared" si="87"/>
        <v>-2.7687637267696935E-3</v>
      </c>
      <c r="M449">
        <f t="shared" si="88"/>
        <v>0.57777777777777772</v>
      </c>
      <c r="N449">
        <f t="shared" si="89"/>
        <v>0.42222222222222222</v>
      </c>
      <c r="P449">
        <f t="shared" si="90"/>
        <v>1016</v>
      </c>
      <c r="Q449">
        <f t="shared" si="91"/>
        <v>796</v>
      </c>
    </row>
    <row r="450" spans="1:17" x14ac:dyDescent="0.35">
      <c r="A450">
        <v>2022</v>
      </c>
      <c r="B450" s="15">
        <v>203</v>
      </c>
      <c r="C450" s="15">
        <v>19</v>
      </c>
      <c r="D450" s="12">
        <f t="shared" si="79"/>
        <v>25.375</v>
      </c>
      <c r="E450" s="27">
        <f t="shared" si="80"/>
        <v>0.50749999999999995</v>
      </c>
      <c r="F450" s="27">
        <f t="shared" si="81"/>
        <v>0.38</v>
      </c>
      <c r="G450">
        <f t="shared" si="82"/>
        <v>44.375</v>
      </c>
      <c r="H450">
        <f t="shared" si="83"/>
        <v>0</v>
      </c>
      <c r="I450">
        <f t="shared" si="84"/>
        <v>0.77066571003593642</v>
      </c>
      <c r="J450">
        <f t="shared" si="85"/>
        <v>-1.3645328342817109</v>
      </c>
      <c r="K450">
        <f t="shared" si="86"/>
        <v>5.2128069830516518E-3</v>
      </c>
      <c r="L450">
        <f t="shared" si="87"/>
        <v>-5.2264410632316327E-3</v>
      </c>
      <c r="M450">
        <f t="shared" si="88"/>
        <v>0.42816901408450703</v>
      </c>
      <c r="N450">
        <f t="shared" si="89"/>
        <v>0.57183098591549297</v>
      </c>
      <c r="P450">
        <f t="shared" si="90"/>
        <v>203</v>
      </c>
      <c r="Q450">
        <f t="shared" si="91"/>
        <v>1022</v>
      </c>
    </row>
    <row r="451" spans="1:17" x14ac:dyDescent="0.35">
      <c r="A451">
        <v>2022</v>
      </c>
      <c r="B451" s="15">
        <v>138</v>
      </c>
      <c r="C451" s="15">
        <v>27</v>
      </c>
      <c r="D451" s="12">
        <f t="shared" ref="D451:D514" si="92">B451/8</f>
        <v>17.25</v>
      </c>
      <c r="E451" s="27">
        <f t="shared" ref="E451:E514" si="93">B451/400</f>
        <v>0.34499999999999997</v>
      </c>
      <c r="F451" s="27">
        <f t="shared" ref="F451:F514" si="94">C451/50</f>
        <v>0.54</v>
      </c>
      <c r="G451">
        <f t="shared" ref="G451:G514" si="95">SUM(C451+D451)</f>
        <v>44.25</v>
      </c>
      <c r="H451">
        <f t="shared" ref="H451:H514" si="96">IF(G451&gt;=50,1,0)</f>
        <v>0</v>
      </c>
      <c r="I451">
        <f t="shared" ref="I451:I514" si="97" xml:space="preserve"> (D:D - AVERAGE(D:D)) / STDEV(D:D)</f>
        <v>-1.5401184100350913</v>
      </c>
      <c r="J451">
        <f t="shared" ref="J451:J514" si="98" xml:space="preserve"> (C:C - AVERAGE(C:C)) / STDEV(C:C)</f>
        <v>-0.44022079363633243</v>
      </c>
      <c r="K451">
        <f t="shared" ref="K451:K514" si="99">1/(1+EXP(-($AD$25 +$AD$26 * I451 +$AD$27 * J451 )))</f>
        <v>8.9022500145661458E-4</v>
      </c>
      <c r="L451">
        <f t="shared" ref="L451:L514" si="100">IF(K451=0, -1000, IF(K451=1, -1000, H451 * LN(K451) + (1 - H451) * LN(1 - K451)))</f>
        <v>-8.9062148705830566E-4</v>
      </c>
      <c r="M451">
        <f t="shared" ref="M451:M514" si="101">IF(G451=0, 0,  C451  / G451 )</f>
        <v>0.61016949152542377</v>
      </c>
      <c r="N451">
        <f t="shared" ref="N451:N514" si="102">IF(G451=0, 0,  D451  / G451 )</f>
        <v>0.38983050847457629</v>
      </c>
      <c r="P451">
        <f t="shared" ref="P451:P514" si="103">_xlfn.RANK.AVG(B451,$B$2:$B$1144)</f>
        <v>1113</v>
      </c>
      <c r="Q451">
        <f t="shared" ref="Q451:Q514" si="104">_xlfn.RANK.AVG(C451,$C$2:$C$1144)</f>
        <v>752.5</v>
      </c>
    </row>
    <row r="452" spans="1:17" x14ac:dyDescent="0.35">
      <c r="A452">
        <v>2022</v>
      </c>
      <c r="B452" s="15">
        <v>210</v>
      </c>
      <c r="C452" s="15">
        <v>18</v>
      </c>
      <c r="D452" s="12">
        <f t="shared" si="92"/>
        <v>26.25</v>
      </c>
      <c r="E452" s="27">
        <f t="shared" si="93"/>
        <v>0.52500000000000002</v>
      </c>
      <c r="F452" s="27">
        <f t="shared" si="94"/>
        <v>0.36</v>
      </c>
      <c r="G452">
        <f t="shared" si="95"/>
        <v>44.25</v>
      </c>
      <c r="H452">
        <f t="shared" si="96"/>
        <v>0</v>
      </c>
      <c r="I452">
        <f t="shared" si="97"/>
        <v>1.019519384505124</v>
      </c>
      <c r="J452">
        <f t="shared" si="98"/>
        <v>-1.4800718393623831</v>
      </c>
      <c r="K452">
        <f t="shared" si="99"/>
        <v>5.4595792430922893E-3</v>
      </c>
      <c r="L452">
        <f t="shared" si="100"/>
        <v>-5.4745372135065421E-3</v>
      </c>
      <c r="M452">
        <f t="shared" si="101"/>
        <v>0.40677966101694918</v>
      </c>
      <c r="N452">
        <f t="shared" si="102"/>
        <v>0.59322033898305082</v>
      </c>
      <c r="P452">
        <f t="shared" si="103"/>
        <v>138.5</v>
      </c>
      <c r="Q452">
        <f t="shared" si="104"/>
        <v>1044.5</v>
      </c>
    </row>
    <row r="453" spans="1:17" x14ac:dyDescent="0.35">
      <c r="A453">
        <v>2022</v>
      </c>
      <c r="B453" s="15">
        <v>193</v>
      </c>
      <c r="C453" s="15">
        <v>20</v>
      </c>
      <c r="D453" s="12">
        <f t="shared" si="92"/>
        <v>24.125</v>
      </c>
      <c r="E453" s="27">
        <f t="shared" si="93"/>
        <v>0.48249999999999998</v>
      </c>
      <c r="F453" s="27">
        <f t="shared" si="94"/>
        <v>0.4</v>
      </c>
      <c r="G453">
        <f t="shared" si="95"/>
        <v>44.125</v>
      </c>
      <c r="H453">
        <f t="shared" si="96"/>
        <v>0</v>
      </c>
      <c r="I453">
        <f t="shared" si="97"/>
        <v>0.41516046079423979</v>
      </c>
      <c r="J453">
        <f t="shared" si="98"/>
        <v>-1.2489938292010385</v>
      </c>
      <c r="K453">
        <f t="shared" si="99"/>
        <v>3.1271955617498417E-3</v>
      </c>
      <c r="L453">
        <f t="shared" si="100"/>
        <v>-3.1320954557416542E-3</v>
      </c>
      <c r="M453">
        <f t="shared" si="101"/>
        <v>0.45325779036827196</v>
      </c>
      <c r="N453">
        <f t="shared" si="102"/>
        <v>0.54674220963172804</v>
      </c>
      <c r="P453">
        <f t="shared" si="103"/>
        <v>307</v>
      </c>
      <c r="Q453">
        <f t="shared" si="104"/>
        <v>996</v>
      </c>
    </row>
    <row r="454" spans="1:17" x14ac:dyDescent="0.35">
      <c r="A454">
        <v>2022</v>
      </c>
      <c r="B454" s="15">
        <v>149</v>
      </c>
      <c r="C454" s="15">
        <v>25</v>
      </c>
      <c r="D454" s="12">
        <f t="shared" si="92"/>
        <v>18.625</v>
      </c>
      <c r="E454" s="27">
        <f t="shared" si="93"/>
        <v>0.3725</v>
      </c>
      <c r="F454" s="27">
        <f t="shared" si="94"/>
        <v>0.5</v>
      </c>
      <c r="G454">
        <f t="shared" si="95"/>
        <v>43.625</v>
      </c>
      <c r="H454">
        <f t="shared" si="96"/>
        <v>0</v>
      </c>
      <c r="I454">
        <f t="shared" si="97"/>
        <v>-1.1490626358692251</v>
      </c>
      <c r="J454">
        <f t="shared" si="98"/>
        <v>-0.67129880379767704</v>
      </c>
      <c r="K454">
        <f t="shared" si="99"/>
        <v>6.1288640379745043E-4</v>
      </c>
      <c r="L454">
        <f t="shared" si="100"/>
        <v>-6.1307429544414497E-4</v>
      </c>
      <c r="M454">
        <f t="shared" si="101"/>
        <v>0.57306590257879653</v>
      </c>
      <c r="N454">
        <f t="shared" si="102"/>
        <v>0.42693409742120342</v>
      </c>
      <c r="P454">
        <f t="shared" si="103"/>
        <v>1051.5</v>
      </c>
      <c r="Q454">
        <f t="shared" si="104"/>
        <v>835</v>
      </c>
    </row>
    <row r="455" spans="1:17" x14ac:dyDescent="0.35">
      <c r="A455">
        <v>2022</v>
      </c>
      <c r="B455" s="15">
        <v>173</v>
      </c>
      <c r="C455" s="15">
        <v>22</v>
      </c>
      <c r="D455" s="12">
        <f t="shared" si="92"/>
        <v>21.625</v>
      </c>
      <c r="E455" s="27">
        <f t="shared" si="93"/>
        <v>0.4325</v>
      </c>
      <c r="F455" s="27">
        <f t="shared" si="94"/>
        <v>0.44</v>
      </c>
      <c r="G455">
        <f t="shared" si="95"/>
        <v>43.625</v>
      </c>
      <c r="H455">
        <f t="shared" si="96"/>
        <v>0</v>
      </c>
      <c r="I455">
        <f t="shared" si="97"/>
        <v>-0.29585003768915336</v>
      </c>
      <c r="J455">
        <f t="shared" si="98"/>
        <v>-1.017915819039694</v>
      </c>
      <c r="K455">
        <f t="shared" si="99"/>
        <v>1.1229876476678861E-3</v>
      </c>
      <c r="L455">
        <f t="shared" si="100"/>
        <v>-1.1236186707613426E-3</v>
      </c>
      <c r="M455">
        <f t="shared" si="101"/>
        <v>0.50429799426934097</v>
      </c>
      <c r="N455">
        <f t="shared" si="102"/>
        <v>0.49570200573065903</v>
      </c>
      <c r="P455">
        <f t="shared" si="103"/>
        <v>669</v>
      </c>
      <c r="Q455">
        <f t="shared" si="104"/>
        <v>936.5</v>
      </c>
    </row>
    <row r="456" spans="1:17" x14ac:dyDescent="0.35">
      <c r="A456">
        <v>2022</v>
      </c>
      <c r="B456" s="15">
        <v>185</v>
      </c>
      <c r="C456" s="15">
        <v>20</v>
      </c>
      <c r="D456" s="12">
        <f t="shared" si="92"/>
        <v>23.125</v>
      </c>
      <c r="E456" s="27">
        <f t="shared" si="93"/>
        <v>0.46250000000000002</v>
      </c>
      <c r="F456" s="27">
        <f t="shared" si="94"/>
        <v>0.4</v>
      </c>
      <c r="G456">
        <f t="shared" si="95"/>
        <v>43.125</v>
      </c>
      <c r="H456">
        <f t="shared" si="96"/>
        <v>0</v>
      </c>
      <c r="I456">
        <f t="shared" si="97"/>
        <v>0.13075626140088253</v>
      </c>
      <c r="J456">
        <f t="shared" si="98"/>
        <v>-1.2489938292010385</v>
      </c>
      <c r="K456">
        <f t="shared" si="99"/>
        <v>9.0317899871641125E-4</v>
      </c>
      <c r="L456">
        <f t="shared" si="100"/>
        <v>-9.035871106188232E-4</v>
      </c>
      <c r="M456">
        <f t="shared" si="101"/>
        <v>0.46376811594202899</v>
      </c>
      <c r="N456">
        <f t="shared" si="102"/>
        <v>0.53623188405797106</v>
      </c>
      <c r="P456">
        <f t="shared" si="103"/>
        <v>428.5</v>
      </c>
      <c r="Q456">
        <f t="shared" si="104"/>
        <v>996</v>
      </c>
    </row>
    <row r="457" spans="1:17" x14ac:dyDescent="0.35">
      <c r="A457">
        <v>2022</v>
      </c>
      <c r="B457" s="15">
        <v>149</v>
      </c>
      <c r="C457" s="15">
        <v>24</v>
      </c>
      <c r="D457" s="12">
        <f t="shared" si="92"/>
        <v>18.625</v>
      </c>
      <c r="E457" s="27">
        <f t="shared" si="93"/>
        <v>0.3725</v>
      </c>
      <c r="F457" s="27">
        <f t="shared" si="94"/>
        <v>0.48</v>
      </c>
      <c r="G457">
        <f t="shared" si="95"/>
        <v>42.625</v>
      </c>
      <c r="H457">
        <f t="shared" si="96"/>
        <v>0</v>
      </c>
      <c r="I457">
        <f t="shared" si="97"/>
        <v>-1.1490626358692251</v>
      </c>
      <c r="J457">
        <f t="shared" si="98"/>
        <v>-0.78683780887834931</v>
      </c>
      <c r="K457">
        <f t="shared" si="99"/>
        <v>2.1624306354298223E-4</v>
      </c>
      <c r="L457">
        <f t="shared" si="100"/>
        <v>-2.1626644744535063E-4</v>
      </c>
      <c r="M457">
        <f t="shared" si="101"/>
        <v>0.56304985337243407</v>
      </c>
      <c r="N457">
        <f t="shared" si="102"/>
        <v>0.43695014662756598</v>
      </c>
      <c r="P457">
        <f t="shared" si="103"/>
        <v>1051.5</v>
      </c>
      <c r="Q457">
        <f t="shared" si="104"/>
        <v>870</v>
      </c>
    </row>
    <row r="458" spans="1:17" x14ac:dyDescent="0.35">
      <c r="A458">
        <v>2022</v>
      </c>
      <c r="B458" s="15">
        <v>187</v>
      </c>
      <c r="C458" s="15">
        <v>19</v>
      </c>
      <c r="D458" s="12">
        <f t="shared" si="92"/>
        <v>23.375</v>
      </c>
      <c r="E458" s="27">
        <f t="shared" si="93"/>
        <v>0.46750000000000003</v>
      </c>
      <c r="F458" s="27">
        <f t="shared" si="94"/>
        <v>0.38</v>
      </c>
      <c r="G458">
        <f t="shared" si="95"/>
        <v>42.375</v>
      </c>
      <c r="H458">
        <f t="shared" si="96"/>
        <v>0</v>
      </c>
      <c r="I458">
        <f t="shared" si="97"/>
        <v>0.20185731124922185</v>
      </c>
      <c r="J458">
        <f t="shared" si="98"/>
        <v>-1.3645328342817109</v>
      </c>
      <c r="K458">
        <f t="shared" si="99"/>
        <v>4.34965123979086E-4</v>
      </c>
      <c r="L458">
        <f t="shared" si="100"/>
        <v>-4.3505974874863109E-4</v>
      </c>
      <c r="M458">
        <f t="shared" si="101"/>
        <v>0.44837758112094395</v>
      </c>
      <c r="N458">
        <f t="shared" si="102"/>
        <v>0.55162241887905605</v>
      </c>
      <c r="P458">
        <f t="shared" si="103"/>
        <v>393</v>
      </c>
      <c r="Q458">
        <f t="shared" si="104"/>
        <v>1022</v>
      </c>
    </row>
    <row r="459" spans="1:17" x14ac:dyDescent="0.35">
      <c r="A459">
        <v>2022</v>
      </c>
      <c r="B459" s="15">
        <v>187</v>
      </c>
      <c r="C459" s="15">
        <v>19</v>
      </c>
      <c r="D459" s="12">
        <f t="shared" si="92"/>
        <v>23.375</v>
      </c>
      <c r="E459" s="27">
        <f t="shared" si="93"/>
        <v>0.46750000000000003</v>
      </c>
      <c r="F459" s="27">
        <f t="shared" si="94"/>
        <v>0.38</v>
      </c>
      <c r="G459">
        <f t="shared" si="95"/>
        <v>42.375</v>
      </c>
      <c r="H459">
        <f t="shared" si="96"/>
        <v>0</v>
      </c>
      <c r="I459">
        <f t="shared" si="97"/>
        <v>0.20185731124922185</v>
      </c>
      <c r="J459">
        <f t="shared" si="98"/>
        <v>-1.3645328342817109</v>
      </c>
      <c r="K459">
        <f t="shared" si="99"/>
        <v>4.34965123979086E-4</v>
      </c>
      <c r="L459">
        <f t="shared" si="100"/>
        <v>-4.3505974874863109E-4</v>
      </c>
      <c r="M459">
        <f t="shared" si="101"/>
        <v>0.44837758112094395</v>
      </c>
      <c r="N459">
        <f t="shared" si="102"/>
        <v>0.55162241887905605</v>
      </c>
      <c r="P459">
        <f t="shared" si="103"/>
        <v>393</v>
      </c>
      <c r="Q459">
        <f t="shared" si="104"/>
        <v>1022</v>
      </c>
    </row>
    <row r="460" spans="1:17" x14ac:dyDescent="0.35">
      <c r="A460">
        <v>2022</v>
      </c>
      <c r="B460" s="15">
        <v>155</v>
      </c>
      <c r="C460" s="15">
        <v>23</v>
      </c>
      <c r="D460" s="12">
        <f t="shared" si="92"/>
        <v>19.375</v>
      </c>
      <c r="E460" s="27">
        <f t="shared" si="93"/>
        <v>0.38750000000000001</v>
      </c>
      <c r="F460" s="27">
        <f t="shared" si="94"/>
        <v>0.46</v>
      </c>
      <c r="G460">
        <f t="shared" si="95"/>
        <v>42.375</v>
      </c>
      <c r="H460">
        <f t="shared" si="96"/>
        <v>0</v>
      </c>
      <c r="I460">
        <f t="shared" si="97"/>
        <v>-0.93575948632420713</v>
      </c>
      <c r="J460">
        <f t="shared" si="98"/>
        <v>-0.90237681395902158</v>
      </c>
      <c r="K460">
        <f t="shared" si="99"/>
        <v>1.9391148502349224E-4</v>
      </c>
      <c r="L460">
        <f t="shared" si="100"/>
        <v>-1.9393028828628727E-4</v>
      </c>
      <c r="M460">
        <f t="shared" si="101"/>
        <v>0.54277286135693215</v>
      </c>
      <c r="N460">
        <f t="shared" si="102"/>
        <v>0.45722713864306785</v>
      </c>
      <c r="P460">
        <f t="shared" si="103"/>
        <v>985</v>
      </c>
      <c r="Q460">
        <f t="shared" si="104"/>
        <v>904</v>
      </c>
    </row>
    <row r="461" spans="1:17" x14ac:dyDescent="0.35">
      <c r="A461">
        <v>2022</v>
      </c>
      <c r="B461" s="15">
        <v>176</v>
      </c>
      <c r="C461" s="15">
        <v>20</v>
      </c>
      <c r="D461" s="12">
        <f t="shared" si="92"/>
        <v>22</v>
      </c>
      <c r="E461" s="27">
        <f t="shared" si="93"/>
        <v>0.44</v>
      </c>
      <c r="F461" s="27">
        <f t="shared" si="94"/>
        <v>0.4</v>
      </c>
      <c r="G461">
        <f t="shared" si="95"/>
        <v>42</v>
      </c>
      <c r="H461">
        <f t="shared" si="96"/>
        <v>0</v>
      </c>
      <c r="I461">
        <f t="shared" si="97"/>
        <v>-0.18919846291664436</v>
      </c>
      <c r="J461">
        <f t="shared" si="98"/>
        <v>-1.2489938292010385</v>
      </c>
      <c r="K461">
        <f t="shared" si="99"/>
        <v>2.2293422883948069E-4</v>
      </c>
      <c r="L461">
        <f t="shared" si="100"/>
        <v>-2.2295908236851967E-4</v>
      </c>
      <c r="M461">
        <f t="shared" si="101"/>
        <v>0.47619047619047616</v>
      </c>
      <c r="N461">
        <f t="shared" si="102"/>
        <v>0.52380952380952384</v>
      </c>
      <c r="P461">
        <f t="shared" si="103"/>
        <v>607.5</v>
      </c>
      <c r="Q461">
        <f t="shared" si="104"/>
        <v>996</v>
      </c>
    </row>
    <row r="462" spans="1:17" x14ac:dyDescent="0.35">
      <c r="A462">
        <v>2022</v>
      </c>
      <c r="B462" s="15">
        <v>184</v>
      </c>
      <c r="C462" s="15">
        <v>18</v>
      </c>
      <c r="D462" s="12">
        <f t="shared" si="92"/>
        <v>23</v>
      </c>
      <c r="E462" s="27">
        <f t="shared" si="93"/>
        <v>0.46</v>
      </c>
      <c r="F462" s="27">
        <f t="shared" si="94"/>
        <v>0.36</v>
      </c>
      <c r="G462">
        <f t="shared" si="95"/>
        <v>41</v>
      </c>
      <c r="H462">
        <f t="shared" si="96"/>
        <v>0</v>
      </c>
      <c r="I462">
        <f t="shared" si="97"/>
        <v>9.5205736476712891E-2</v>
      </c>
      <c r="J462">
        <f t="shared" si="98"/>
        <v>-1.4800718393623831</v>
      </c>
      <c r="K462">
        <f t="shared" si="99"/>
        <v>9.6241095583378508E-5</v>
      </c>
      <c r="L462">
        <f t="shared" si="100"/>
        <v>-9.6245727054771976E-5</v>
      </c>
      <c r="M462">
        <f t="shared" si="101"/>
        <v>0.43902439024390244</v>
      </c>
      <c r="N462">
        <f t="shared" si="102"/>
        <v>0.56097560975609762</v>
      </c>
      <c r="P462">
        <f t="shared" si="103"/>
        <v>445</v>
      </c>
      <c r="Q462">
        <f t="shared" si="104"/>
        <v>1044.5</v>
      </c>
    </row>
    <row r="463" spans="1:17" x14ac:dyDescent="0.35">
      <c r="A463">
        <v>2022</v>
      </c>
      <c r="B463" s="15">
        <v>182</v>
      </c>
      <c r="C463" s="15">
        <v>17</v>
      </c>
      <c r="D463" s="12">
        <f t="shared" si="92"/>
        <v>22.75</v>
      </c>
      <c r="E463" s="27">
        <f t="shared" si="93"/>
        <v>0.45500000000000002</v>
      </c>
      <c r="F463" s="27">
        <f t="shared" si="94"/>
        <v>0.34</v>
      </c>
      <c r="G463">
        <f t="shared" si="95"/>
        <v>39.75</v>
      </c>
      <c r="H463">
        <f t="shared" si="96"/>
        <v>0</v>
      </c>
      <c r="I463">
        <f t="shared" si="97"/>
        <v>2.4104686628373572E-2</v>
      </c>
      <c r="J463">
        <f t="shared" si="98"/>
        <v>-1.5956108444430555</v>
      </c>
      <c r="K463">
        <f t="shared" si="99"/>
        <v>2.4871052414719845E-5</v>
      </c>
      <c r="L463">
        <f t="shared" si="100"/>
        <v>-2.4871361704417943E-5</v>
      </c>
      <c r="M463">
        <f t="shared" si="101"/>
        <v>0.42767295597484278</v>
      </c>
      <c r="N463">
        <f t="shared" si="102"/>
        <v>0.57232704402515722</v>
      </c>
      <c r="P463">
        <f t="shared" si="103"/>
        <v>484.5</v>
      </c>
      <c r="Q463">
        <f t="shared" si="104"/>
        <v>1063.5</v>
      </c>
    </row>
    <row r="464" spans="1:17" x14ac:dyDescent="0.35">
      <c r="A464">
        <v>2022</v>
      </c>
      <c r="B464" s="15">
        <v>190</v>
      </c>
      <c r="C464" s="15">
        <v>16</v>
      </c>
      <c r="D464" s="12">
        <f t="shared" si="92"/>
        <v>23.75</v>
      </c>
      <c r="E464" s="27">
        <f t="shared" si="93"/>
        <v>0.47499999999999998</v>
      </c>
      <c r="F464" s="27">
        <f t="shared" si="94"/>
        <v>0.32</v>
      </c>
      <c r="G464">
        <f t="shared" si="95"/>
        <v>39.75</v>
      </c>
      <c r="H464">
        <f t="shared" si="96"/>
        <v>0</v>
      </c>
      <c r="I464">
        <f t="shared" si="97"/>
        <v>0.30850888602173082</v>
      </c>
      <c r="J464">
        <f t="shared" si="98"/>
        <v>-1.7111498495237276</v>
      </c>
      <c r="K464">
        <f t="shared" si="99"/>
        <v>3.0439018935836139E-5</v>
      </c>
      <c r="L464">
        <f t="shared" si="100"/>
        <v>-3.0439482212184138E-5</v>
      </c>
      <c r="M464">
        <f t="shared" si="101"/>
        <v>0.40251572327044027</v>
      </c>
      <c r="N464">
        <f t="shared" si="102"/>
        <v>0.59748427672955973</v>
      </c>
      <c r="P464">
        <f t="shared" si="103"/>
        <v>341</v>
      </c>
      <c r="Q464">
        <f t="shared" si="104"/>
        <v>1079.5</v>
      </c>
    </row>
    <row r="465" spans="1:17" x14ac:dyDescent="0.35">
      <c r="A465">
        <v>2022</v>
      </c>
      <c r="B465" s="15">
        <v>179</v>
      </c>
      <c r="C465" s="15">
        <v>16</v>
      </c>
      <c r="D465" s="12">
        <f t="shared" si="92"/>
        <v>22.375</v>
      </c>
      <c r="E465" s="27">
        <f t="shared" si="93"/>
        <v>0.44750000000000001</v>
      </c>
      <c r="F465" s="27">
        <f t="shared" si="94"/>
        <v>0.32</v>
      </c>
      <c r="G465">
        <f t="shared" si="95"/>
        <v>38.375</v>
      </c>
      <c r="H465">
        <f t="shared" si="96"/>
        <v>0</v>
      </c>
      <c r="I465">
        <f t="shared" si="97"/>
        <v>-8.2546888144135397E-2</v>
      </c>
      <c r="J465">
        <f t="shared" si="98"/>
        <v>-1.7111498495237276</v>
      </c>
      <c r="K465">
        <f t="shared" si="99"/>
        <v>5.5012521611107247E-6</v>
      </c>
      <c r="L465">
        <f t="shared" si="100"/>
        <v>-5.5012672930873325E-6</v>
      </c>
      <c r="M465">
        <f t="shared" si="101"/>
        <v>0.41693811074918569</v>
      </c>
      <c r="N465">
        <f t="shared" si="102"/>
        <v>0.58306188925081437</v>
      </c>
      <c r="P465">
        <f t="shared" si="103"/>
        <v>547</v>
      </c>
      <c r="Q465">
        <f t="shared" si="104"/>
        <v>1079.5</v>
      </c>
    </row>
    <row r="466" spans="1:17" x14ac:dyDescent="0.35">
      <c r="A466">
        <v>2022</v>
      </c>
      <c r="B466" s="15">
        <v>136</v>
      </c>
      <c r="C466" s="15">
        <v>21</v>
      </c>
      <c r="D466" s="12">
        <f t="shared" si="92"/>
        <v>17</v>
      </c>
      <c r="E466" s="27">
        <f t="shared" si="93"/>
        <v>0.34</v>
      </c>
      <c r="F466" s="27">
        <f t="shared" si="94"/>
        <v>0.42</v>
      </c>
      <c r="G466">
        <f t="shared" si="95"/>
        <v>38</v>
      </c>
      <c r="H466">
        <f t="shared" si="96"/>
        <v>0</v>
      </c>
      <c r="I466">
        <f t="shared" si="97"/>
        <v>-1.6112194598834306</v>
      </c>
      <c r="J466">
        <f t="shared" si="98"/>
        <v>-1.1334548241203661</v>
      </c>
      <c r="K466">
        <f t="shared" si="99"/>
        <v>1.2564290658684259E-6</v>
      </c>
      <c r="L466">
        <f t="shared" si="100"/>
        <v>-1.2564298552066163E-6</v>
      </c>
      <c r="M466">
        <f t="shared" si="101"/>
        <v>0.55263157894736847</v>
      </c>
      <c r="N466">
        <f t="shared" si="102"/>
        <v>0.44736842105263158</v>
      </c>
      <c r="P466">
        <f t="shared" si="103"/>
        <v>1120</v>
      </c>
      <c r="Q466">
        <f t="shared" si="104"/>
        <v>967.5</v>
      </c>
    </row>
    <row r="467" spans="1:17" x14ac:dyDescent="0.35">
      <c r="A467">
        <v>2022</v>
      </c>
      <c r="B467" s="15">
        <v>190</v>
      </c>
      <c r="C467" s="15">
        <v>14</v>
      </c>
      <c r="D467" s="12">
        <f t="shared" si="92"/>
        <v>23.75</v>
      </c>
      <c r="E467" s="27">
        <f t="shared" si="93"/>
        <v>0.47499999999999998</v>
      </c>
      <c r="F467" s="27">
        <f t="shared" si="94"/>
        <v>0.28000000000000003</v>
      </c>
      <c r="G467">
        <f t="shared" si="95"/>
        <v>37.75</v>
      </c>
      <c r="H467">
        <f t="shared" si="96"/>
        <v>0</v>
      </c>
      <c r="I467">
        <f t="shared" si="97"/>
        <v>0.30850888602173082</v>
      </c>
      <c r="J467">
        <f t="shared" si="98"/>
        <v>-1.9422278596850724</v>
      </c>
      <c r="K467">
        <f t="shared" si="99"/>
        <v>3.7863604911357521E-6</v>
      </c>
      <c r="L467">
        <f t="shared" si="100"/>
        <v>-3.7863676594235385E-6</v>
      </c>
      <c r="M467">
        <f t="shared" si="101"/>
        <v>0.37086092715231789</v>
      </c>
      <c r="N467">
        <f t="shared" si="102"/>
        <v>0.62913907284768211</v>
      </c>
      <c r="P467">
        <f t="shared" si="103"/>
        <v>341</v>
      </c>
      <c r="Q467">
        <f t="shared" si="104"/>
        <v>1107.5</v>
      </c>
    </row>
    <row r="468" spans="1:17" x14ac:dyDescent="0.35">
      <c r="A468">
        <v>2022</v>
      </c>
      <c r="B468" s="15">
        <v>155</v>
      </c>
      <c r="C468" s="15">
        <v>18</v>
      </c>
      <c r="D468" s="12">
        <f t="shared" si="92"/>
        <v>19.375</v>
      </c>
      <c r="E468" s="27">
        <f t="shared" si="93"/>
        <v>0.38750000000000001</v>
      </c>
      <c r="F468" s="27">
        <f t="shared" si="94"/>
        <v>0.36</v>
      </c>
      <c r="G468">
        <f t="shared" si="95"/>
        <v>37.375</v>
      </c>
      <c r="H468">
        <f t="shared" si="96"/>
        <v>0</v>
      </c>
      <c r="I468">
        <f t="shared" si="97"/>
        <v>-0.93575948632420713</v>
      </c>
      <c r="J468">
        <f t="shared" si="98"/>
        <v>-1.4800718393623831</v>
      </c>
      <c r="K468">
        <f t="shared" si="99"/>
        <v>1.0583678280533788E-6</v>
      </c>
      <c r="L468">
        <f t="shared" si="100"/>
        <v>-1.0583683881156515E-6</v>
      </c>
      <c r="M468">
        <f t="shared" si="101"/>
        <v>0.48160535117056857</v>
      </c>
      <c r="N468">
        <f t="shared" si="102"/>
        <v>0.51839464882943143</v>
      </c>
      <c r="P468">
        <f t="shared" si="103"/>
        <v>985</v>
      </c>
      <c r="Q468">
        <f t="shared" si="104"/>
        <v>1044.5</v>
      </c>
    </row>
    <row r="469" spans="1:17" x14ac:dyDescent="0.35">
      <c r="A469">
        <v>2022</v>
      </c>
      <c r="B469" s="15">
        <v>178</v>
      </c>
      <c r="C469" s="15">
        <v>15</v>
      </c>
      <c r="D469" s="12">
        <f t="shared" si="92"/>
        <v>22.25</v>
      </c>
      <c r="E469" s="27">
        <f t="shared" si="93"/>
        <v>0.44500000000000001</v>
      </c>
      <c r="F469" s="27">
        <f t="shared" si="94"/>
        <v>0.3</v>
      </c>
      <c r="G469">
        <f t="shared" si="95"/>
        <v>37.25</v>
      </c>
      <c r="H469">
        <f t="shared" si="96"/>
        <v>0</v>
      </c>
      <c r="I469">
        <f t="shared" si="97"/>
        <v>-0.11809741306830505</v>
      </c>
      <c r="J469">
        <f t="shared" si="98"/>
        <v>-1.8266888546044</v>
      </c>
      <c r="K469">
        <f t="shared" si="99"/>
        <v>1.6607698693729839E-6</v>
      </c>
      <c r="L469">
        <f t="shared" si="100"/>
        <v>-1.6607712484846942E-6</v>
      </c>
      <c r="M469">
        <f t="shared" si="101"/>
        <v>0.40268456375838924</v>
      </c>
      <c r="N469">
        <f t="shared" si="102"/>
        <v>0.59731543624161076</v>
      </c>
      <c r="P469">
        <f t="shared" si="103"/>
        <v>564.5</v>
      </c>
      <c r="Q469">
        <f t="shared" si="104"/>
        <v>1094</v>
      </c>
    </row>
    <row r="470" spans="1:17" x14ac:dyDescent="0.35">
      <c r="A470">
        <v>2022</v>
      </c>
      <c r="B470" s="15">
        <v>152</v>
      </c>
      <c r="C470" s="15">
        <v>18</v>
      </c>
      <c r="D470" s="12">
        <f t="shared" si="92"/>
        <v>19</v>
      </c>
      <c r="E470" s="27">
        <f t="shared" si="93"/>
        <v>0.38</v>
      </c>
      <c r="F470" s="27">
        <f t="shared" si="94"/>
        <v>0.36</v>
      </c>
      <c r="G470">
        <f t="shared" si="95"/>
        <v>37</v>
      </c>
      <c r="H470">
        <f t="shared" si="96"/>
        <v>0</v>
      </c>
      <c r="I470">
        <f t="shared" si="97"/>
        <v>-1.0424110610967161</v>
      </c>
      <c r="J470">
        <f t="shared" si="98"/>
        <v>-1.4800718393623831</v>
      </c>
      <c r="K470">
        <f t="shared" si="99"/>
        <v>6.6375210506014178E-7</v>
      </c>
      <c r="L470">
        <f t="shared" si="100"/>
        <v>-6.6375232534028444E-7</v>
      </c>
      <c r="M470">
        <f t="shared" si="101"/>
        <v>0.48648648648648651</v>
      </c>
      <c r="N470">
        <f t="shared" si="102"/>
        <v>0.51351351351351349</v>
      </c>
      <c r="P470">
        <f t="shared" si="103"/>
        <v>1016</v>
      </c>
      <c r="Q470">
        <f t="shared" si="104"/>
        <v>1044.5</v>
      </c>
    </row>
    <row r="471" spans="1:17" x14ac:dyDescent="0.35">
      <c r="A471">
        <v>2022</v>
      </c>
      <c r="B471" s="15">
        <v>175</v>
      </c>
      <c r="C471" s="15">
        <v>15</v>
      </c>
      <c r="D471" s="12">
        <f t="shared" si="92"/>
        <v>21.875</v>
      </c>
      <c r="E471" s="27">
        <f t="shared" si="93"/>
        <v>0.4375</v>
      </c>
      <c r="F471" s="27">
        <f t="shared" si="94"/>
        <v>0.3</v>
      </c>
      <c r="G471">
        <f t="shared" si="95"/>
        <v>36.875</v>
      </c>
      <c r="H471">
        <f t="shared" si="96"/>
        <v>0</v>
      </c>
      <c r="I471">
        <f t="shared" si="97"/>
        <v>-0.22474898784081401</v>
      </c>
      <c r="J471">
        <f t="shared" si="98"/>
        <v>-1.8266888546044</v>
      </c>
      <c r="K471">
        <f t="shared" si="99"/>
        <v>1.0415469132676395E-6</v>
      </c>
      <c r="L471">
        <f t="shared" si="100"/>
        <v>-1.0415474556822143E-6</v>
      </c>
      <c r="M471">
        <f t="shared" si="101"/>
        <v>0.40677966101694918</v>
      </c>
      <c r="N471">
        <f t="shared" si="102"/>
        <v>0.59322033898305082</v>
      </c>
      <c r="P471">
        <f t="shared" si="103"/>
        <v>631.5</v>
      </c>
      <c r="Q471">
        <f t="shared" si="104"/>
        <v>1094</v>
      </c>
    </row>
    <row r="472" spans="1:17" x14ac:dyDescent="0.35">
      <c r="A472">
        <v>2022</v>
      </c>
      <c r="B472" s="15">
        <v>155</v>
      </c>
      <c r="C472" s="15">
        <v>17</v>
      </c>
      <c r="D472" s="12">
        <f t="shared" si="92"/>
        <v>19.375</v>
      </c>
      <c r="E472" s="27">
        <f t="shared" si="93"/>
        <v>0.38750000000000001</v>
      </c>
      <c r="F472" s="27">
        <f t="shared" si="94"/>
        <v>0.34</v>
      </c>
      <c r="G472">
        <f t="shared" si="95"/>
        <v>36.375</v>
      </c>
      <c r="H472">
        <f t="shared" si="96"/>
        <v>0</v>
      </c>
      <c r="I472">
        <f t="shared" si="97"/>
        <v>-0.93575948632420713</v>
      </c>
      <c r="J472">
        <f t="shared" si="98"/>
        <v>-1.5956108444430555</v>
      </c>
      <c r="K472">
        <f t="shared" si="99"/>
        <v>3.7327318653848163E-7</v>
      </c>
      <c r="L472">
        <f t="shared" si="100"/>
        <v>-3.7327325624887672E-7</v>
      </c>
      <c r="M472">
        <f t="shared" si="101"/>
        <v>0.46735395189003437</v>
      </c>
      <c r="N472">
        <f t="shared" si="102"/>
        <v>0.53264604810996563</v>
      </c>
      <c r="P472">
        <f t="shared" si="103"/>
        <v>985</v>
      </c>
      <c r="Q472">
        <f t="shared" si="104"/>
        <v>1063.5</v>
      </c>
    </row>
    <row r="473" spans="1:17" x14ac:dyDescent="0.35">
      <c r="A473">
        <v>2022</v>
      </c>
      <c r="B473" s="15">
        <v>170</v>
      </c>
      <c r="C473" s="15">
        <v>15</v>
      </c>
      <c r="D473" s="12">
        <f t="shared" si="92"/>
        <v>21.25</v>
      </c>
      <c r="E473" s="27">
        <f t="shared" si="93"/>
        <v>0.42499999999999999</v>
      </c>
      <c r="F473" s="27">
        <f t="shared" si="94"/>
        <v>0.3</v>
      </c>
      <c r="G473">
        <f t="shared" si="95"/>
        <v>36.25</v>
      </c>
      <c r="H473">
        <f t="shared" si="96"/>
        <v>0</v>
      </c>
      <c r="I473">
        <f t="shared" si="97"/>
        <v>-0.40250161246166233</v>
      </c>
      <c r="J473">
        <f t="shared" si="98"/>
        <v>-1.8266888546044</v>
      </c>
      <c r="K473">
        <f t="shared" si="99"/>
        <v>4.7858703690097692E-7</v>
      </c>
      <c r="L473">
        <f t="shared" si="100"/>
        <v>-4.785871514123342E-7</v>
      </c>
      <c r="M473">
        <f t="shared" si="101"/>
        <v>0.41379310344827586</v>
      </c>
      <c r="N473">
        <f t="shared" si="102"/>
        <v>0.58620689655172409</v>
      </c>
      <c r="P473">
        <f t="shared" si="103"/>
        <v>720</v>
      </c>
      <c r="Q473">
        <f t="shared" si="104"/>
        <v>1094</v>
      </c>
    </row>
    <row r="474" spans="1:17" x14ac:dyDescent="0.35">
      <c r="A474">
        <v>2022</v>
      </c>
      <c r="B474" s="15">
        <v>159</v>
      </c>
      <c r="C474" s="15">
        <v>15</v>
      </c>
      <c r="D474" s="12">
        <f t="shared" si="92"/>
        <v>19.875</v>
      </c>
      <c r="E474" s="27">
        <f t="shared" si="93"/>
        <v>0.39750000000000002</v>
      </c>
      <c r="F474" s="27">
        <f t="shared" si="94"/>
        <v>0.3</v>
      </c>
      <c r="G474">
        <f t="shared" si="95"/>
        <v>34.875</v>
      </c>
      <c r="H474">
        <f t="shared" si="96"/>
        <v>0</v>
      </c>
      <c r="I474">
        <f t="shared" si="97"/>
        <v>-0.7935573866275285</v>
      </c>
      <c r="J474">
        <f t="shared" si="98"/>
        <v>-1.8266888546044</v>
      </c>
      <c r="K474">
        <f t="shared" si="99"/>
        <v>8.6493042093784321E-8</v>
      </c>
      <c r="L474">
        <f t="shared" si="100"/>
        <v>-8.6493045802398186E-8</v>
      </c>
      <c r="M474">
        <f t="shared" si="101"/>
        <v>0.43010752688172044</v>
      </c>
      <c r="N474">
        <f t="shared" si="102"/>
        <v>0.56989247311827962</v>
      </c>
      <c r="P474">
        <f t="shared" si="103"/>
        <v>923</v>
      </c>
      <c r="Q474">
        <f t="shared" si="104"/>
        <v>1094</v>
      </c>
    </row>
    <row r="475" spans="1:17" x14ac:dyDescent="0.35">
      <c r="A475">
        <v>2022</v>
      </c>
      <c r="B475" s="15">
        <v>164</v>
      </c>
      <c r="C475" s="15">
        <v>13</v>
      </c>
      <c r="D475" s="12">
        <f t="shared" si="92"/>
        <v>20.5</v>
      </c>
      <c r="E475" s="27">
        <f t="shared" si="93"/>
        <v>0.41</v>
      </c>
      <c r="F475" s="27">
        <f t="shared" si="94"/>
        <v>0.26</v>
      </c>
      <c r="G475">
        <f t="shared" si="95"/>
        <v>33.5</v>
      </c>
      <c r="H475">
        <f t="shared" si="96"/>
        <v>0</v>
      </c>
      <c r="I475">
        <f t="shared" si="97"/>
        <v>-0.61580476200668022</v>
      </c>
      <c r="J475">
        <f t="shared" si="98"/>
        <v>-2.0577668647657448</v>
      </c>
      <c r="K475">
        <f t="shared" si="99"/>
        <v>2.341418701852793E-8</v>
      </c>
      <c r="L475">
        <f t="shared" si="100"/>
        <v>-2.3414187307777793E-8</v>
      </c>
      <c r="M475">
        <f t="shared" si="101"/>
        <v>0.38805970149253732</v>
      </c>
      <c r="N475">
        <f t="shared" si="102"/>
        <v>0.61194029850746268</v>
      </c>
      <c r="P475">
        <f t="shared" si="103"/>
        <v>844.5</v>
      </c>
      <c r="Q475">
        <f t="shared" si="104"/>
        <v>1116.5</v>
      </c>
    </row>
    <row r="476" spans="1:17" x14ac:dyDescent="0.35">
      <c r="A476">
        <v>2022</v>
      </c>
      <c r="B476" s="15">
        <v>164</v>
      </c>
      <c r="C476" s="15">
        <v>11</v>
      </c>
      <c r="D476" s="12">
        <f t="shared" si="92"/>
        <v>20.5</v>
      </c>
      <c r="E476" s="27">
        <f t="shared" si="93"/>
        <v>0.41</v>
      </c>
      <c r="F476" s="27">
        <f t="shared" si="94"/>
        <v>0.22</v>
      </c>
      <c r="G476">
        <f t="shared" si="95"/>
        <v>31.5</v>
      </c>
      <c r="H476">
        <f t="shared" si="96"/>
        <v>0</v>
      </c>
      <c r="I476">
        <f t="shared" si="97"/>
        <v>-0.61580476200668022</v>
      </c>
      <c r="J476">
        <f t="shared" si="98"/>
        <v>-2.2888448749270891</v>
      </c>
      <c r="K476">
        <f t="shared" si="99"/>
        <v>2.9124523288663581E-9</v>
      </c>
      <c r="L476">
        <f t="shared" si="100"/>
        <v>-2.9124522835878558E-9</v>
      </c>
      <c r="M476">
        <f t="shared" si="101"/>
        <v>0.34920634920634919</v>
      </c>
      <c r="N476">
        <f t="shared" si="102"/>
        <v>0.65079365079365081</v>
      </c>
      <c r="P476">
        <f t="shared" si="103"/>
        <v>844.5</v>
      </c>
      <c r="Q476">
        <f t="shared" si="104"/>
        <v>1128</v>
      </c>
    </row>
    <row r="477" spans="1:17" x14ac:dyDescent="0.35">
      <c r="A477">
        <v>2022</v>
      </c>
      <c r="B477" s="15">
        <v>153</v>
      </c>
      <c r="C477" s="15">
        <v>10</v>
      </c>
      <c r="D477" s="12">
        <f t="shared" si="92"/>
        <v>19.125</v>
      </c>
      <c r="E477" s="27">
        <f t="shared" si="93"/>
        <v>0.38250000000000001</v>
      </c>
      <c r="F477" s="27">
        <f t="shared" si="94"/>
        <v>0.2</v>
      </c>
      <c r="G477">
        <f t="shared" si="95"/>
        <v>29.125</v>
      </c>
      <c r="H477">
        <f t="shared" si="96"/>
        <v>0</v>
      </c>
      <c r="I477">
        <f t="shared" si="97"/>
        <v>-1.0068605361725464</v>
      </c>
      <c r="J477">
        <f t="shared" si="98"/>
        <v>-2.4043838800077615</v>
      </c>
      <c r="K477">
        <f t="shared" si="99"/>
        <v>1.8563880514194755E-10</v>
      </c>
      <c r="L477">
        <f t="shared" si="100"/>
        <v>-1.8563883765256885E-10</v>
      </c>
      <c r="M477">
        <f t="shared" si="101"/>
        <v>0.34334763948497854</v>
      </c>
      <c r="N477">
        <f t="shared" si="102"/>
        <v>0.6566523605150214</v>
      </c>
      <c r="P477">
        <f t="shared" si="103"/>
        <v>1004.5</v>
      </c>
      <c r="Q477">
        <f t="shared" si="104"/>
        <v>1135</v>
      </c>
    </row>
    <row r="478" spans="1:17" x14ac:dyDescent="0.35">
      <c r="A478">
        <v>2022</v>
      </c>
      <c r="B478" s="15">
        <v>120</v>
      </c>
      <c r="C478" s="15">
        <v>12</v>
      </c>
      <c r="D478" s="12">
        <f t="shared" si="92"/>
        <v>15</v>
      </c>
      <c r="E478" s="27">
        <f t="shared" si="93"/>
        <v>0.3</v>
      </c>
      <c r="F478" s="27">
        <f t="shared" si="94"/>
        <v>0.24</v>
      </c>
      <c r="G478">
        <f t="shared" si="95"/>
        <v>27</v>
      </c>
      <c r="H478">
        <f t="shared" si="96"/>
        <v>0</v>
      </c>
      <c r="I478">
        <f t="shared" si="97"/>
        <v>-2.1800278586701451</v>
      </c>
      <c r="J478">
        <f t="shared" si="98"/>
        <v>-2.1733058698464167</v>
      </c>
      <c r="K478">
        <f t="shared" si="99"/>
        <v>8.8094590946314421E-12</v>
      </c>
      <c r="L478">
        <f t="shared" si="100"/>
        <v>-8.8095086781369578E-12</v>
      </c>
      <c r="M478">
        <f t="shared" si="101"/>
        <v>0.44444444444444442</v>
      </c>
      <c r="N478">
        <f t="shared" si="102"/>
        <v>0.55555555555555558</v>
      </c>
      <c r="P478">
        <f t="shared" si="103"/>
        <v>1142</v>
      </c>
      <c r="Q478">
        <f t="shared" si="104"/>
        <v>1122.5</v>
      </c>
    </row>
    <row r="479" spans="1:17" x14ac:dyDescent="0.35">
      <c r="A479">
        <v>2023</v>
      </c>
      <c r="B479" s="18">
        <v>177</v>
      </c>
      <c r="C479" s="20">
        <v>26</v>
      </c>
      <c r="D479" s="12">
        <f t="shared" si="92"/>
        <v>22.125</v>
      </c>
      <c r="E479" s="27">
        <f t="shared" si="93"/>
        <v>0.4425</v>
      </c>
      <c r="F479" s="27">
        <f t="shared" si="94"/>
        <v>0.52</v>
      </c>
      <c r="G479">
        <f t="shared" si="95"/>
        <v>48.125</v>
      </c>
      <c r="H479">
        <f t="shared" si="96"/>
        <v>0</v>
      </c>
      <c r="I479">
        <f t="shared" si="97"/>
        <v>-0.15364793799247473</v>
      </c>
      <c r="J479">
        <f t="shared" si="98"/>
        <v>-0.55575979871700476</v>
      </c>
      <c r="K479">
        <f t="shared" si="99"/>
        <v>0.11921911503585896</v>
      </c>
      <c r="L479">
        <f t="shared" si="100"/>
        <v>-0.12694639571181199</v>
      </c>
      <c r="M479">
        <f t="shared" si="101"/>
        <v>0.54025974025974022</v>
      </c>
      <c r="N479">
        <f t="shared" si="102"/>
        <v>0.45974025974025973</v>
      </c>
      <c r="P479">
        <f t="shared" si="103"/>
        <v>585</v>
      </c>
      <c r="Q479">
        <f t="shared" si="104"/>
        <v>796</v>
      </c>
    </row>
    <row r="480" spans="1:17" x14ac:dyDescent="0.35">
      <c r="A480">
        <v>2023</v>
      </c>
      <c r="B480" s="18">
        <v>178</v>
      </c>
      <c r="C480" s="20">
        <v>40</v>
      </c>
      <c r="D480" s="12">
        <f t="shared" si="92"/>
        <v>22.25</v>
      </c>
      <c r="E480" s="27">
        <f t="shared" si="93"/>
        <v>0.44500000000000001</v>
      </c>
      <c r="F480" s="27">
        <f t="shared" si="94"/>
        <v>0.8</v>
      </c>
      <c r="G480">
        <f t="shared" si="95"/>
        <v>62.25</v>
      </c>
      <c r="H480">
        <f t="shared" si="96"/>
        <v>1</v>
      </c>
      <c r="I480">
        <f t="shared" si="97"/>
        <v>-0.11809741306830505</v>
      </c>
      <c r="J480">
        <f t="shared" si="98"/>
        <v>1.0617862724124074</v>
      </c>
      <c r="K480">
        <f t="shared" si="99"/>
        <v>0.99999708636444706</v>
      </c>
      <c r="L480">
        <f t="shared" si="100"/>
        <v>-2.9136397975812012E-6</v>
      </c>
      <c r="M480">
        <f t="shared" si="101"/>
        <v>0.64257028112449799</v>
      </c>
      <c r="N480">
        <f t="shared" si="102"/>
        <v>0.35742971887550201</v>
      </c>
      <c r="P480">
        <f t="shared" si="103"/>
        <v>564.5</v>
      </c>
      <c r="Q480">
        <f t="shared" si="104"/>
        <v>173</v>
      </c>
    </row>
    <row r="481" spans="1:17" x14ac:dyDescent="0.35">
      <c r="A481">
        <v>2023</v>
      </c>
      <c r="B481" s="18">
        <v>194</v>
      </c>
      <c r="C481" s="20">
        <v>16</v>
      </c>
      <c r="D481" s="12">
        <f t="shared" si="92"/>
        <v>24.25</v>
      </c>
      <c r="E481" s="27">
        <f t="shared" si="93"/>
        <v>0.48499999999999999</v>
      </c>
      <c r="F481" s="27">
        <f t="shared" si="94"/>
        <v>0.32</v>
      </c>
      <c r="G481">
        <f t="shared" si="95"/>
        <v>40.25</v>
      </c>
      <c r="H481">
        <f t="shared" si="96"/>
        <v>0</v>
      </c>
      <c r="I481">
        <f t="shared" si="97"/>
        <v>0.45071098571840945</v>
      </c>
      <c r="J481">
        <f t="shared" si="98"/>
        <v>-1.7111498495237276</v>
      </c>
      <c r="K481">
        <f t="shared" si="99"/>
        <v>5.6701397690832669E-5</v>
      </c>
      <c r="L481">
        <f t="shared" si="100"/>
        <v>-5.6703005275891116E-5</v>
      </c>
      <c r="M481">
        <f t="shared" si="101"/>
        <v>0.39751552795031053</v>
      </c>
      <c r="N481">
        <f t="shared" si="102"/>
        <v>0.60248447204968947</v>
      </c>
      <c r="P481">
        <f t="shared" si="103"/>
        <v>293.5</v>
      </c>
      <c r="Q481">
        <f t="shared" si="104"/>
        <v>1079.5</v>
      </c>
    </row>
    <row r="482" spans="1:17" x14ac:dyDescent="0.35">
      <c r="A482">
        <v>2023</v>
      </c>
      <c r="B482" s="18">
        <v>181</v>
      </c>
      <c r="C482" s="20">
        <v>21</v>
      </c>
      <c r="D482" s="12">
        <f t="shared" si="92"/>
        <v>22.625</v>
      </c>
      <c r="E482" s="27">
        <f t="shared" si="93"/>
        <v>0.45250000000000001</v>
      </c>
      <c r="F482" s="27">
        <f t="shared" si="94"/>
        <v>0.42</v>
      </c>
      <c r="G482">
        <f t="shared" si="95"/>
        <v>43.625</v>
      </c>
      <c r="H482">
        <f t="shared" si="96"/>
        <v>0</v>
      </c>
      <c r="I482">
        <f t="shared" si="97"/>
        <v>-1.1445838295796084E-2</v>
      </c>
      <c r="J482">
        <f t="shared" si="98"/>
        <v>-1.1334548241203661</v>
      </c>
      <c r="K482">
        <f t="shared" si="99"/>
        <v>1.374056880652158E-3</v>
      </c>
      <c r="L482">
        <f t="shared" si="100"/>
        <v>-1.3750017624545518E-3</v>
      </c>
      <c r="M482">
        <f t="shared" si="101"/>
        <v>0.48137535816618909</v>
      </c>
      <c r="N482">
        <f t="shared" si="102"/>
        <v>0.51862464183381085</v>
      </c>
      <c r="P482">
        <f t="shared" si="103"/>
        <v>505</v>
      </c>
      <c r="Q482">
        <f t="shared" si="104"/>
        <v>967.5</v>
      </c>
    </row>
    <row r="483" spans="1:17" x14ac:dyDescent="0.35">
      <c r="A483">
        <v>2023</v>
      </c>
      <c r="B483" s="18">
        <v>186</v>
      </c>
      <c r="C483" s="20">
        <v>42</v>
      </c>
      <c r="D483" s="12">
        <f t="shared" si="92"/>
        <v>23.25</v>
      </c>
      <c r="E483" s="27">
        <f t="shared" si="93"/>
        <v>0.46500000000000002</v>
      </c>
      <c r="F483" s="27">
        <f t="shared" si="94"/>
        <v>0.84</v>
      </c>
      <c r="G483">
        <f t="shared" si="95"/>
        <v>65.25</v>
      </c>
      <c r="H483">
        <f t="shared" si="96"/>
        <v>1</v>
      </c>
      <c r="I483">
        <f t="shared" si="97"/>
        <v>0.16630678632505219</v>
      </c>
      <c r="J483">
        <f t="shared" si="98"/>
        <v>1.2928642825737522</v>
      </c>
      <c r="K483">
        <f t="shared" si="99"/>
        <v>0.99999989555993296</v>
      </c>
      <c r="L483">
        <f t="shared" si="100"/>
        <v>-1.0444007249299963E-7</v>
      </c>
      <c r="M483">
        <f t="shared" si="101"/>
        <v>0.64367816091954022</v>
      </c>
      <c r="N483">
        <f t="shared" si="102"/>
        <v>0.35632183908045978</v>
      </c>
      <c r="P483">
        <f t="shared" si="103"/>
        <v>411.5</v>
      </c>
      <c r="Q483">
        <f t="shared" si="104"/>
        <v>90.5</v>
      </c>
    </row>
    <row r="484" spans="1:17" x14ac:dyDescent="0.35">
      <c r="A484">
        <v>2023</v>
      </c>
      <c r="B484" s="18">
        <v>193</v>
      </c>
      <c r="C484" s="20">
        <v>23</v>
      </c>
      <c r="D484" s="12">
        <f t="shared" si="92"/>
        <v>24.125</v>
      </c>
      <c r="E484" s="27">
        <f t="shared" si="93"/>
        <v>0.48249999999999998</v>
      </c>
      <c r="F484" s="27">
        <f t="shared" si="94"/>
        <v>0.46</v>
      </c>
      <c r="G484">
        <f t="shared" si="95"/>
        <v>47.125</v>
      </c>
      <c r="H484">
        <f t="shared" si="96"/>
        <v>0</v>
      </c>
      <c r="I484">
        <f t="shared" si="97"/>
        <v>0.41516046079423979</v>
      </c>
      <c r="J484">
        <f t="shared" si="98"/>
        <v>-0.90237681395902158</v>
      </c>
      <c r="K484">
        <f t="shared" si="99"/>
        <v>6.6734570685432829E-2</v>
      </c>
      <c r="L484">
        <f t="shared" si="100"/>
        <v>-6.9065628439495264E-2</v>
      </c>
      <c r="M484">
        <f t="shared" si="101"/>
        <v>0.48806366047745359</v>
      </c>
      <c r="N484">
        <f t="shared" si="102"/>
        <v>0.51193633952254647</v>
      </c>
      <c r="P484">
        <f t="shared" si="103"/>
        <v>307</v>
      </c>
      <c r="Q484">
        <f t="shared" si="104"/>
        <v>904</v>
      </c>
    </row>
    <row r="485" spans="1:17" x14ac:dyDescent="0.35">
      <c r="A485">
        <v>2023</v>
      </c>
      <c r="B485" s="18">
        <v>153</v>
      </c>
      <c r="C485" s="20">
        <v>25</v>
      </c>
      <c r="D485" s="12">
        <f t="shared" si="92"/>
        <v>19.125</v>
      </c>
      <c r="E485" s="27">
        <f t="shared" si="93"/>
        <v>0.38250000000000001</v>
      </c>
      <c r="F485" s="27">
        <f t="shared" si="94"/>
        <v>0.5</v>
      </c>
      <c r="G485">
        <f t="shared" si="95"/>
        <v>44.125</v>
      </c>
      <c r="H485">
        <f t="shared" si="96"/>
        <v>0</v>
      </c>
      <c r="I485">
        <f t="shared" si="97"/>
        <v>-1.0068605361725464</v>
      </c>
      <c r="J485">
        <f t="shared" si="98"/>
        <v>-0.67129880379767704</v>
      </c>
      <c r="K485">
        <f t="shared" si="99"/>
        <v>1.1411031489315907E-3</v>
      </c>
      <c r="L485">
        <f t="shared" si="100"/>
        <v>-1.141754702837121E-3</v>
      </c>
      <c r="M485">
        <f t="shared" si="101"/>
        <v>0.56657223796033995</v>
      </c>
      <c r="N485">
        <f t="shared" si="102"/>
        <v>0.43342776203966005</v>
      </c>
      <c r="P485">
        <f t="shared" si="103"/>
        <v>1004.5</v>
      </c>
      <c r="Q485">
        <f t="shared" si="104"/>
        <v>835</v>
      </c>
    </row>
    <row r="486" spans="1:17" x14ac:dyDescent="0.35">
      <c r="A486">
        <v>2023</v>
      </c>
      <c r="B486" s="18">
        <v>156</v>
      </c>
      <c r="C486" s="20">
        <v>29</v>
      </c>
      <c r="D486" s="12">
        <f t="shared" si="92"/>
        <v>19.5</v>
      </c>
      <c r="E486" s="27">
        <f t="shared" si="93"/>
        <v>0.39</v>
      </c>
      <c r="F486" s="27">
        <f t="shared" si="94"/>
        <v>0.57999999999999996</v>
      </c>
      <c r="G486">
        <f t="shared" si="95"/>
        <v>48.5</v>
      </c>
      <c r="H486">
        <f t="shared" si="96"/>
        <v>0</v>
      </c>
      <c r="I486">
        <f t="shared" si="97"/>
        <v>-0.90020896140003748</v>
      </c>
      <c r="J486">
        <f t="shared" si="98"/>
        <v>-0.2091427834749878</v>
      </c>
      <c r="K486">
        <f t="shared" si="99"/>
        <v>0.10533064544585009</v>
      </c>
      <c r="L486">
        <f t="shared" si="100"/>
        <v>-0.1113010652180124</v>
      </c>
      <c r="M486">
        <f t="shared" si="101"/>
        <v>0.59793814432989689</v>
      </c>
      <c r="N486">
        <f t="shared" si="102"/>
        <v>0.40206185567010311</v>
      </c>
      <c r="P486">
        <f t="shared" si="103"/>
        <v>968</v>
      </c>
      <c r="Q486">
        <f t="shared" si="104"/>
        <v>671</v>
      </c>
    </row>
    <row r="487" spans="1:17" x14ac:dyDescent="0.35">
      <c r="A487">
        <v>2023</v>
      </c>
      <c r="B487" s="18">
        <v>193</v>
      </c>
      <c r="C487" s="20">
        <v>36</v>
      </c>
      <c r="D487" s="12">
        <f t="shared" si="92"/>
        <v>24.125</v>
      </c>
      <c r="E487" s="27">
        <f t="shared" si="93"/>
        <v>0.48249999999999998</v>
      </c>
      <c r="F487" s="27">
        <f t="shared" si="94"/>
        <v>0.72</v>
      </c>
      <c r="G487">
        <f t="shared" si="95"/>
        <v>60.125</v>
      </c>
      <c r="H487">
        <f t="shared" si="96"/>
        <v>1</v>
      </c>
      <c r="I487">
        <f t="shared" si="97"/>
        <v>0.41516046079423979</v>
      </c>
      <c r="J487">
        <f t="shared" si="98"/>
        <v>0.59963025208971832</v>
      </c>
      <c r="K487">
        <f t="shared" si="99"/>
        <v>0.9999817310055964</v>
      </c>
      <c r="L487">
        <f t="shared" si="100"/>
        <v>-1.8269161283713717E-5</v>
      </c>
      <c r="M487">
        <f t="shared" si="101"/>
        <v>0.59875259875259879</v>
      </c>
      <c r="N487">
        <f t="shared" si="102"/>
        <v>0.40124740124740127</v>
      </c>
      <c r="P487">
        <f t="shared" si="103"/>
        <v>307</v>
      </c>
      <c r="Q487">
        <f t="shared" si="104"/>
        <v>403.5</v>
      </c>
    </row>
    <row r="488" spans="1:17" x14ac:dyDescent="0.35">
      <c r="A488">
        <v>2023</v>
      </c>
      <c r="B488" s="18">
        <v>181</v>
      </c>
      <c r="C488" s="20">
        <v>21</v>
      </c>
      <c r="D488" s="12">
        <f t="shared" si="92"/>
        <v>22.625</v>
      </c>
      <c r="E488" s="27">
        <f t="shared" si="93"/>
        <v>0.45250000000000001</v>
      </c>
      <c r="F488" s="27">
        <f t="shared" si="94"/>
        <v>0.42</v>
      </c>
      <c r="G488">
        <f t="shared" si="95"/>
        <v>43.625</v>
      </c>
      <c r="H488">
        <f t="shared" si="96"/>
        <v>0</v>
      </c>
      <c r="I488">
        <f t="shared" si="97"/>
        <v>-1.1445838295796084E-2</v>
      </c>
      <c r="J488">
        <f t="shared" si="98"/>
        <v>-1.1334548241203661</v>
      </c>
      <c r="K488">
        <f t="shared" si="99"/>
        <v>1.374056880652158E-3</v>
      </c>
      <c r="L488">
        <f t="shared" si="100"/>
        <v>-1.3750017624545518E-3</v>
      </c>
      <c r="M488">
        <f t="shared" si="101"/>
        <v>0.48137535816618909</v>
      </c>
      <c r="N488">
        <f t="shared" si="102"/>
        <v>0.51862464183381085</v>
      </c>
      <c r="P488">
        <f t="shared" si="103"/>
        <v>505</v>
      </c>
      <c r="Q488">
        <f t="shared" si="104"/>
        <v>967.5</v>
      </c>
    </row>
    <row r="489" spans="1:17" x14ac:dyDescent="0.35">
      <c r="A489">
        <v>2023</v>
      </c>
      <c r="B489" s="18">
        <v>217</v>
      </c>
      <c r="C489" s="20">
        <v>39</v>
      </c>
      <c r="D489" s="12">
        <f t="shared" si="92"/>
        <v>27.125</v>
      </c>
      <c r="E489" s="27">
        <f t="shared" si="93"/>
        <v>0.54249999999999998</v>
      </c>
      <c r="F489" s="27">
        <f t="shared" si="94"/>
        <v>0.78</v>
      </c>
      <c r="G489">
        <f t="shared" si="95"/>
        <v>66.125</v>
      </c>
      <c r="H489">
        <f t="shared" si="96"/>
        <v>1</v>
      </c>
      <c r="I489">
        <f t="shared" si="97"/>
        <v>1.2683730589743116</v>
      </c>
      <c r="J489">
        <f t="shared" si="98"/>
        <v>0.94624726733173525</v>
      </c>
      <c r="K489">
        <f t="shared" si="99"/>
        <v>0.99999998082015684</v>
      </c>
      <c r="L489">
        <f t="shared" si="100"/>
        <v>-1.9179843342067896E-8</v>
      </c>
      <c r="M489">
        <f t="shared" si="101"/>
        <v>0.58979206049149335</v>
      </c>
      <c r="N489">
        <f t="shared" si="102"/>
        <v>0.41020793950850659</v>
      </c>
      <c r="P489">
        <f t="shared" si="103"/>
        <v>93.5</v>
      </c>
      <c r="Q489">
        <f t="shared" si="104"/>
        <v>233</v>
      </c>
    </row>
    <row r="490" spans="1:17" x14ac:dyDescent="0.35">
      <c r="A490">
        <v>2023</v>
      </c>
      <c r="B490" s="18">
        <v>201</v>
      </c>
      <c r="C490" s="20">
        <v>39</v>
      </c>
      <c r="D490" s="12">
        <f t="shared" si="92"/>
        <v>25.125</v>
      </c>
      <c r="E490" s="27">
        <f t="shared" si="93"/>
        <v>0.50249999999999995</v>
      </c>
      <c r="F490" s="27">
        <f t="shared" si="94"/>
        <v>0.78</v>
      </c>
      <c r="G490">
        <f t="shared" si="95"/>
        <v>64.125</v>
      </c>
      <c r="H490">
        <f t="shared" si="96"/>
        <v>1</v>
      </c>
      <c r="I490">
        <f t="shared" si="97"/>
        <v>0.69956466018759711</v>
      </c>
      <c r="J490">
        <f t="shared" si="98"/>
        <v>0.94624726733173525</v>
      </c>
      <c r="K490">
        <f t="shared" si="99"/>
        <v>0.9999997690366671</v>
      </c>
      <c r="L490">
        <f t="shared" si="100"/>
        <v>-2.3096335957543467E-7</v>
      </c>
      <c r="M490">
        <f t="shared" si="101"/>
        <v>0.60818713450292394</v>
      </c>
      <c r="N490">
        <f t="shared" si="102"/>
        <v>0.391812865497076</v>
      </c>
      <c r="P490">
        <f t="shared" si="103"/>
        <v>219.5</v>
      </c>
      <c r="Q490">
        <f t="shared" si="104"/>
        <v>233</v>
      </c>
    </row>
    <row r="491" spans="1:17" x14ac:dyDescent="0.35">
      <c r="A491">
        <v>2023</v>
      </c>
      <c r="B491" s="18">
        <v>206</v>
      </c>
      <c r="C491" s="20">
        <v>28</v>
      </c>
      <c r="D491" s="12">
        <f t="shared" si="92"/>
        <v>25.75</v>
      </c>
      <c r="E491" s="27">
        <f t="shared" si="93"/>
        <v>0.51500000000000001</v>
      </c>
      <c r="F491" s="27">
        <f t="shared" si="94"/>
        <v>0.56000000000000005</v>
      </c>
      <c r="G491">
        <f t="shared" si="95"/>
        <v>53.75</v>
      </c>
      <c r="H491">
        <f t="shared" si="96"/>
        <v>1</v>
      </c>
      <c r="I491">
        <f t="shared" si="97"/>
        <v>0.8773172848084454</v>
      </c>
      <c r="J491">
        <f t="shared" si="98"/>
        <v>-0.3246817885556601</v>
      </c>
      <c r="K491">
        <f t="shared" si="99"/>
        <v>0.98999608643208037</v>
      </c>
      <c r="L491">
        <f t="shared" si="100"/>
        <v>-1.0054288960223676E-2</v>
      </c>
      <c r="M491">
        <f t="shared" si="101"/>
        <v>0.52093023255813953</v>
      </c>
      <c r="N491">
        <f t="shared" si="102"/>
        <v>0.47906976744186047</v>
      </c>
      <c r="P491">
        <f t="shared" si="103"/>
        <v>178</v>
      </c>
      <c r="Q491">
        <f t="shared" si="104"/>
        <v>709.5</v>
      </c>
    </row>
    <row r="492" spans="1:17" x14ac:dyDescent="0.35">
      <c r="A492">
        <v>2023</v>
      </c>
      <c r="B492" s="18">
        <v>166</v>
      </c>
      <c r="C492" s="20">
        <v>36</v>
      </c>
      <c r="D492" s="12">
        <f t="shared" si="92"/>
        <v>20.75</v>
      </c>
      <c r="E492" s="27">
        <f t="shared" si="93"/>
        <v>0.41499999999999998</v>
      </c>
      <c r="F492" s="27">
        <f t="shared" si="94"/>
        <v>0.72</v>
      </c>
      <c r="G492">
        <f t="shared" si="95"/>
        <v>56.75</v>
      </c>
      <c r="H492">
        <f t="shared" si="96"/>
        <v>1</v>
      </c>
      <c r="I492">
        <f t="shared" si="97"/>
        <v>-0.5447037121583409</v>
      </c>
      <c r="J492">
        <f t="shared" si="98"/>
        <v>0.59963025208971832</v>
      </c>
      <c r="K492">
        <f t="shared" si="99"/>
        <v>0.99878417173310796</v>
      </c>
      <c r="L492">
        <f t="shared" si="100"/>
        <v>-1.2165679857208214E-3</v>
      </c>
      <c r="M492">
        <f t="shared" si="101"/>
        <v>0.63436123348017626</v>
      </c>
      <c r="N492">
        <f t="shared" si="102"/>
        <v>0.3656387665198238</v>
      </c>
      <c r="P492">
        <f t="shared" si="103"/>
        <v>809</v>
      </c>
      <c r="Q492">
        <f t="shared" si="104"/>
        <v>403.5</v>
      </c>
    </row>
    <row r="493" spans="1:17" x14ac:dyDescent="0.35">
      <c r="A493">
        <v>2023</v>
      </c>
      <c r="B493" s="18">
        <v>210</v>
      </c>
      <c r="C493" s="20">
        <v>40</v>
      </c>
      <c r="D493" s="12">
        <f t="shared" si="92"/>
        <v>26.25</v>
      </c>
      <c r="E493" s="27">
        <f t="shared" si="93"/>
        <v>0.52500000000000002</v>
      </c>
      <c r="F493" s="27">
        <f t="shared" si="94"/>
        <v>0.8</v>
      </c>
      <c r="G493">
        <f t="shared" si="95"/>
        <v>66.25</v>
      </c>
      <c r="H493">
        <f t="shared" si="96"/>
        <v>1</v>
      </c>
      <c r="I493">
        <f t="shared" si="97"/>
        <v>1.019519384505124</v>
      </c>
      <c r="J493">
        <f t="shared" si="98"/>
        <v>1.0617862724124074</v>
      </c>
      <c r="K493">
        <f t="shared" si="99"/>
        <v>0.99999997990720635</v>
      </c>
      <c r="L493">
        <f t="shared" si="100"/>
        <v>-2.0092793852976561E-8</v>
      </c>
      <c r="M493">
        <f t="shared" si="101"/>
        <v>0.60377358490566035</v>
      </c>
      <c r="N493">
        <f t="shared" si="102"/>
        <v>0.39622641509433965</v>
      </c>
      <c r="P493">
        <f t="shared" si="103"/>
        <v>138.5</v>
      </c>
      <c r="Q493">
        <f t="shared" si="104"/>
        <v>173</v>
      </c>
    </row>
    <row r="494" spans="1:17" x14ac:dyDescent="0.35">
      <c r="A494">
        <v>2023</v>
      </c>
      <c r="B494" s="18">
        <v>176</v>
      </c>
      <c r="C494" s="20">
        <v>30</v>
      </c>
      <c r="D494" s="12">
        <f t="shared" si="92"/>
        <v>22</v>
      </c>
      <c r="E494" s="27">
        <f t="shared" si="93"/>
        <v>0.44</v>
      </c>
      <c r="F494" s="27">
        <f t="shared" si="94"/>
        <v>0.6</v>
      </c>
      <c r="G494">
        <f t="shared" si="95"/>
        <v>52</v>
      </c>
      <c r="H494">
        <f t="shared" si="96"/>
        <v>1</v>
      </c>
      <c r="I494">
        <f t="shared" si="97"/>
        <v>-0.18919846291664436</v>
      </c>
      <c r="J494">
        <f t="shared" si="98"/>
        <v>-9.3603778394315509E-2</v>
      </c>
      <c r="K494">
        <f t="shared" si="99"/>
        <v>0.88218878931699618</v>
      </c>
      <c r="L494">
        <f t="shared" si="100"/>
        <v>-0.12534919903543634</v>
      </c>
      <c r="M494">
        <f t="shared" si="101"/>
        <v>0.57692307692307687</v>
      </c>
      <c r="N494">
        <f t="shared" si="102"/>
        <v>0.42307692307692307</v>
      </c>
      <c r="P494">
        <f t="shared" si="103"/>
        <v>607.5</v>
      </c>
      <c r="Q494">
        <f t="shared" si="104"/>
        <v>639</v>
      </c>
    </row>
    <row r="495" spans="1:17" x14ac:dyDescent="0.35">
      <c r="A495">
        <v>2023</v>
      </c>
      <c r="B495" s="18">
        <v>167</v>
      </c>
      <c r="C495" s="20">
        <v>39</v>
      </c>
      <c r="D495" s="12">
        <f t="shared" si="92"/>
        <v>20.875</v>
      </c>
      <c r="E495" s="27">
        <f t="shared" si="93"/>
        <v>0.41749999999999998</v>
      </c>
      <c r="F495" s="27">
        <f t="shared" si="94"/>
        <v>0.78</v>
      </c>
      <c r="G495">
        <f t="shared" si="95"/>
        <v>59.875</v>
      </c>
      <c r="H495">
        <f t="shared" si="96"/>
        <v>1</v>
      </c>
      <c r="I495">
        <f t="shared" si="97"/>
        <v>-0.50915318723417125</v>
      </c>
      <c r="J495">
        <f t="shared" si="98"/>
        <v>0.94624726733173525</v>
      </c>
      <c r="K495">
        <f t="shared" si="99"/>
        <v>0.99995429047548012</v>
      </c>
      <c r="L495">
        <f t="shared" si="100"/>
        <v>-4.5710569232028431E-5</v>
      </c>
      <c r="M495">
        <f t="shared" si="101"/>
        <v>0.65135699373695199</v>
      </c>
      <c r="N495">
        <f t="shared" si="102"/>
        <v>0.34864300626304801</v>
      </c>
      <c r="P495">
        <f t="shared" si="103"/>
        <v>789.5</v>
      </c>
      <c r="Q495">
        <f t="shared" si="104"/>
        <v>233</v>
      </c>
    </row>
    <row r="496" spans="1:17" x14ac:dyDescent="0.35">
      <c r="A496">
        <v>2023</v>
      </c>
      <c r="B496" s="18">
        <v>159</v>
      </c>
      <c r="C496" s="20">
        <v>36</v>
      </c>
      <c r="D496" s="12">
        <f t="shared" si="92"/>
        <v>19.875</v>
      </c>
      <c r="E496" s="27">
        <f t="shared" si="93"/>
        <v>0.39750000000000002</v>
      </c>
      <c r="F496" s="27">
        <f t="shared" si="94"/>
        <v>0.72</v>
      </c>
      <c r="G496">
        <f t="shared" si="95"/>
        <v>55.875</v>
      </c>
      <c r="H496">
        <f t="shared" si="96"/>
        <v>1</v>
      </c>
      <c r="I496">
        <f t="shared" si="97"/>
        <v>-0.7935573866275285</v>
      </c>
      <c r="J496">
        <f t="shared" si="98"/>
        <v>0.59963025208971832</v>
      </c>
      <c r="K496">
        <f t="shared" si="99"/>
        <v>0.99639721373195478</v>
      </c>
      <c r="L496">
        <f t="shared" si="100"/>
        <v>-3.6092919328721321E-3</v>
      </c>
      <c r="M496">
        <f t="shared" si="101"/>
        <v>0.64429530201342278</v>
      </c>
      <c r="N496">
        <f t="shared" si="102"/>
        <v>0.35570469798657717</v>
      </c>
      <c r="P496">
        <f t="shared" si="103"/>
        <v>923</v>
      </c>
      <c r="Q496">
        <f t="shared" si="104"/>
        <v>403.5</v>
      </c>
    </row>
    <row r="497" spans="1:17" x14ac:dyDescent="0.35">
      <c r="A497">
        <v>2023</v>
      </c>
      <c r="B497" s="18">
        <v>166</v>
      </c>
      <c r="C497" s="20">
        <v>29</v>
      </c>
      <c r="D497" s="12">
        <f t="shared" si="92"/>
        <v>20.75</v>
      </c>
      <c r="E497" s="27">
        <f t="shared" si="93"/>
        <v>0.41499999999999998</v>
      </c>
      <c r="F497" s="27">
        <f t="shared" si="94"/>
        <v>0.57999999999999996</v>
      </c>
      <c r="G497">
        <f t="shared" si="95"/>
        <v>49.75</v>
      </c>
      <c r="H497">
        <f t="shared" si="96"/>
        <v>0</v>
      </c>
      <c r="I497">
        <f t="shared" si="97"/>
        <v>-0.5447037121583409</v>
      </c>
      <c r="J497">
        <f t="shared" si="98"/>
        <v>-0.2091427834749878</v>
      </c>
      <c r="K497">
        <f t="shared" si="99"/>
        <v>0.35798967217312194</v>
      </c>
      <c r="L497">
        <f t="shared" si="100"/>
        <v>-0.44315088846381562</v>
      </c>
      <c r="M497">
        <f t="shared" si="101"/>
        <v>0.58291457286432158</v>
      </c>
      <c r="N497">
        <f t="shared" si="102"/>
        <v>0.41708542713567837</v>
      </c>
      <c r="P497">
        <f t="shared" si="103"/>
        <v>809</v>
      </c>
      <c r="Q497">
        <f t="shared" si="104"/>
        <v>671</v>
      </c>
    </row>
    <row r="498" spans="1:17" x14ac:dyDescent="0.35">
      <c r="A498">
        <v>2023</v>
      </c>
      <c r="B498" s="18">
        <v>152</v>
      </c>
      <c r="C498" s="20">
        <v>42</v>
      </c>
      <c r="D498" s="12">
        <f t="shared" si="92"/>
        <v>19</v>
      </c>
      <c r="E498" s="27">
        <f t="shared" si="93"/>
        <v>0.38</v>
      </c>
      <c r="F498" s="27">
        <f t="shared" si="94"/>
        <v>0.84</v>
      </c>
      <c r="G498">
        <f t="shared" si="95"/>
        <v>61</v>
      </c>
      <c r="H498">
        <f t="shared" si="96"/>
        <v>1</v>
      </c>
      <c r="I498">
        <f t="shared" si="97"/>
        <v>-1.0424110610967161</v>
      </c>
      <c r="J498">
        <f t="shared" si="98"/>
        <v>1.2928642825737522</v>
      </c>
      <c r="K498">
        <f t="shared" si="99"/>
        <v>0.99997932994520178</v>
      </c>
      <c r="L498">
        <f t="shared" si="100"/>
        <v>-2.0670268426748419E-5</v>
      </c>
      <c r="M498">
        <f t="shared" si="101"/>
        <v>0.68852459016393441</v>
      </c>
      <c r="N498">
        <f t="shared" si="102"/>
        <v>0.31147540983606559</v>
      </c>
      <c r="P498">
        <f t="shared" si="103"/>
        <v>1016</v>
      </c>
      <c r="Q498">
        <f t="shared" si="104"/>
        <v>90.5</v>
      </c>
    </row>
    <row r="499" spans="1:17" x14ac:dyDescent="0.35">
      <c r="A499">
        <v>2023</v>
      </c>
      <c r="B499" s="18">
        <v>165</v>
      </c>
      <c r="C499" s="20">
        <v>38</v>
      </c>
      <c r="D499" s="12">
        <f t="shared" si="92"/>
        <v>20.625</v>
      </c>
      <c r="E499" s="27">
        <f t="shared" si="93"/>
        <v>0.41249999999999998</v>
      </c>
      <c r="F499" s="27">
        <f t="shared" si="94"/>
        <v>0.76</v>
      </c>
      <c r="G499">
        <f t="shared" si="95"/>
        <v>58.625</v>
      </c>
      <c r="H499">
        <f t="shared" si="96"/>
        <v>1</v>
      </c>
      <c r="I499">
        <f t="shared" si="97"/>
        <v>-0.58025423708251056</v>
      </c>
      <c r="J499">
        <f t="shared" si="98"/>
        <v>0.83070826225106287</v>
      </c>
      <c r="K499">
        <f t="shared" si="99"/>
        <v>0.99982313286972513</v>
      </c>
      <c r="L499">
        <f t="shared" si="100"/>
        <v>-1.7688277311025339E-4</v>
      </c>
      <c r="M499">
        <f t="shared" si="101"/>
        <v>0.64818763326226014</v>
      </c>
      <c r="N499">
        <f t="shared" si="102"/>
        <v>0.35181236673773986</v>
      </c>
      <c r="P499">
        <f t="shared" si="103"/>
        <v>826.5</v>
      </c>
      <c r="Q499">
        <f t="shared" si="104"/>
        <v>297.5</v>
      </c>
    </row>
    <row r="500" spans="1:17" x14ac:dyDescent="0.35">
      <c r="A500">
        <v>2023</v>
      </c>
      <c r="B500" s="18">
        <v>175</v>
      </c>
      <c r="C500" s="20">
        <v>25</v>
      </c>
      <c r="D500" s="12">
        <f t="shared" si="92"/>
        <v>21.875</v>
      </c>
      <c r="E500" s="27">
        <f t="shared" si="93"/>
        <v>0.4375</v>
      </c>
      <c r="F500" s="27">
        <f t="shared" si="94"/>
        <v>0.5</v>
      </c>
      <c r="G500">
        <f t="shared" si="95"/>
        <v>46.875</v>
      </c>
      <c r="H500">
        <f t="shared" si="96"/>
        <v>0</v>
      </c>
      <c r="I500">
        <f t="shared" si="97"/>
        <v>-0.22474898784081401</v>
      </c>
      <c r="J500">
        <f t="shared" si="98"/>
        <v>-0.67129880379767704</v>
      </c>
      <c r="K500">
        <f t="shared" si="99"/>
        <v>3.379480825393405E-2</v>
      </c>
      <c r="L500">
        <f t="shared" si="100"/>
        <v>-3.4379053510436255E-2</v>
      </c>
      <c r="M500">
        <f t="shared" si="101"/>
        <v>0.53333333333333333</v>
      </c>
      <c r="N500">
        <f t="shared" si="102"/>
        <v>0.46666666666666667</v>
      </c>
      <c r="P500">
        <f t="shared" si="103"/>
        <v>631.5</v>
      </c>
      <c r="Q500">
        <f t="shared" si="104"/>
        <v>835</v>
      </c>
    </row>
    <row r="501" spans="1:17" x14ac:dyDescent="0.35">
      <c r="A501">
        <v>2023</v>
      </c>
      <c r="B501" s="18">
        <v>169</v>
      </c>
      <c r="C501" s="20">
        <v>30</v>
      </c>
      <c r="D501" s="12">
        <f t="shared" si="92"/>
        <v>21.125</v>
      </c>
      <c r="E501" s="27">
        <f t="shared" si="93"/>
        <v>0.42249999999999999</v>
      </c>
      <c r="F501" s="27">
        <f t="shared" si="94"/>
        <v>0.6</v>
      </c>
      <c r="G501">
        <f t="shared" si="95"/>
        <v>51.125</v>
      </c>
      <c r="H501">
        <f t="shared" si="96"/>
        <v>1</v>
      </c>
      <c r="I501">
        <f t="shared" si="97"/>
        <v>-0.43805213738583199</v>
      </c>
      <c r="J501">
        <f t="shared" si="98"/>
        <v>-9.3603778394315509E-2</v>
      </c>
      <c r="K501">
        <f t="shared" si="99"/>
        <v>0.71598821193057383</v>
      </c>
      <c r="L501">
        <f t="shared" si="100"/>
        <v>-0.33409157594113581</v>
      </c>
      <c r="M501">
        <f t="shared" si="101"/>
        <v>0.58679706601466997</v>
      </c>
      <c r="N501">
        <f t="shared" si="102"/>
        <v>0.41320293398533009</v>
      </c>
      <c r="P501">
        <f t="shared" si="103"/>
        <v>744.5</v>
      </c>
      <c r="Q501">
        <f t="shared" si="104"/>
        <v>639</v>
      </c>
    </row>
    <row r="502" spans="1:17" x14ac:dyDescent="0.35">
      <c r="A502">
        <v>2023</v>
      </c>
      <c r="B502" s="18">
        <v>165</v>
      </c>
      <c r="C502" s="20">
        <v>25</v>
      </c>
      <c r="D502" s="12">
        <f t="shared" si="92"/>
        <v>20.625</v>
      </c>
      <c r="E502" s="27">
        <f t="shared" si="93"/>
        <v>0.41249999999999998</v>
      </c>
      <c r="F502" s="27">
        <f t="shared" si="94"/>
        <v>0.5</v>
      </c>
      <c r="G502">
        <f t="shared" si="95"/>
        <v>45.625</v>
      </c>
      <c r="H502">
        <f t="shared" si="96"/>
        <v>0</v>
      </c>
      <c r="I502">
        <f t="shared" si="97"/>
        <v>-0.58025423708251056</v>
      </c>
      <c r="J502">
        <f t="shared" si="98"/>
        <v>-0.67129880379767704</v>
      </c>
      <c r="K502">
        <f t="shared" si="99"/>
        <v>7.330758051846264E-3</v>
      </c>
      <c r="L502">
        <f t="shared" si="100"/>
        <v>-7.3577601032569599E-3</v>
      </c>
      <c r="M502">
        <f t="shared" si="101"/>
        <v>0.54794520547945202</v>
      </c>
      <c r="N502">
        <f t="shared" si="102"/>
        <v>0.45205479452054792</v>
      </c>
      <c r="P502">
        <f t="shared" si="103"/>
        <v>826.5</v>
      </c>
      <c r="Q502">
        <f t="shared" si="104"/>
        <v>835</v>
      </c>
    </row>
    <row r="503" spans="1:17" x14ac:dyDescent="0.35">
      <c r="A503">
        <v>2023</v>
      </c>
      <c r="B503" s="18">
        <v>170</v>
      </c>
      <c r="C503" s="20">
        <v>35</v>
      </c>
      <c r="D503" s="12">
        <f t="shared" si="92"/>
        <v>21.25</v>
      </c>
      <c r="E503" s="27">
        <f t="shared" si="93"/>
        <v>0.42499999999999999</v>
      </c>
      <c r="F503" s="27">
        <f t="shared" si="94"/>
        <v>0.7</v>
      </c>
      <c r="G503">
        <f t="shared" si="95"/>
        <v>56.25</v>
      </c>
      <c r="H503">
        <f t="shared" si="96"/>
        <v>1</v>
      </c>
      <c r="I503">
        <f t="shared" si="97"/>
        <v>-0.40250161246166233</v>
      </c>
      <c r="J503">
        <f t="shared" si="98"/>
        <v>0.48409124700904599</v>
      </c>
      <c r="K503">
        <f t="shared" si="99"/>
        <v>0.99815059397617012</v>
      </c>
      <c r="L503">
        <f t="shared" si="100"/>
        <v>-1.8511182865887565E-3</v>
      </c>
      <c r="M503">
        <f t="shared" si="101"/>
        <v>0.62222222222222223</v>
      </c>
      <c r="N503">
        <f t="shared" si="102"/>
        <v>0.37777777777777777</v>
      </c>
      <c r="P503">
        <f t="shared" si="103"/>
        <v>720</v>
      </c>
      <c r="Q503">
        <f t="shared" si="104"/>
        <v>448.5</v>
      </c>
    </row>
    <row r="504" spans="1:17" x14ac:dyDescent="0.35">
      <c r="A504">
        <v>2023</v>
      </c>
      <c r="B504" s="18">
        <v>183</v>
      </c>
      <c r="C504" s="21">
        <v>29</v>
      </c>
      <c r="D504" s="12">
        <f t="shared" si="92"/>
        <v>22.875</v>
      </c>
      <c r="E504" s="27">
        <f t="shared" si="93"/>
        <v>0.45750000000000002</v>
      </c>
      <c r="F504" s="27">
        <f t="shared" si="94"/>
        <v>0.57999999999999996</v>
      </c>
      <c r="G504">
        <f t="shared" si="95"/>
        <v>51.875</v>
      </c>
      <c r="H504">
        <f t="shared" si="96"/>
        <v>1</v>
      </c>
      <c r="I504">
        <f t="shared" si="97"/>
        <v>5.9655211552543233E-2</v>
      </c>
      <c r="J504">
        <f t="shared" si="98"/>
        <v>-0.2091427834749878</v>
      </c>
      <c r="K504">
        <f t="shared" si="99"/>
        <v>0.88693652066204043</v>
      </c>
      <c r="L504">
        <f t="shared" si="100"/>
        <v>-0.11998186556721335</v>
      </c>
      <c r="M504">
        <f t="shared" si="101"/>
        <v>0.5590361445783133</v>
      </c>
      <c r="N504">
        <f t="shared" si="102"/>
        <v>0.44096385542168676</v>
      </c>
      <c r="P504">
        <f t="shared" si="103"/>
        <v>465</v>
      </c>
      <c r="Q504">
        <f t="shared" si="104"/>
        <v>671</v>
      </c>
    </row>
    <row r="505" spans="1:17" x14ac:dyDescent="0.35">
      <c r="A505">
        <v>2023</v>
      </c>
      <c r="B505" s="18">
        <v>212</v>
      </c>
      <c r="C505" s="20">
        <v>41</v>
      </c>
      <c r="D505" s="12">
        <f t="shared" si="92"/>
        <v>26.5</v>
      </c>
      <c r="E505" s="27">
        <f t="shared" si="93"/>
        <v>0.53</v>
      </c>
      <c r="F505" s="27">
        <f t="shared" si="94"/>
        <v>0.82</v>
      </c>
      <c r="G505">
        <f t="shared" si="95"/>
        <v>67.5</v>
      </c>
      <c r="H505">
        <f t="shared" si="96"/>
        <v>1</v>
      </c>
      <c r="I505">
        <f t="shared" si="97"/>
        <v>1.0906204343534633</v>
      </c>
      <c r="J505">
        <f t="shared" si="98"/>
        <v>1.1773252774930798</v>
      </c>
      <c r="K505">
        <f t="shared" si="99"/>
        <v>0.99999999480790125</v>
      </c>
      <c r="L505">
        <f t="shared" si="100"/>
        <v>-5.1920987644180115E-9</v>
      </c>
      <c r="M505">
        <f t="shared" si="101"/>
        <v>0.6074074074074074</v>
      </c>
      <c r="N505">
        <f t="shared" si="102"/>
        <v>0.3925925925925926</v>
      </c>
      <c r="P505">
        <f t="shared" si="103"/>
        <v>121</v>
      </c>
      <c r="Q505">
        <f t="shared" si="104"/>
        <v>129.5</v>
      </c>
    </row>
    <row r="506" spans="1:17" x14ac:dyDescent="0.35">
      <c r="A506">
        <v>2023</v>
      </c>
      <c r="B506" s="18">
        <v>167</v>
      </c>
      <c r="C506" s="20">
        <v>31</v>
      </c>
      <c r="D506" s="12">
        <f t="shared" si="92"/>
        <v>20.875</v>
      </c>
      <c r="E506" s="27">
        <f t="shared" si="93"/>
        <v>0.41749999999999998</v>
      </c>
      <c r="F506" s="27">
        <f t="shared" si="94"/>
        <v>0.62</v>
      </c>
      <c r="G506">
        <f t="shared" si="95"/>
        <v>51.875</v>
      </c>
      <c r="H506">
        <f t="shared" si="96"/>
        <v>1</v>
      </c>
      <c r="I506">
        <f t="shared" si="97"/>
        <v>-0.50915318723417125</v>
      </c>
      <c r="J506">
        <f t="shared" si="98"/>
        <v>2.1935226686356796E-2</v>
      </c>
      <c r="K506">
        <f t="shared" si="99"/>
        <v>0.8396695458951936</v>
      </c>
      <c r="L506">
        <f t="shared" si="100"/>
        <v>-0.17474686228978761</v>
      </c>
      <c r="M506">
        <f t="shared" si="101"/>
        <v>0.59759036144578315</v>
      </c>
      <c r="N506">
        <f t="shared" si="102"/>
        <v>0.40240963855421685</v>
      </c>
      <c r="P506">
        <f t="shared" si="103"/>
        <v>789.5</v>
      </c>
      <c r="Q506">
        <f t="shared" si="104"/>
        <v>605</v>
      </c>
    </row>
    <row r="507" spans="1:17" x14ac:dyDescent="0.35">
      <c r="A507">
        <v>2023</v>
      </c>
      <c r="B507" s="18">
        <v>182</v>
      </c>
      <c r="C507" s="20">
        <v>10</v>
      </c>
      <c r="D507" s="12">
        <f t="shared" si="92"/>
        <v>22.75</v>
      </c>
      <c r="E507" s="27">
        <f t="shared" si="93"/>
        <v>0.45500000000000002</v>
      </c>
      <c r="F507" s="27">
        <f t="shared" si="94"/>
        <v>0.2</v>
      </c>
      <c r="G507">
        <f t="shared" si="95"/>
        <v>32.75</v>
      </c>
      <c r="H507">
        <f t="shared" si="96"/>
        <v>0</v>
      </c>
      <c r="I507">
        <f t="shared" si="97"/>
        <v>2.4104686628373572E-2</v>
      </c>
      <c r="J507">
        <f t="shared" si="98"/>
        <v>-2.4043838800077615</v>
      </c>
      <c r="K507">
        <f t="shared" si="99"/>
        <v>1.6882393742330468E-8</v>
      </c>
      <c r="L507">
        <f t="shared" si="100"/>
        <v>-1.6882393847738534E-8</v>
      </c>
      <c r="M507">
        <f t="shared" si="101"/>
        <v>0.30534351145038169</v>
      </c>
      <c r="N507">
        <f t="shared" si="102"/>
        <v>0.69465648854961837</v>
      </c>
      <c r="P507">
        <f t="shared" si="103"/>
        <v>484.5</v>
      </c>
      <c r="Q507">
        <f t="shared" si="104"/>
        <v>1135</v>
      </c>
    </row>
    <row r="508" spans="1:17" x14ac:dyDescent="0.35">
      <c r="A508">
        <v>2023</v>
      </c>
      <c r="B508" s="18">
        <v>179</v>
      </c>
      <c r="C508" s="20">
        <v>36</v>
      </c>
      <c r="D508" s="12">
        <f t="shared" si="92"/>
        <v>22.375</v>
      </c>
      <c r="E508" s="27">
        <f t="shared" si="93"/>
        <v>0.44750000000000001</v>
      </c>
      <c r="F508" s="27">
        <f t="shared" si="94"/>
        <v>0.72</v>
      </c>
      <c r="G508">
        <f t="shared" si="95"/>
        <v>58.375</v>
      </c>
      <c r="H508">
        <f t="shared" si="96"/>
        <v>1</v>
      </c>
      <c r="I508">
        <f t="shared" si="97"/>
        <v>-8.2546888144135397E-2</v>
      </c>
      <c r="J508">
        <f t="shared" si="98"/>
        <v>0.59963025208971832</v>
      </c>
      <c r="K508">
        <f t="shared" si="99"/>
        <v>0.99983883772166127</v>
      </c>
      <c r="L508">
        <f t="shared" si="100"/>
        <v>-1.6117526637418608E-4</v>
      </c>
      <c r="M508">
        <f t="shared" si="101"/>
        <v>0.61670235546038543</v>
      </c>
      <c r="N508">
        <f t="shared" si="102"/>
        <v>0.38329764453961457</v>
      </c>
      <c r="P508">
        <f t="shared" si="103"/>
        <v>547</v>
      </c>
      <c r="Q508">
        <f t="shared" si="104"/>
        <v>403.5</v>
      </c>
    </row>
    <row r="509" spans="1:17" x14ac:dyDescent="0.35">
      <c r="A509">
        <v>2023</v>
      </c>
      <c r="B509" s="18">
        <v>126</v>
      </c>
      <c r="C509" s="20">
        <v>41</v>
      </c>
      <c r="D509" s="12">
        <f t="shared" si="92"/>
        <v>15.75</v>
      </c>
      <c r="E509" s="27">
        <f t="shared" si="93"/>
        <v>0.315</v>
      </c>
      <c r="F509" s="27">
        <f t="shared" si="94"/>
        <v>0.82</v>
      </c>
      <c r="G509">
        <f t="shared" si="95"/>
        <v>56.75</v>
      </c>
      <c r="H509">
        <f t="shared" si="96"/>
        <v>1</v>
      </c>
      <c r="I509">
        <f t="shared" si="97"/>
        <v>-1.9667247091251272</v>
      </c>
      <c r="J509">
        <f t="shared" si="98"/>
        <v>1.1773252774930798</v>
      </c>
      <c r="K509">
        <f t="shared" si="99"/>
        <v>0.99666845388979197</v>
      </c>
      <c r="L509">
        <f t="shared" si="100"/>
        <v>-3.3371080666622418E-3</v>
      </c>
      <c r="M509">
        <f t="shared" si="101"/>
        <v>0.72246696035242286</v>
      </c>
      <c r="N509">
        <f t="shared" si="102"/>
        <v>0.27753303964757708</v>
      </c>
      <c r="P509">
        <f t="shared" si="103"/>
        <v>1137.5</v>
      </c>
      <c r="Q509">
        <f t="shared" si="104"/>
        <v>129.5</v>
      </c>
    </row>
    <row r="510" spans="1:17" x14ac:dyDescent="0.35">
      <c r="A510">
        <v>2023</v>
      </c>
      <c r="B510" s="18">
        <v>181</v>
      </c>
      <c r="C510" s="20">
        <v>34</v>
      </c>
      <c r="D510" s="12">
        <f t="shared" si="92"/>
        <v>22.625</v>
      </c>
      <c r="E510" s="27">
        <f t="shared" si="93"/>
        <v>0.45250000000000001</v>
      </c>
      <c r="F510" s="27">
        <f t="shared" si="94"/>
        <v>0.68</v>
      </c>
      <c r="G510">
        <f t="shared" si="95"/>
        <v>56.625</v>
      </c>
      <c r="H510">
        <f t="shared" si="96"/>
        <v>1</v>
      </c>
      <c r="I510">
        <f t="shared" si="97"/>
        <v>-1.1445838295796084E-2</v>
      </c>
      <c r="J510">
        <f t="shared" si="98"/>
        <v>0.36855224192837371</v>
      </c>
      <c r="K510">
        <f t="shared" si="99"/>
        <v>0.99905146303020942</v>
      </c>
      <c r="L510">
        <f t="shared" si="100"/>
        <v>-9.4898711565795379E-4</v>
      </c>
      <c r="M510">
        <f t="shared" si="101"/>
        <v>0.60044150110375272</v>
      </c>
      <c r="N510">
        <f t="shared" si="102"/>
        <v>0.39955849889624723</v>
      </c>
      <c r="P510">
        <f t="shared" si="103"/>
        <v>505</v>
      </c>
      <c r="Q510">
        <f t="shared" si="104"/>
        <v>484.5</v>
      </c>
    </row>
    <row r="511" spans="1:17" x14ac:dyDescent="0.35">
      <c r="A511">
        <v>2023</v>
      </c>
      <c r="B511" s="18">
        <v>177</v>
      </c>
      <c r="C511" s="20">
        <v>42</v>
      </c>
      <c r="D511" s="12">
        <f t="shared" si="92"/>
        <v>22.125</v>
      </c>
      <c r="E511" s="27">
        <f t="shared" si="93"/>
        <v>0.4425</v>
      </c>
      <c r="F511" s="27">
        <f t="shared" si="94"/>
        <v>0.84</v>
      </c>
      <c r="G511">
        <f t="shared" si="95"/>
        <v>64.125</v>
      </c>
      <c r="H511">
        <f t="shared" si="96"/>
        <v>1</v>
      </c>
      <c r="I511">
        <f t="shared" si="97"/>
        <v>-0.15364793799247473</v>
      </c>
      <c r="J511">
        <f t="shared" si="98"/>
        <v>1.2928642825737522</v>
      </c>
      <c r="K511">
        <f t="shared" si="99"/>
        <v>0.99999957659140193</v>
      </c>
      <c r="L511">
        <f t="shared" si="100"/>
        <v>-4.2340868770888548E-7</v>
      </c>
      <c r="M511">
        <f t="shared" si="101"/>
        <v>0.65497076023391809</v>
      </c>
      <c r="N511">
        <f t="shared" si="102"/>
        <v>0.34502923976608185</v>
      </c>
      <c r="P511">
        <f t="shared" si="103"/>
        <v>585</v>
      </c>
      <c r="Q511">
        <f t="shared" si="104"/>
        <v>90.5</v>
      </c>
    </row>
    <row r="512" spans="1:17" x14ac:dyDescent="0.35">
      <c r="A512">
        <v>2023</v>
      </c>
      <c r="B512" s="18">
        <v>168</v>
      </c>
      <c r="C512" s="20">
        <v>34</v>
      </c>
      <c r="D512" s="12">
        <f t="shared" si="92"/>
        <v>21</v>
      </c>
      <c r="E512" s="27">
        <f t="shared" si="93"/>
        <v>0.42</v>
      </c>
      <c r="F512" s="27">
        <f t="shared" si="94"/>
        <v>0.68</v>
      </c>
      <c r="G512">
        <f t="shared" si="95"/>
        <v>55</v>
      </c>
      <c r="H512">
        <f t="shared" si="96"/>
        <v>1</v>
      </c>
      <c r="I512">
        <f t="shared" si="97"/>
        <v>-0.47360266231000164</v>
      </c>
      <c r="J512">
        <f t="shared" si="98"/>
        <v>0.36855224192837371</v>
      </c>
      <c r="K512">
        <f t="shared" si="99"/>
        <v>0.99288080797386713</v>
      </c>
      <c r="L512">
        <f t="shared" si="100"/>
        <v>-7.1446543933078666E-3</v>
      </c>
      <c r="M512">
        <f t="shared" si="101"/>
        <v>0.61818181818181817</v>
      </c>
      <c r="N512">
        <f t="shared" si="102"/>
        <v>0.38181818181818183</v>
      </c>
      <c r="P512">
        <f t="shared" si="103"/>
        <v>767</v>
      </c>
      <c r="Q512">
        <f t="shared" si="104"/>
        <v>484.5</v>
      </c>
    </row>
    <row r="513" spans="1:17" x14ac:dyDescent="0.35">
      <c r="A513">
        <v>2023</v>
      </c>
      <c r="B513" s="18">
        <v>231</v>
      </c>
      <c r="C513" s="20">
        <v>31</v>
      </c>
      <c r="D513" s="12">
        <f t="shared" si="92"/>
        <v>28.875</v>
      </c>
      <c r="E513" s="27">
        <f t="shared" si="93"/>
        <v>0.57750000000000001</v>
      </c>
      <c r="F513" s="27">
        <f t="shared" si="94"/>
        <v>0.62</v>
      </c>
      <c r="G513">
        <f t="shared" si="95"/>
        <v>59.875</v>
      </c>
      <c r="H513">
        <f t="shared" si="96"/>
        <v>1</v>
      </c>
      <c r="I513">
        <f t="shared" si="97"/>
        <v>1.7660804079126868</v>
      </c>
      <c r="J513">
        <f t="shared" si="98"/>
        <v>2.1935226686356796E-2</v>
      </c>
      <c r="K513">
        <f t="shared" si="99"/>
        <v>0.9999909194665636</v>
      </c>
      <c r="L513">
        <f t="shared" si="100"/>
        <v>-9.0805746646941345E-6</v>
      </c>
      <c r="M513">
        <f t="shared" si="101"/>
        <v>0.51774530271398744</v>
      </c>
      <c r="N513">
        <f t="shared" si="102"/>
        <v>0.4822546972860125</v>
      </c>
      <c r="P513">
        <f t="shared" si="103"/>
        <v>59</v>
      </c>
      <c r="Q513">
        <f t="shared" si="104"/>
        <v>605</v>
      </c>
    </row>
    <row r="514" spans="1:17" x14ac:dyDescent="0.35">
      <c r="A514">
        <v>2023</v>
      </c>
      <c r="B514" s="18">
        <v>205</v>
      </c>
      <c r="C514" s="20">
        <v>31</v>
      </c>
      <c r="D514" s="12">
        <f t="shared" si="92"/>
        <v>25.625</v>
      </c>
      <c r="E514" s="27">
        <f t="shared" si="93"/>
        <v>0.51249999999999996</v>
      </c>
      <c r="F514" s="27">
        <f t="shared" si="94"/>
        <v>0.62</v>
      </c>
      <c r="G514">
        <f t="shared" si="95"/>
        <v>56.625</v>
      </c>
      <c r="H514">
        <f t="shared" si="96"/>
        <v>1</v>
      </c>
      <c r="I514">
        <f t="shared" si="97"/>
        <v>0.84176675988427574</v>
      </c>
      <c r="J514">
        <f t="shared" si="98"/>
        <v>2.1935226686356796E-2</v>
      </c>
      <c r="K514">
        <f t="shared" si="99"/>
        <v>0.99948236358740872</v>
      </c>
      <c r="L514">
        <f t="shared" si="100"/>
        <v>-5.1777043257017897E-4</v>
      </c>
      <c r="M514">
        <f t="shared" si="101"/>
        <v>0.54746136865342165</v>
      </c>
      <c r="N514">
        <f t="shared" si="102"/>
        <v>0.45253863134657835</v>
      </c>
      <c r="P514">
        <f t="shared" si="103"/>
        <v>186</v>
      </c>
      <c r="Q514">
        <f t="shared" si="104"/>
        <v>605</v>
      </c>
    </row>
    <row r="515" spans="1:17" x14ac:dyDescent="0.35">
      <c r="A515">
        <v>2023</v>
      </c>
      <c r="B515" s="18">
        <v>195</v>
      </c>
      <c r="C515" s="20">
        <v>24</v>
      </c>
      <c r="D515" s="12">
        <f t="shared" ref="D515:D578" si="105">B515/8</f>
        <v>24.375</v>
      </c>
      <c r="E515" s="27">
        <f t="shared" ref="E515:E578" si="106">B515/400</f>
        <v>0.48749999999999999</v>
      </c>
      <c r="F515" s="27">
        <f t="shared" ref="F515:F578" si="107">C515/50</f>
        <v>0.48</v>
      </c>
      <c r="G515">
        <f t="shared" ref="G515:G578" si="108">SUM(C515+D515)</f>
        <v>48.375</v>
      </c>
      <c r="H515">
        <f t="shared" ref="H515:H578" si="109">IF(G515&gt;=50,1,0)</f>
        <v>0</v>
      </c>
      <c r="I515">
        <f t="shared" ref="I515:I578" si="110" xml:space="preserve"> (D:D - AVERAGE(D:D)) / STDEV(D:D)</f>
        <v>0.48626151064257911</v>
      </c>
      <c r="J515">
        <f t="shared" ref="J515:J578" si="111" xml:space="preserve"> (C:C - AVERAGE(C:C)) / STDEV(C:C)</f>
        <v>-0.78683780887834931</v>
      </c>
      <c r="K515">
        <f t="shared" ref="K515:K578" si="112">1/(1+EXP(-($AD$25 +$AD$26 * I515 +$AD$27 * J515 )))</f>
        <v>0.21674389510037176</v>
      </c>
      <c r="L515">
        <f t="shared" ref="L515:L578" si="113">IF(K515=0, -1000, IF(K515=1, -1000, H515 * LN(K515) + (1 - H515) * LN(1 - K515)))</f>
        <v>-0.24429555486214155</v>
      </c>
      <c r="M515">
        <f t="shared" ref="M515:M578" si="114">IF(G515=0, 0,  C515  / G515 )</f>
        <v>0.49612403100775193</v>
      </c>
      <c r="N515">
        <f t="shared" ref="N515:N578" si="115">IF(G515=0, 0,  D515  / G515 )</f>
        <v>0.50387596899224807</v>
      </c>
      <c r="P515">
        <f t="shared" ref="P515:P578" si="116">_xlfn.RANK.AVG(B515,$B$2:$B$1144)</f>
        <v>282.5</v>
      </c>
      <c r="Q515">
        <f t="shared" ref="Q515:Q578" si="117">_xlfn.RANK.AVG(C515,$C$2:$C$1144)</f>
        <v>870</v>
      </c>
    </row>
    <row r="516" spans="1:17" x14ac:dyDescent="0.35">
      <c r="A516">
        <v>2023</v>
      </c>
      <c r="B516" s="18">
        <v>216</v>
      </c>
      <c r="C516" s="20">
        <v>42</v>
      </c>
      <c r="D516" s="12">
        <f t="shared" si="105"/>
        <v>27</v>
      </c>
      <c r="E516" s="27">
        <f t="shared" si="106"/>
        <v>0.54</v>
      </c>
      <c r="F516" s="27">
        <f t="shared" si="107"/>
        <v>0.84</v>
      </c>
      <c r="G516">
        <f t="shared" si="108"/>
        <v>69</v>
      </c>
      <c r="H516">
        <f t="shared" si="109"/>
        <v>1</v>
      </c>
      <c r="I516">
        <f t="shared" si="110"/>
        <v>1.232822534050142</v>
      </c>
      <c r="J516">
        <f t="shared" si="111"/>
        <v>1.2928642825737522</v>
      </c>
      <c r="K516">
        <f t="shared" si="112"/>
        <v>0.99999999901698922</v>
      </c>
      <c r="L516">
        <f t="shared" si="113"/>
        <v>-9.8301078436689724E-10</v>
      </c>
      <c r="M516">
        <f t="shared" si="114"/>
        <v>0.60869565217391308</v>
      </c>
      <c r="N516">
        <f t="shared" si="115"/>
        <v>0.39130434782608697</v>
      </c>
      <c r="P516">
        <f t="shared" si="116"/>
        <v>98.5</v>
      </c>
      <c r="Q516">
        <f t="shared" si="117"/>
        <v>90.5</v>
      </c>
    </row>
    <row r="517" spans="1:17" x14ac:dyDescent="0.35">
      <c r="A517">
        <v>2023</v>
      </c>
      <c r="B517" s="18">
        <v>169</v>
      </c>
      <c r="C517" s="20">
        <v>42</v>
      </c>
      <c r="D517" s="12">
        <f t="shared" si="105"/>
        <v>21.125</v>
      </c>
      <c r="E517" s="27">
        <f t="shared" si="106"/>
        <v>0.42249999999999999</v>
      </c>
      <c r="F517" s="27">
        <f t="shared" si="107"/>
        <v>0.84</v>
      </c>
      <c r="G517">
        <f t="shared" si="108"/>
        <v>63.125</v>
      </c>
      <c r="H517">
        <f t="shared" si="109"/>
        <v>1</v>
      </c>
      <c r="I517">
        <f t="shared" si="110"/>
        <v>-0.43805213738583199</v>
      </c>
      <c r="J517">
        <f t="shared" si="111"/>
        <v>1.2928642825737522</v>
      </c>
      <c r="K517">
        <f t="shared" si="112"/>
        <v>0.99999853070751221</v>
      </c>
      <c r="L517">
        <f t="shared" si="113"/>
        <v>-1.4692935671991967E-6</v>
      </c>
      <c r="M517">
        <f t="shared" si="114"/>
        <v>0.66534653465346538</v>
      </c>
      <c r="N517">
        <f t="shared" si="115"/>
        <v>0.33465346534653467</v>
      </c>
      <c r="P517">
        <f t="shared" si="116"/>
        <v>744.5</v>
      </c>
      <c r="Q517">
        <f t="shared" si="117"/>
        <v>90.5</v>
      </c>
    </row>
    <row r="518" spans="1:17" x14ac:dyDescent="0.35">
      <c r="A518">
        <v>2023</v>
      </c>
      <c r="B518" s="18">
        <v>166</v>
      </c>
      <c r="C518" s="20">
        <v>12</v>
      </c>
      <c r="D518" s="12">
        <f t="shared" si="105"/>
        <v>20.75</v>
      </c>
      <c r="E518" s="27">
        <f t="shared" si="106"/>
        <v>0.41499999999999998</v>
      </c>
      <c r="F518" s="27">
        <f t="shared" si="107"/>
        <v>0.24</v>
      </c>
      <c r="G518">
        <f t="shared" si="108"/>
        <v>32.75</v>
      </c>
      <c r="H518">
        <f t="shared" si="109"/>
        <v>0</v>
      </c>
      <c r="I518">
        <f t="shared" si="110"/>
        <v>-0.5447037121583409</v>
      </c>
      <c r="J518">
        <f t="shared" si="111"/>
        <v>-2.1733058698464167</v>
      </c>
      <c r="K518">
        <f t="shared" si="112"/>
        <v>1.1270838190709255E-8</v>
      </c>
      <c r="L518">
        <f t="shared" si="113"/>
        <v>-1.1270838215182748E-8</v>
      </c>
      <c r="M518">
        <f t="shared" si="114"/>
        <v>0.36641221374045801</v>
      </c>
      <c r="N518">
        <f t="shared" si="115"/>
        <v>0.63358778625954193</v>
      </c>
      <c r="P518">
        <f t="shared" si="116"/>
        <v>809</v>
      </c>
      <c r="Q518">
        <f t="shared" si="117"/>
        <v>1122.5</v>
      </c>
    </row>
    <row r="519" spans="1:17" x14ac:dyDescent="0.35">
      <c r="A519">
        <v>2023</v>
      </c>
      <c r="B519" s="18">
        <v>161</v>
      </c>
      <c r="C519" s="20">
        <v>14</v>
      </c>
      <c r="D519" s="12">
        <f t="shared" si="105"/>
        <v>20.125</v>
      </c>
      <c r="E519" s="27">
        <f t="shared" si="106"/>
        <v>0.40250000000000002</v>
      </c>
      <c r="F519" s="27">
        <f t="shared" si="107"/>
        <v>0.28000000000000003</v>
      </c>
      <c r="G519">
        <f t="shared" si="108"/>
        <v>34.125</v>
      </c>
      <c r="H519">
        <f t="shared" si="109"/>
        <v>0</v>
      </c>
      <c r="I519">
        <f t="shared" si="110"/>
        <v>-0.72245633677918919</v>
      </c>
      <c r="J519">
        <f t="shared" si="111"/>
        <v>-1.9422278596850724</v>
      </c>
      <c r="K519">
        <f t="shared" si="112"/>
        <v>4.1634975973402339E-8</v>
      </c>
      <c r="L519">
        <f t="shared" si="113"/>
        <v>-4.1634976889122273E-8</v>
      </c>
      <c r="M519">
        <f t="shared" si="114"/>
        <v>0.41025641025641024</v>
      </c>
      <c r="N519">
        <f t="shared" si="115"/>
        <v>0.58974358974358976</v>
      </c>
      <c r="P519">
        <f t="shared" si="116"/>
        <v>892.5</v>
      </c>
      <c r="Q519">
        <f t="shared" si="117"/>
        <v>1107.5</v>
      </c>
    </row>
    <row r="520" spans="1:17" x14ac:dyDescent="0.35">
      <c r="A520">
        <v>2023</v>
      </c>
      <c r="B520" s="18">
        <v>199</v>
      </c>
      <c r="C520" s="20">
        <v>37</v>
      </c>
      <c r="D520" s="12">
        <f t="shared" si="105"/>
        <v>24.875</v>
      </c>
      <c r="E520" s="27">
        <f t="shared" si="106"/>
        <v>0.4975</v>
      </c>
      <c r="F520" s="27">
        <f t="shared" si="107"/>
        <v>0.74</v>
      </c>
      <c r="G520">
        <f t="shared" si="108"/>
        <v>61.875</v>
      </c>
      <c r="H520">
        <f t="shared" si="109"/>
        <v>1</v>
      </c>
      <c r="I520">
        <f t="shared" si="110"/>
        <v>0.62846361033925779</v>
      </c>
      <c r="J520">
        <f t="shared" si="111"/>
        <v>0.71516925717039059</v>
      </c>
      <c r="K520">
        <f t="shared" si="112"/>
        <v>0.99999746574936688</v>
      </c>
      <c r="L520">
        <f t="shared" si="113"/>
        <v>-2.5342538443424079E-6</v>
      </c>
      <c r="M520">
        <f t="shared" si="114"/>
        <v>0.59797979797979794</v>
      </c>
      <c r="N520">
        <f t="shared" si="115"/>
        <v>0.402020202020202</v>
      </c>
      <c r="P520">
        <f t="shared" si="116"/>
        <v>239</v>
      </c>
      <c r="Q520">
        <f t="shared" si="117"/>
        <v>351</v>
      </c>
    </row>
    <row r="521" spans="1:17" x14ac:dyDescent="0.35">
      <c r="A521">
        <v>2023</v>
      </c>
      <c r="B521" s="18">
        <v>215</v>
      </c>
      <c r="C521" s="20">
        <v>34</v>
      </c>
      <c r="D521" s="12">
        <f t="shared" si="105"/>
        <v>26.875</v>
      </c>
      <c r="E521" s="27">
        <f t="shared" si="106"/>
        <v>0.53749999999999998</v>
      </c>
      <c r="F521" s="27">
        <f t="shared" si="107"/>
        <v>0.68</v>
      </c>
      <c r="G521">
        <f t="shared" si="108"/>
        <v>60.875</v>
      </c>
      <c r="H521">
        <f t="shared" si="109"/>
        <v>1</v>
      </c>
      <c r="I521">
        <f t="shared" si="110"/>
        <v>1.1972720091259723</v>
      </c>
      <c r="J521">
        <f t="shared" si="111"/>
        <v>0.36855224192837371</v>
      </c>
      <c r="K521">
        <f t="shared" si="112"/>
        <v>0.99999520287647559</v>
      </c>
      <c r="L521">
        <f t="shared" si="113"/>
        <v>-4.7971350306476012E-6</v>
      </c>
      <c r="M521">
        <f t="shared" si="114"/>
        <v>0.55852156057494862</v>
      </c>
      <c r="N521">
        <f t="shared" si="115"/>
        <v>0.44147843942505133</v>
      </c>
      <c r="P521">
        <f t="shared" si="116"/>
        <v>105.5</v>
      </c>
      <c r="Q521">
        <f t="shared" si="117"/>
        <v>484.5</v>
      </c>
    </row>
    <row r="522" spans="1:17" x14ac:dyDescent="0.35">
      <c r="A522">
        <v>2023</v>
      </c>
      <c r="B522" s="18">
        <v>177</v>
      </c>
      <c r="C522" s="20">
        <v>27</v>
      </c>
      <c r="D522" s="12">
        <f t="shared" si="105"/>
        <v>22.125</v>
      </c>
      <c r="E522" s="27">
        <f t="shared" si="106"/>
        <v>0.4425</v>
      </c>
      <c r="F522" s="27">
        <f t="shared" si="107"/>
        <v>0.54</v>
      </c>
      <c r="G522">
        <f t="shared" si="108"/>
        <v>49.125</v>
      </c>
      <c r="H522">
        <f t="shared" si="109"/>
        <v>0</v>
      </c>
      <c r="I522">
        <f t="shared" si="110"/>
        <v>-0.15364793799247473</v>
      </c>
      <c r="J522">
        <f t="shared" si="111"/>
        <v>-0.44022079363633243</v>
      </c>
      <c r="K522">
        <f t="shared" si="112"/>
        <v>0.27734445410755509</v>
      </c>
      <c r="L522">
        <f t="shared" si="113"/>
        <v>-0.3248225937343292</v>
      </c>
      <c r="M522">
        <f t="shared" si="114"/>
        <v>0.54961832061068705</v>
      </c>
      <c r="N522">
        <f t="shared" si="115"/>
        <v>0.45038167938931295</v>
      </c>
      <c r="P522">
        <f t="shared" si="116"/>
        <v>585</v>
      </c>
      <c r="Q522">
        <f t="shared" si="117"/>
        <v>752.5</v>
      </c>
    </row>
    <row r="523" spans="1:17" x14ac:dyDescent="0.35">
      <c r="A523">
        <v>2023</v>
      </c>
      <c r="B523" s="18">
        <v>171</v>
      </c>
      <c r="C523" s="20">
        <v>36</v>
      </c>
      <c r="D523" s="12">
        <f t="shared" si="105"/>
        <v>21.375</v>
      </c>
      <c r="E523" s="27">
        <f t="shared" si="106"/>
        <v>0.42749999999999999</v>
      </c>
      <c r="F523" s="27">
        <f t="shared" si="107"/>
        <v>0.72</v>
      </c>
      <c r="G523">
        <f t="shared" si="108"/>
        <v>57.375</v>
      </c>
      <c r="H523">
        <f t="shared" si="109"/>
        <v>1</v>
      </c>
      <c r="I523">
        <f t="shared" si="110"/>
        <v>-0.36695108753749267</v>
      </c>
      <c r="J523">
        <f t="shared" si="111"/>
        <v>0.59963025208971832</v>
      </c>
      <c r="K523">
        <f t="shared" si="112"/>
        <v>0.99944096425053242</v>
      </c>
      <c r="L523">
        <f t="shared" si="113"/>
        <v>-5.5919206821340229E-4</v>
      </c>
      <c r="M523">
        <f t="shared" si="114"/>
        <v>0.62745098039215685</v>
      </c>
      <c r="N523">
        <f t="shared" si="115"/>
        <v>0.37254901960784315</v>
      </c>
      <c r="P523">
        <f t="shared" si="116"/>
        <v>700</v>
      </c>
      <c r="Q523">
        <f t="shared" si="117"/>
        <v>403.5</v>
      </c>
    </row>
    <row r="524" spans="1:17" x14ac:dyDescent="0.35">
      <c r="A524">
        <v>2023</v>
      </c>
      <c r="B524" s="18">
        <v>233</v>
      </c>
      <c r="C524" s="21">
        <v>28</v>
      </c>
      <c r="D524" s="12">
        <f t="shared" si="105"/>
        <v>29.125</v>
      </c>
      <c r="E524" s="27">
        <f t="shared" si="106"/>
        <v>0.58250000000000002</v>
      </c>
      <c r="F524" s="27">
        <f t="shared" si="107"/>
        <v>0.56000000000000005</v>
      </c>
      <c r="G524">
        <f t="shared" si="108"/>
        <v>57.125</v>
      </c>
      <c r="H524">
        <f t="shared" si="109"/>
        <v>1</v>
      </c>
      <c r="I524">
        <f t="shared" si="110"/>
        <v>1.8371814577610261</v>
      </c>
      <c r="J524">
        <f t="shared" si="111"/>
        <v>-0.3246817885556601</v>
      </c>
      <c r="K524">
        <f t="shared" si="112"/>
        <v>0.99984836739819094</v>
      </c>
      <c r="L524">
        <f t="shared" si="113"/>
        <v>-1.5164409919429236E-4</v>
      </c>
      <c r="M524">
        <f t="shared" si="114"/>
        <v>0.49015317286652077</v>
      </c>
      <c r="N524">
        <f t="shared" si="115"/>
        <v>0.50984682713347917</v>
      </c>
      <c r="P524">
        <f t="shared" si="116"/>
        <v>55.5</v>
      </c>
      <c r="Q524">
        <f t="shared" si="117"/>
        <v>709.5</v>
      </c>
    </row>
    <row r="525" spans="1:17" x14ac:dyDescent="0.35">
      <c r="A525">
        <v>2023</v>
      </c>
      <c r="B525" s="18">
        <v>183</v>
      </c>
      <c r="C525" s="20">
        <v>33</v>
      </c>
      <c r="D525" s="12">
        <f t="shared" si="105"/>
        <v>22.875</v>
      </c>
      <c r="E525" s="27">
        <f t="shared" si="106"/>
        <v>0.45750000000000002</v>
      </c>
      <c r="F525" s="27">
        <f t="shared" si="107"/>
        <v>0.66</v>
      </c>
      <c r="G525">
        <f t="shared" si="108"/>
        <v>55.875</v>
      </c>
      <c r="H525">
        <f t="shared" si="109"/>
        <v>1</v>
      </c>
      <c r="I525">
        <f t="shared" si="110"/>
        <v>5.9655211552543233E-2</v>
      </c>
      <c r="J525">
        <f t="shared" si="111"/>
        <v>0.25301323684770138</v>
      </c>
      <c r="K525">
        <f t="shared" si="112"/>
        <v>0.99803150857135647</v>
      </c>
      <c r="L525">
        <f t="shared" si="113"/>
        <v>-1.9704314542631292E-3</v>
      </c>
      <c r="M525">
        <f t="shared" si="114"/>
        <v>0.59060402684563762</v>
      </c>
      <c r="N525">
        <f t="shared" si="115"/>
        <v>0.40939597315436244</v>
      </c>
      <c r="P525">
        <f t="shared" si="116"/>
        <v>465</v>
      </c>
      <c r="Q525">
        <f t="shared" si="117"/>
        <v>523.5</v>
      </c>
    </row>
    <row r="526" spans="1:17" x14ac:dyDescent="0.35">
      <c r="A526">
        <v>2023</v>
      </c>
      <c r="B526" s="18">
        <v>148</v>
      </c>
      <c r="C526" s="20">
        <v>43</v>
      </c>
      <c r="D526" s="12">
        <f t="shared" si="105"/>
        <v>18.5</v>
      </c>
      <c r="E526" s="27">
        <f t="shared" si="106"/>
        <v>0.37</v>
      </c>
      <c r="F526" s="27">
        <f t="shared" si="107"/>
        <v>0.86</v>
      </c>
      <c r="G526">
        <f t="shared" si="108"/>
        <v>61.5</v>
      </c>
      <c r="H526">
        <f t="shared" si="109"/>
        <v>1</v>
      </c>
      <c r="I526">
        <f t="shared" si="110"/>
        <v>-1.1846131607933947</v>
      </c>
      <c r="J526">
        <f t="shared" si="111"/>
        <v>1.4084032876544244</v>
      </c>
      <c r="K526">
        <f t="shared" si="112"/>
        <v>0.99998641970845326</v>
      </c>
      <c r="L526">
        <f t="shared" si="113"/>
        <v>-1.3580383759738329E-5</v>
      </c>
      <c r="M526">
        <f t="shared" si="114"/>
        <v>0.69918699186991873</v>
      </c>
      <c r="N526">
        <f t="shared" si="115"/>
        <v>0.30081300813008133</v>
      </c>
      <c r="P526">
        <f t="shared" si="116"/>
        <v>1061</v>
      </c>
      <c r="Q526">
        <f t="shared" si="117"/>
        <v>53.5</v>
      </c>
    </row>
    <row r="527" spans="1:17" x14ac:dyDescent="0.35">
      <c r="A527">
        <v>2023</v>
      </c>
      <c r="B527" s="18">
        <v>173</v>
      </c>
      <c r="C527" s="20">
        <v>32</v>
      </c>
      <c r="D527" s="12">
        <f t="shared" si="105"/>
        <v>21.625</v>
      </c>
      <c r="E527" s="27">
        <f t="shared" si="106"/>
        <v>0.4325</v>
      </c>
      <c r="F527" s="27">
        <f t="shared" si="107"/>
        <v>0.64</v>
      </c>
      <c r="G527">
        <f t="shared" si="108"/>
        <v>53.625</v>
      </c>
      <c r="H527">
        <f t="shared" si="109"/>
        <v>1</v>
      </c>
      <c r="I527">
        <f t="shared" si="110"/>
        <v>-0.29585003768915336</v>
      </c>
      <c r="J527">
        <f t="shared" si="111"/>
        <v>0.13747423176702911</v>
      </c>
      <c r="K527">
        <f t="shared" si="112"/>
        <v>0.97419628843992212</v>
      </c>
      <c r="L527">
        <f t="shared" si="113"/>
        <v>-2.6142467471271597E-2</v>
      </c>
      <c r="M527">
        <f t="shared" si="114"/>
        <v>0.59673659673659674</v>
      </c>
      <c r="N527">
        <f t="shared" si="115"/>
        <v>0.40326340326340326</v>
      </c>
      <c r="P527">
        <f t="shared" si="116"/>
        <v>669</v>
      </c>
      <c r="Q527">
        <f t="shared" si="117"/>
        <v>564</v>
      </c>
    </row>
    <row r="528" spans="1:17" x14ac:dyDescent="0.35">
      <c r="A528">
        <v>2023</v>
      </c>
      <c r="B528" s="18">
        <v>211</v>
      </c>
      <c r="C528" s="20">
        <v>25</v>
      </c>
      <c r="D528" s="12">
        <f t="shared" si="105"/>
        <v>26.375</v>
      </c>
      <c r="E528" s="27">
        <f t="shared" si="106"/>
        <v>0.52749999999999997</v>
      </c>
      <c r="F528" s="27">
        <f t="shared" si="107"/>
        <v>0.5</v>
      </c>
      <c r="G528">
        <f t="shared" si="108"/>
        <v>51.375</v>
      </c>
      <c r="H528">
        <f t="shared" si="109"/>
        <v>1</v>
      </c>
      <c r="I528">
        <f t="shared" si="110"/>
        <v>1.0550699094292937</v>
      </c>
      <c r="J528">
        <f t="shared" si="111"/>
        <v>-0.67129880379767704</v>
      </c>
      <c r="K528">
        <f t="shared" si="112"/>
        <v>0.90429017639006504</v>
      </c>
      <c r="L528">
        <f t="shared" si="113"/>
        <v>-0.10060497851480617</v>
      </c>
      <c r="M528">
        <f t="shared" si="114"/>
        <v>0.48661800486618007</v>
      </c>
      <c r="N528">
        <f t="shared" si="115"/>
        <v>0.51338199513381999</v>
      </c>
      <c r="P528">
        <f t="shared" si="116"/>
        <v>128.5</v>
      </c>
      <c r="Q528">
        <f t="shared" si="117"/>
        <v>835</v>
      </c>
    </row>
    <row r="529" spans="1:17" x14ac:dyDescent="0.35">
      <c r="A529">
        <v>2023</v>
      </c>
      <c r="B529" s="18">
        <v>203</v>
      </c>
      <c r="C529" s="20">
        <v>27</v>
      </c>
      <c r="D529" s="12">
        <f t="shared" si="105"/>
        <v>25.375</v>
      </c>
      <c r="E529" s="27">
        <f t="shared" si="106"/>
        <v>0.50749999999999995</v>
      </c>
      <c r="F529" s="27">
        <f t="shared" si="107"/>
        <v>0.54</v>
      </c>
      <c r="G529">
        <f t="shared" si="108"/>
        <v>52.375</v>
      </c>
      <c r="H529">
        <f t="shared" si="109"/>
        <v>1</v>
      </c>
      <c r="I529">
        <f t="shared" si="110"/>
        <v>0.77066571003593642</v>
      </c>
      <c r="J529">
        <f t="shared" si="111"/>
        <v>-0.44022079363633243</v>
      </c>
      <c r="K529">
        <f t="shared" si="112"/>
        <v>0.95631056487069621</v>
      </c>
      <c r="L529">
        <f t="shared" si="113"/>
        <v>-4.4672560034526576E-2</v>
      </c>
      <c r="M529">
        <f t="shared" si="114"/>
        <v>0.51551312649164682</v>
      </c>
      <c r="N529">
        <f t="shared" si="115"/>
        <v>0.48448687350835323</v>
      </c>
      <c r="P529">
        <f t="shared" si="116"/>
        <v>203</v>
      </c>
      <c r="Q529">
        <f t="shared" si="117"/>
        <v>752.5</v>
      </c>
    </row>
    <row r="530" spans="1:17" x14ac:dyDescent="0.35">
      <c r="A530">
        <v>2023</v>
      </c>
      <c r="B530" s="18">
        <v>201</v>
      </c>
      <c r="C530" s="20">
        <v>40</v>
      </c>
      <c r="D530" s="12">
        <f t="shared" si="105"/>
        <v>25.125</v>
      </c>
      <c r="E530" s="27">
        <f t="shared" si="106"/>
        <v>0.50249999999999995</v>
      </c>
      <c r="F530" s="27">
        <f t="shared" si="107"/>
        <v>0.8</v>
      </c>
      <c r="G530">
        <f t="shared" si="108"/>
        <v>65.125</v>
      </c>
      <c r="H530">
        <f t="shared" si="109"/>
        <v>1</v>
      </c>
      <c r="I530">
        <f t="shared" si="110"/>
        <v>0.69956466018759711</v>
      </c>
      <c r="J530">
        <f t="shared" si="111"/>
        <v>1.0617862724124074</v>
      </c>
      <c r="K530">
        <f t="shared" si="112"/>
        <v>0.99999991854214509</v>
      </c>
      <c r="L530">
        <f t="shared" si="113"/>
        <v>-8.1457858223455538E-8</v>
      </c>
      <c r="M530">
        <f t="shared" si="114"/>
        <v>0.61420345489443373</v>
      </c>
      <c r="N530">
        <f t="shared" si="115"/>
        <v>0.38579654510556621</v>
      </c>
      <c r="P530">
        <f t="shared" si="116"/>
        <v>219.5</v>
      </c>
      <c r="Q530">
        <f t="shared" si="117"/>
        <v>173</v>
      </c>
    </row>
    <row r="531" spans="1:17" x14ac:dyDescent="0.35">
      <c r="A531">
        <v>2023</v>
      </c>
      <c r="B531" s="18">
        <v>188</v>
      </c>
      <c r="C531" s="20">
        <v>33</v>
      </c>
      <c r="D531" s="12">
        <f t="shared" si="105"/>
        <v>23.5</v>
      </c>
      <c r="E531" s="27">
        <f t="shared" si="106"/>
        <v>0.47</v>
      </c>
      <c r="F531" s="27">
        <f t="shared" si="107"/>
        <v>0.66</v>
      </c>
      <c r="G531">
        <f t="shared" si="108"/>
        <v>56.5</v>
      </c>
      <c r="H531">
        <f t="shared" si="109"/>
        <v>1</v>
      </c>
      <c r="I531">
        <f t="shared" si="110"/>
        <v>0.23740783617339151</v>
      </c>
      <c r="J531">
        <f t="shared" si="111"/>
        <v>0.25301323684770138</v>
      </c>
      <c r="K531">
        <f t="shared" si="112"/>
        <v>0.99909452241489427</v>
      </c>
      <c r="L531">
        <f t="shared" si="113"/>
        <v>-9.058877775663728E-4</v>
      </c>
      <c r="M531">
        <f t="shared" si="114"/>
        <v>0.58407079646017701</v>
      </c>
      <c r="N531">
        <f t="shared" si="115"/>
        <v>0.41592920353982299</v>
      </c>
      <c r="P531">
        <f t="shared" si="116"/>
        <v>374.5</v>
      </c>
      <c r="Q531">
        <f t="shared" si="117"/>
        <v>523.5</v>
      </c>
    </row>
    <row r="532" spans="1:17" x14ac:dyDescent="0.35">
      <c r="A532">
        <v>2023</v>
      </c>
      <c r="B532" s="18">
        <v>188</v>
      </c>
      <c r="C532" s="20">
        <v>36</v>
      </c>
      <c r="D532" s="12">
        <f t="shared" si="105"/>
        <v>23.5</v>
      </c>
      <c r="E532" s="27">
        <f t="shared" si="106"/>
        <v>0.47</v>
      </c>
      <c r="F532" s="27">
        <f t="shared" si="107"/>
        <v>0.72</v>
      </c>
      <c r="G532">
        <f t="shared" si="108"/>
        <v>59.5</v>
      </c>
      <c r="H532">
        <f t="shared" si="109"/>
        <v>1</v>
      </c>
      <c r="I532">
        <f t="shared" si="110"/>
        <v>0.23740783617339151</v>
      </c>
      <c r="J532">
        <f t="shared" si="111"/>
        <v>0.59963025208971832</v>
      </c>
      <c r="K532">
        <f t="shared" si="112"/>
        <v>0.9999602420979351</v>
      </c>
      <c r="L532">
        <f t="shared" si="113"/>
        <v>-3.9758692431233622E-5</v>
      </c>
      <c r="M532">
        <f t="shared" si="114"/>
        <v>0.60504201680672265</v>
      </c>
      <c r="N532">
        <f t="shared" si="115"/>
        <v>0.3949579831932773</v>
      </c>
      <c r="P532">
        <f t="shared" si="116"/>
        <v>374.5</v>
      </c>
      <c r="Q532">
        <f t="shared" si="117"/>
        <v>403.5</v>
      </c>
    </row>
    <row r="533" spans="1:17" x14ac:dyDescent="0.35">
      <c r="A533">
        <v>2023</v>
      </c>
      <c r="B533" s="18">
        <v>192</v>
      </c>
      <c r="C533" s="20">
        <v>30</v>
      </c>
      <c r="D533" s="12">
        <f t="shared" si="105"/>
        <v>24</v>
      </c>
      <c r="E533" s="27">
        <f t="shared" si="106"/>
        <v>0.48</v>
      </c>
      <c r="F533" s="27">
        <f t="shared" si="107"/>
        <v>0.6</v>
      </c>
      <c r="G533">
        <f t="shared" si="108"/>
        <v>54</v>
      </c>
      <c r="H533">
        <f t="shared" si="109"/>
        <v>1</v>
      </c>
      <c r="I533">
        <f t="shared" si="110"/>
        <v>0.37960993587007014</v>
      </c>
      <c r="J533">
        <f t="shared" si="111"/>
        <v>-9.3603778394315509E-2</v>
      </c>
      <c r="K533">
        <f t="shared" si="112"/>
        <v>0.98903175253530895</v>
      </c>
      <c r="L533">
        <f t="shared" si="113"/>
        <v>-1.1028842176815023E-2</v>
      </c>
      <c r="M533">
        <f t="shared" si="114"/>
        <v>0.55555555555555558</v>
      </c>
      <c r="N533">
        <f t="shared" si="115"/>
        <v>0.44444444444444442</v>
      </c>
      <c r="P533">
        <f t="shared" si="116"/>
        <v>318.5</v>
      </c>
      <c r="Q533">
        <f t="shared" si="117"/>
        <v>639</v>
      </c>
    </row>
    <row r="534" spans="1:17" x14ac:dyDescent="0.35">
      <c r="A534">
        <v>2023</v>
      </c>
      <c r="B534" s="18">
        <v>140</v>
      </c>
      <c r="C534" s="20">
        <v>26</v>
      </c>
      <c r="D534" s="12">
        <f t="shared" si="105"/>
        <v>17.5</v>
      </c>
      <c r="E534" s="27">
        <f t="shared" si="106"/>
        <v>0.35</v>
      </c>
      <c r="F534" s="27">
        <f t="shared" si="107"/>
        <v>0.52</v>
      </c>
      <c r="G534">
        <f t="shared" si="108"/>
        <v>43.5</v>
      </c>
      <c r="H534">
        <f t="shared" si="109"/>
        <v>0</v>
      </c>
      <c r="I534">
        <f t="shared" si="110"/>
        <v>-1.469017360186752</v>
      </c>
      <c r="J534">
        <f t="shared" si="111"/>
        <v>-0.55575979871700476</v>
      </c>
      <c r="K534">
        <f t="shared" si="112"/>
        <v>4.2872368159017633E-4</v>
      </c>
      <c r="L534">
        <f t="shared" si="113"/>
        <v>-4.2881560986326176E-4</v>
      </c>
      <c r="M534">
        <f t="shared" si="114"/>
        <v>0.5977011494252874</v>
      </c>
      <c r="N534">
        <f t="shared" si="115"/>
        <v>0.40229885057471265</v>
      </c>
      <c r="P534">
        <f t="shared" si="116"/>
        <v>1106.5</v>
      </c>
      <c r="Q534">
        <f t="shared" si="117"/>
        <v>796</v>
      </c>
    </row>
    <row r="535" spans="1:17" x14ac:dyDescent="0.35">
      <c r="A535">
        <v>2023</v>
      </c>
      <c r="B535" s="18">
        <v>152</v>
      </c>
      <c r="C535" s="20">
        <v>38</v>
      </c>
      <c r="D535" s="12">
        <f t="shared" si="105"/>
        <v>19</v>
      </c>
      <c r="E535" s="27">
        <f t="shared" si="106"/>
        <v>0.38</v>
      </c>
      <c r="F535" s="27">
        <f t="shared" si="107"/>
        <v>0.76</v>
      </c>
      <c r="G535">
        <f t="shared" si="108"/>
        <v>57</v>
      </c>
      <c r="H535">
        <f t="shared" si="109"/>
        <v>1</v>
      </c>
      <c r="I535">
        <f t="shared" si="110"/>
        <v>-1.0424110610967161</v>
      </c>
      <c r="J535">
        <f t="shared" si="111"/>
        <v>0.83070826225106287</v>
      </c>
      <c r="K535">
        <f t="shared" si="112"/>
        <v>0.99866582951815397</v>
      </c>
      <c r="L535">
        <f t="shared" si="113"/>
        <v>-1.3350612796889571E-3</v>
      </c>
      <c r="M535">
        <f t="shared" si="114"/>
        <v>0.66666666666666663</v>
      </c>
      <c r="N535">
        <f t="shared" si="115"/>
        <v>0.33333333333333331</v>
      </c>
      <c r="P535">
        <f t="shared" si="116"/>
        <v>1016</v>
      </c>
      <c r="Q535">
        <f t="shared" si="117"/>
        <v>297.5</v>
      </c>
    </row>
    <row r="536" spans="1:17" x14ac:dyDescent="0.35">
      <c r="A536">
        <v>2023</v>
      </c>
      <c r="B536" s="18">
        <v>174</v>
      </c>
      <c r="C536" s="20">
        <v>31</v>
      </c>
      <c r="D536" s="12">
        <f t="shared" si="105"/>
        <v>21.75</v>
      </c>
      <c r="E536" s="27">
        <f t="shared" si="106"/>
        <v>0.435</v>
      </c>
      <c r="F536" s="27">
        <f t="shared" si="107"/>
        <v>0.62</v>
      </c>
      <c r="G536">
        <f t="shared" si="108"/>
        <v>52.75</v>
      </c>
      <c r="H536">
        <f t="shared" si="109"/>
        <v>1</v>
      </c>
      <c r="I536">
        <f t="shared" si="110"/>
        <v>-0.2602995127649837</v>
      </c>
      <c r="J536">
        <f t="shared" si="111"/>
        <v>2.1935226686356796E-2</v>
      </c>
      <c r="K536">
        <f t="shared" si="112"/>
        <v>0.93959891790659011</v>
      </c>
      <c r="L536">
        <f t="shared" si="113"/>
        <v>-6.2302177851309704E-2</v>
      </c>
      <c r="M536">
        <f t="shared" si="114"/>
        <v>0.58767772511848337</v>
      </c>
      <c r="N536">
        <f t="shared" si="115"/>
        <v>0.41232227488151657</v>
      </c>
      <c r="P536">
        <f t="shared" si="116"/>
        <v>653</v>
      </c>
      <c r="Q536">
        <f t="shared" si="117"/>
        <v>605</v>
      </c>
    </row>
    <row r="537" spans="1:17" x14ac:dyDescent="0.35">
      <c r="A537">
        <v>2023</v>
      </c>
      <c r="B537" s="18">
        <v>175</v>
      </c>
      <c r="C537" s="20">
        <v>24</v>
      </c>
      <c r="D537" s="12">
        <f t="shared" si="105"/>
        <v>21.875</v>
      </c>
      <c r="E537" s="27">
        <f t="shared" si="106"/>
        <v>0.4375</v>
      </c>
      <c r="F537" s="27">
        <f t="shared" si="107"/>
        <v>0.48</v>
      </c>
      <c r="G537">
        <f t="shared" si="108"/>
        <v>45.875</v>
      </c>
      <c r="H537">
        <f t="shared" si="109"/>
        <v>0</v>
      </c>
      <c r="I537">
        <f t="shared" si="110"/>
        <v>-0.22474898784081401</v>
      </c>
      <c r="J537">
        <f t="shared" si="111"/>
        <v>-0.78683780887834931</v>
      </c>
      <c r="K537">
        <f t="shared" si="112"/>
        <v>1.2185570110403814E-2</v>
      </c>
      <c r="L537">
        <f t="shared" si="113"/>
        <v>-1.2260422873789797E-2</v>
      </c>
      <c r="M537">
        <f t="shared" si="114"/>
        <v>0.52316076294277924</v>
      </c>
      <c r="N537">
        <f t="shared" si="115"/>
        <v>0.4768392370572207</v>
      </c>
      <c r="P537">
        <f t="shared" si="116"/>
        <v>631.5</v>
      </c>
      <c r="Q537">
        <f t="shared" si="117"/>
        <v>870</v>
      </c>
    </row>
    <row r="538" spans="1:17" x14ac:dyDescent="0.35">
      <c r="A538">
        <v>2023</v>
      </c>
      <c r="B538" s="18">
        <v>220</v>
      </c>
      <c r="C538" s="20">
        <v>24</v>
      </c>
      <c r="D538" s="12">
        <f t="shared" si="105"/>
        <v>27.5</v>
      </c>
      <c r="E538" s="27">
        <f t="shared" si="106"/>
        <v>0.55000000000000004</v>
      </c>
      <c r="F538" s="27">
        <f t="shared" si="107"/>
        <v>0.48</v>
      </c>
      <c r="G538">
        <f t="shared" si="108"/>
        <v>51.5</v>
      </c>
      <c r="H538">
        <f t="shared" si="109"/>
        <v>1</v>
      </c>
      <c r="I538">
        <f t="shared" si="110"/>
        <v>1.3750246337468206</v>
      </c>
      <c r="J538">
        <f t="shared" si="111"/>
        <v>-0.78683780887834931</v>
      </c>
      <c r="K538">
        <f t="shared" si="112"/>
        <v>0.9310788333268758</v>
      </c>
      <c r="L538">
        <f t="shared" si="113"/>
        <v>-7.1411329321160164E-2</v>
      </c>
      <c r="M538">
        <f t="shared" si="114"/>
        <v>0.46601941747572817</v>
      </c>
      <c r="N538">
        <f t="shared" si="115"/>
        <v>0.53398058252427183</v>
      </c>
      <c r="P538">
        <f t="shared" si="116"/>
        <v>84</v>
      </c>
      <c r="Q538">
        <f t="shared" si="117"/>
        <v>870</v>
      </c>
    </row>
    <row r="539" spans="1:17" x14ac:dyDescent="0.35">
      <c r="A539">
        <v>2023</v>
      </c>
      <c r="B539" s="18">
        <v>155</v>
      </c>
      <c r="C539" s="20">
        <v>21</v>
      </c>
      <c r="D539" s="12">
        <f t="shared" si="105"/>
        <v>19.375</v>
      </c>
      <c r="E539" s="27">
        <f t="shared" si="106"/>
        <v>0.38750000000000001</v>
      </c>
      <c r="F539" s="27">
        <f t="shared" si="107"/>
        <v>0.42</v>
      </c>
      <c r="G539">
        <f t="shared" si="108"/>
        <v>40.375</v>
      </c>
      <c r="H539">
        <f t="shared" si="109"/>
        <v>0</v>
      </c>
      <c r="I539">
        <f t="shared" si="110"/>
        <v>-0.93575948632420713</v>
      </c>
      <c r="J539">
        <f t="shared" si="111"/>
        <v>-1.1334548241203661</v>
      </c>
      <c r="K539">
        <f t="shared" si="112"/>
        <v>2.4124427267637718E-5</v>
      </c>
      <c r="L539">
        <f t="shared" si="113"/>
        <v>-2.4124718266300049E-5</v>
      </c>
      <c r="M539">
        <f t="shared" si="114"/>
        <v>0.52012383900928794</v>
      </c>
      <c r="N539">
        <f t="shared" si="115"/>
        <v>0.47987616099071206</v>
      </c>
      <c r="P539">
        <f t="shared" si="116"/>
        <v>985</v>
      </c>
      <c r="Q539">
        <f t="shared" si="117"/>
        <v>967.5</v>
      </c>
    </row>
    <row r="540" spans="1:17" x14ac:dyDescent="0.35">
      <c r="A540">
        <v>2023</v>
      </c>
      <c r="B540" s="18">
        <v>170</v>
      </c>
      <c r="C540" s="20">
        <v>37</v>
      </c>
      <c r="D540" s="12">
        <f t="shared" si="105"/>
        <v>21.25</v>
      </c>
      <c r="E540" s="27">
        <f t="shared" si="106"/>
        <v>0.42499999999999999</v>
      </c>
      <c r="F540" s="27">
        <f t="shared" si="107"/>
        <v>0.74</v>
      </c>
      <c r="G540">
        <f t="shared" si="108"/>
        <v>58.25</v>
      </c>
      <c r="H540">
        <f t="shared" si="109"/>
        <v>1</v>
      </c>
      <c r="I540">
        <f t="shared" si="110"/>
        <v>-0.40250161246166233</v>
      </c>
      <c r="J540">
        <f t="shared" si="111"/>
        <v>0.71516925717039059</v>
      </c>
      <c r="K540">
        <f t="shared" si="112"/>
        <v>0.99976958229249913</v>
      </c>
      <c r="L540">
        <f t="shared" si="113"/>
        <v>-2.3044425773934734E-4</v>
      </c>
      <c r="M540">
        <f t="shared" si="114"/>
        <v>0.63519313304721026</v>
      </c>
      <c r="N540">
        <f t="shared" si="115"/>
        <v>0.36480686695278969</v>
      </c>
      <c r="P540">
        <f t="shared" si="116"/>
        <v>720</v>
      </c>
      <c r="Q540">
        <f t="shared" si="117"/>
        <v>351</v>
      </c>
    </row>
    <row r="541" spans="1:17" x14ac:dyDescent="0.35">
      <c r="A541">
        <v>2023</v>
      </c>
      <c r="B541" s="18">
        <v>183</v>
      </c>
      <c r="C541" s="20">
        <v>37</v>
      </c>
      <c r="D541" s="12">
        <f t="shared" si="105"/>
        <v>22.875</v>
      </c>
      <c r="E541" s="27">
        <f t="shared" si="106"/>
        <v>0.45750000000000002</v>
      </c>
      <c r="F541" s="27">
        <f t="shared" si="107"/>
        <v>0.74</v>
      </c>
      <c r="G541">
        <f t="shared" si="108"/>
        <v>59.875</v>
      </c>
      <c r="H541">
        <f t="shared" si="109"/>
        <v>1</v>
      </c>
      <c r="I541">
        <f t="shared" si="110"/>
        <v>5.9655211552543233E-2</v>
      </c>
      <c r="J541">
        <f t="shared" si="111"/>
        <v>0.71516925717039059</v>
      </c>
      <c r="K541">
        <f t="shared" si="112"/>
        <v>0.99996948344605918</v>
      </c>
      <c r="L541">
        <f t="shared" si="113"/>
        <v>-3.051701958032347E-5</v>
      </c>
      <c r="M541">
        <f t="shared" si="114"/>
        <v>0.6179540709812108</v>
      </c>
      <c r="N541">
        <f t="shared" si="115"/>
        <v>0.38204592901878914</v>
      </c>
      <c r="P541">
        <f t="shared" si="116"/>
        <v>465</v>
      </c>
      <c r="Q541">
        <f t="shared" si="117"/>
        <v>351</v>
      </c>
    </row>
    <row r="542" spans="1:17" x14ac:dyDescent="0.35">
      <c r="A542">
        <v>2023</v>
      </c>
      <c r="B542" s="18">
        <v>186</v>
      </c>
      <c r="C542" s="20">
        <v>28</v>
      </c>
      <c r="D542" s="12">
        <f t="shared" si="105"/>
        <v>23.25</v>
      </c>
      <c r="E542" s="27">
        <f t="shared" si="106"/>
        <v>0.46500000000000002</v>
      </c>
      <c r="F542" s="27">
        <f t="shared" si="107"/>
        <v>0.56000000000000005</v>
      </c>
      <c r="G542">
        <f t="shared" si="108"/>
        <v>51.25</v>
      </c>
      <c r="H542">
        <f t="shared" si="109"/>
        <v>1</v>
      </c>
      <c r="I542">
        <f t="shared" si="110"/>
        <v>0.16630678632505219</v>
      </c>
      <c r="J542">
        <f t="shared" si="111"/>
        <v>-0.3246817885556601</v>
      </c>
      <c r="K542">
        <f t="shared" si="112"/>
        <v>0.81520997069517365</v>
      </c>
      <c r="L542">
        <f t="shared" si="113"/>
        <v>-0.20430956616807924</v>
      </c>
      <c r="M542">
        <f t="shared" si="114"/>
        <v>0.54634146341463419</v>
      </c>
      <c r="N542">
        <f t="shared" si="115"/>
        <v>0.45365853658536587</v>
      </c>
      <c r="P542">
        <f t="shared" si="116"/>
        <v>411.5</v>
      </c>
      <c r="Q542">
        <f t="shared" si="117"/>
        <v>709.5</v>
      </c>
    </row>
    <row r="543" spans="1:17" x14ac:dyDescent="0.35">
      <c r="A543">
        <v>2023</v>
      </c>
      <c r="B543" s="18">
        <v>211</v>
      </c>
      <c r="C543" s="20">
        <v>23</v>
      </c>
      <c r="D543" s="12">
        <f t="shared" si="105"/>
        <v>26.375</v>
      </c>
      <c r="E543" s="27">
        <f t="shared" si="106"/>
        <v>0.52749999999999997</v>
      </c>
      <c r="F543" s="27">
        <f t="shared" si="107"/>
        <v>0.46</v>
      </c>
      <c r="G543">
        <f t="shared" si="108"/>
        <v>49.375</v>
      </c>
      <c r="H543">
        <f t="shared" si="109"/>
        <v>0</v>
      </c>
      <c r="I543">
        <f t="shared" si="110"/>
        <v>1.0550699094292937</v>
      </c>
      <c r="J543">
        <f t="shared" si="111"/>
        <v>-0.90237681395902158</v>
      </c>
      <c r="K543">
        <f t="shared" si="112"/>
        <v>0.54028316706670587</v>
      </c>
      <c r="L543">
        <f t="shared" si="113"/>
        <v>-0.77714455962630868</v>
      </c>
      <c r="M543">
        <f t="shared" si="114"/>
        <v>0.46582278481012657</v>
      </c>
      <c r="N543">
        <f t="shared" si="115"/>
        <v>0.53417721518987338</v>
      </c>
      <c r="P543">
        <f t="shared" si="116"/>
        <v>128.5</v>
      </c>
      <c r="Q543">
        <f t="shared" si="117"/>
        <v>904</v>
      </c>
    </row>
    <row r="544" spans="1:17" x14ac:dyDescent="0.35">
      <c r="A544">
        <v>2023</v>
      </c>
      <c r="B544" s="18">
        <v>207</v>
      </c>
      <c r="C544" s="20">
        <v>21</v>
      </c>
      <c r="D544" s="12">
        <f t="shared" si="105"/>
        <v>25.875</v>
      </c>
      <c r="E544" s="27">
        <f t="shared" si="106"/>
        <v>0.51749999999999996</v>
      </c>
      <c r="F544" s="27">
        <f t="shared" si="107"/>
        <v>0.42</v>
      </c>
      <c r="G544">
        <f t="shared" si="108"/>
        <v>46.875</v>
      </c>
      <c r="H544">
        <f t="shared" si="109"/>
        <v>0</v>
      </c>
      <c r="I544">
        <f t="shared" si="110"/>
        <v>0.91286780973261505</v>
      </c>
      <c r="J544">
        <f t="shared" si="111"/>
        <v>-1.1334548241203661</v>
      </c>
      <c r="K544">
        <f t="shared" si="112"/>
        <v>7.2765548040321509E-2</v>
      </c>
      <c r="L544">
        <f t="shared" si="113"/>
        <v>-7.554883065846224E-2</v>
      </c>
      <c r="M544">
        <f t="shared" si="114"/>
        <v>0.44800000000000001</v>
      </c>
      <c r="N544">
        <f t="shared" si="115"/>
        <v>0.55200000000000005</v>
      </c>
      <c r="P544">
        <f t="shared" si="116"/>
        <v>168</v>
      </c>
      <c r="Q544">
        <f t="shared" si="117"/>
        <v>967.5</v>
      </c>
    </row>
    <row r="545" spans="1:17" x14ac:dyDescent="0.35">
      <c r="A545">
        <v>2023</v>
      </c>
      <c r="B545" s="18">
        <v>168</v>
      </c>
      <c r="C545" s="20">
        <v>38</v>
      </c>
      <c r="D545" s="12">
        <f t="shared" si="105"/>
        <v>21</v>
      </c>
      <c r="E545" s="27">
        <f t="shared" si="106"/>
        <v>0.42</v>
      </c>
      <c r="F545" s="27">
        <f t="shared" si="107"/>
        <v>0.76</v>
      </c>
      <c r="G545">
        <f t="shared" si="108"/>
        <v>59</v>
      </c>
      <c r="H545">
        <f t="shared" si="109"/>
        <v>1</v>
      </c>
      <c r="I545">
        <f t="shared" si="110"/>
        <v>-0.47360266231000164</v>
      </c>
      <c r="J545">
        <f t="shared" si="111"/>
        <v>0.83070826225106287</v>
      </c>
      <c r="K545">
        <f t="shared" si="112"/>
        <v>0.99988907105560221</v>
      </c>
      <c r="L545">
        <f t="shared" si="113"/>
        <v>-1.1093509746818487E-4</v>
      </c>
      <c r="M545">
        <f t="shared" si="114"/>
        <v>0.64406779661016944</v>
      </c>
      <c r="N545">
        <f t="shared" si="115"/>
        <v>0.3559322033898305</v>
      </c>
      <c r="P545">
        <f t="shared" si="116"/>
        <v>767</v>
      </c>
      <c r="Q545">
        <f t="shared" si="117"/>
        <v>297.5</v>
      </c>
    </row>
    <row r="546" spans="1:17" x14ac:dyDescent="0.35">
      <c r="A546">
        <v>2023</v>
      </c>
      <c r="B546" s="18">
        <v>216</v>
      </c>
      <c r="C546" s="20">
        <v>43</v>
      </c>
      <c r="D546" s="12">
        <f t="shared" si="105"/>
        <v>27</v>
      </c>
      <c r="E546" s="27">
        <f t="shared" si="106"/>
        <v>0.54</v>
      </c>
      <c r="F546" s="27">
        <f t="shared" si="107"/>
        <v>0.86</v>
      </c>
      <c r="G546">
        <f t="shared" si="108"/>
        <v>70</v>
      </c>
      <c r="H546">
        <f t="shared" si="109"/>
        <v>1</v>
      </c>
      <c r="I546">
        <f t="shared" si="110"/>
        <v>1.232822534050142</v>
      </c>
      <c r="J546">
        <f t="shared" si="111"/>
        <v>1.4084032876544244</v>
      </c>
      <c r="K546">
        <f t="shared" si="112"/>
        <v>0.99999999965330444</v>
      </c>
      <c r="L546">
        <f t="shared" si="113"/>
        <v>-3.4669556120873444E-10</v>
      </c>
      <c r="M546">
        <f t="shared" si="114"/>
        <v>0.61428571428571432</v>
      </c>
      <c r="N546">
        <f t="shared" si="115"/>
        <v>0.38571428571428573</v>
      </c>
      <c r="P546">
        <f t="shared" si="116"/>
        <v>98.5</v>
      </c>
      <c r="Q546">
        <f t="shared" si="117"/>
        <v>53.5</v>
      </c>
    </row>
    <row r="547" spans="1:17" x14ac:dyDescent="0.35">
      <c r="A547">
        <v>2023</v>
      </c>
      <c r="B547" s="18">
        <v>189</v>
      </c>
      <c r="C547" s="21">
        <v>43</v>
      </c>
      <c r="D547" s="12">
        <f t="shared" si="105"/>
        <v>23.625</v>
      </c>
      <c r="E547" s="27">
        <f t="shared" si="106"/>
        <v>0.47249999999999998</v>
      </c>
      <c r="F547" s="27">
        <f t="shared" si="107"/>
        <v>0.86</v>
      </c>
      <c r="G547">
        <f t="shared" si="108"/>
        <v>66.625</v>
      </c>
      <c r="H547">
        <f t="shared" si="109"/>
        <v>1</v>
      </c>
      <c r="I547">
        <f t="shared" si="110"/>
        <v>0.27295836109756116</v>
      </c>
      <c r="J547">
        <f t="shared" si="111"/>
        <v>1.4084032876544244</v>
      </c>
      <c r="K547">
        <f t="shared" si="112"/>
        <v>0.99999997689924613</v>
      </c>
      <c r="L547">
        <f t="shared" si="113"/>
        <v>-2.3100754132179568E-8</v>
      </c>
      <c r="M547">
        <f t="shared" si="114"/>
        <v>0.64540337711069418</v>
      </c>
      <c r="N547">
        <f t="shared" si="115"/>
        <v>0.35459662288930582</v>
      </c>
      <c r="P547">
        <f t="shared" si="116"/>
        <v>357.5</v>
      </c>
      <c r="Q547">
        <f t="shared" si="117"/>
        <v>53.5</v>
      </c>
    </row>
    <row r="548" spans="1:17" x14ac:dyDescent="0.35">
      <c r="A548">
        <v>2023</v>
      </c>
      <c r="B548" s="18">
        <v>215</v>
      </c>
      <c r="C548" s="20">
        <v>26</v>
      </c>
      <c r="D548" s="12">
        <f t="shared" si="105"/>
        <v>26.875</v>
      </c>
      <c r="E548" s="27">
        <f t="shared" si="106"/>
        <v>0.53749999999999998</v>
      </c>
      <c r="F548" s="27">
        <f t="shared" si="107"/>
        <v>0.52</v>
      </c>
      <c r="G548">
        <f t="shared" si="108"/>
        <v>52.875</v>
      </c>
      <c r="H548">
        <f t="shared" si="109"/>
        <v>1</v>
      </c>
      <c r="I548">
        <f t="shared" si="110"/>
        <v>1.1972720091259723</v>
      </c>
      <c r="J548">
        <f t="shared" si="111"/>
        <v>-0.55575979871700476</v>
      </c>
      <c r="K548">
        <f t="shared" si="112"/>
        <v>0.98035520465207993</v>
      </c>
      <c r="L548">
        <f t="shared" si="113"/>
        <v>-1.9840319261391386E-2</v>
      </c>
      <c r="M548">
        <f t="shared" si="114"/>
        <v>0.49172576832151299</v>
      </c>
      <c r="N548">
        <f t="shared" si="115"/>
        <v>0.50827423167848695</v>
      </c>
      <c r="P548">
        <f t="shared" si="116"/>
        <v>105.5</v>
      </c>
      <c r="Q548">
        <f t="shared" si="117"/>
        <v>796</v>
      </c>
    </row>
    <row r="549" spans="1:17" x14ac:dyDescent="0.35">
      <c r="A549">
        <v>2023</v>
      </c>
      <c r="B549" s="18">
        <v>181</v>
      </c>
      <c r="C549" s="20">
        <v>39</v>
      </c>
      <c r="D549" s="12">
        <f t="shared" si="105"/>
        <v>22.625</v>
      </c>
      <c r="E549" s="27">
        <f t="shared" si="106"/>
        <v>0.45250000000000001</v>
      </c>
      <c r="F549" s="27">
        <f t="shared" si="107"/>
        <v>0.78</v>
      </c>
      <c r="G549">
        <f t="shared" si="108"/>
        <v>61.625</v>
      </c>
      <c r="H549">
        <f t="shared" si="109"/>
        <v>1</v>
      </c>
      <c r="I549">
        <f t="shared" si="110"/>
        <v>-1.1445838295796084E-2</v>
      </c>
      <c r="J549">
        <f t="shared" si="111"/>
        <v>0.94624726733173525</v>
      </c>
      <c r="K549">
        <f t="shared" si="112"/>
        <v>0.99999481900126164</v>
      </c>
      <c r="L549">
        <f t="shared" si="113"/>
        <v>-5.1810121597836281E-6</v>
      </c>
      <c r="M549">
        <f t="shared" si="114"/>
        <v>0.63286004056795131</v>
      </c>
      <c r="N549">
        <f t="shared" si="115"/>
        <v>0.36713995943204869</v>
      </c>
      <c r="P549">
        <f t="shared" si="116"/>
        <v>505</v>
      </c>
      <c r="Q549">
        <f t="shared" si="117"/>
        <v>233</v>
      </c>
    </row>
    <row r="550" spans="1:17" x14ac:dyDescent="0.35">
      <c r="A550">
        <v>2023</v>
      </c>
      <c r="B550" s="18">
        <v>215</v>
      </c>
      <c r="C550" s="20">
        <v>42</v>
      </c>
      <c r="D550" s="12">
        <f t="shared" si="105"/>
        <v>26.875</v>
      </c>
      <c r="E550" s="27">
        <f t="shared" si="106"/>
        <v>0.53749999999999998</v>
      </c>
      <c r="F550" s="27">
        <f t="shared" si="107"/>
        <v>0.84</v>
      </c>
      <c r="G550">
        <f t="shared" si="108"/>
        <v>68.875</v>
      </c>
      <c r="H550">
        <f t="shared" si="109"/>
        <v>1</v>
      </c>
      <c r="I550">
        <f t="shared" si="110"/>
        <v>1.1972720091259723</v>
      </c>
      <c r="J550">
        <f t="shared" si="111"/>
        <v>1.2928642825737522</v>
      </c>
      <c r="K550">
        <f t="shared" si="112"/>
        <v>0.99999999885157687</v>
      </c>
      <c r="L550">
        <f t="shared" si="113"/>
        <v>-1.148423135026687E-9</v>
      </c>
      <c r="M550">
        <f t="shared" si="114"/>
        <v>0.6098003629764065</v>
      </c>
      <c r="N550">
        <f t="shared" si="115"/>
        <v>0.39019963702359345</v>
      </c>
      <c r="P550">
        <f t="shared" si="116"/>
        <v>105.5</v>
      </c>
      <c r="Q550">
        <f t="shared" si="117"/>
        <v>90.5</v>
      </c>
    </row>
    <row r="551" spans="1:17" x14ac:dyDescent="0.35">
      <c r="A551">
        <v>2023</v>
      </c>
      <c r="B551" s="18">
        <v>180</v>
      </c>
      <c r="C551" s="20">
        <v>32</v>
      </c>
      <c r="D551" s="12">
        <f t="shared" si="105"/>
        <v>22.5</v>
      </c>
      <c r="E551" s="27">
        <f t="shared" si="106"/>
        <v>0.45</v>
      </c>
      <c r="F551" s="27">
        <f t="shared" si="107"/>
        <v>0.64</v>
      </c>
      <c r="G551">
        <f t="shared" si="108"/>
        <v>54.5</v>
      </c>
      <c r="H551">
        <f t="shared" si="109"/>
        <v>1</v>
      </c>
      <c r="I551">
        <f t="shared" si="110"/>
        <v>-4.6996363219965739E-2</v>
      </c>
      <c r="J551">
        <f t="shared" si="111"/>
        <v>0.13747423176702911</v>
      </c>
      <c r="K551">
        <f t="shared" si="112"/>
        <v>0.991161577528753</v>
      </c>
      <c r="L551">
        <f t="shared" si="113"/>
        <v>-8.8777130093782124E-3</v>
      </c>
      <c r="M551">
        <f t="shared" si="114"/>
        <v>0.58715596330275233</v>
      </c>
      <c r="N551">
        <f t="shared" si="115"/>
        <v>0.41284403669724773</v>
      </c>
      <c r="P551">
        <f t="shared" si="116"/>
        <v>528</v>
      </c>
      <c r="Q551">
        <f t="shared" si="117"/>
        <v>564</v>
      </c>
    </row>
    <row r="552" spans="1:17" x14ac:dyDescent="0.35">
      <c r="A552">
        <v>2023</v>
      </c>
      <c r="B552" s="18">
        <v>198</v>
      </c>
      <c r="C552" s="20">
        <v>10</v>
      </c>
      <c r="D552" s="12">
        <f t="shared" si="105"/>
        <v>24.75</v>
      </c>
      <c r="E552" s="27">
        <f t="shared" si="106"/>
        <v>0.495</v>
      </c>
      <c r="F552" s="27">
        <f t="shared" si="107"/>
        <v>0.2</v>
      </c>
      <c r="G552">
        <f t="shared" si="108"/>
        <v>34.75</v>
      </c>
      <c r="H552">
        <f t="shared" si="109"/>
        <v>0</v>
      </c>
      <c r="I552">
        <f t="shared" si="110"/>
        <v>0.59291308541508814</v>
      </c>
      <c r="J552">
        <f t="shared" si="111"/>
        <v>-2.4043838800077615</v>
      </c>
      <c r="K552">
        <f t="shared" si="112"/>
        <v>2.0329749284845115E-7</v>
      </c>
      <c r="L552">
        <f t="shared" si="113"/>
        <v>-2.0329751350503133E-7</v>
      </c>
      <c r="M552">
        <f t="shared" si="114"/>
        <v>0.28776978417266186</v>
      </c>
      <c r="N552">
        <f t="shared" si="115"/>
        <v>0.71223021582733814</v>
      </c>
      <c r="P552">
        <f t="shared" si="116"/>
        <v>251</v>
      </c>
      <c r="Q552">
        <f t="shared" si="117"/>
        <v>1135</v>
      </c>
    </row>
    <row r="553" spans="1:17" x14ac:dyDescent="0.35">
      <c r="A553">
        <v>2023</v>
      </c>
      <c r="B553" s="18">
        <v>170</v>
      </c>
      <c r="C553" s="20">
        <v>29</v>
      </c>
      <c r="D553" s="12">
        <f t="shared" si="105"/>
        <v>21.25</v>
      </c>
      <c r="E553" s="27">
        <f t="shared" si="106"/>
        <v>0.42499999999999999</v>
      </c>
      <c r="F553" s="27">
        <f t="shared" si="107"/>
        <v>0.57999999999999996</v>
      </c>
      <c r="G553">
        <f t="shared" si="108"/>
        <v>50.25</v>
      </c>
      <c r="H553">
        <f t="shared" si="109"/>
        <v>1</v>
      </c>
      <c r="I553">
        <f t="shared" si="110"/>
        <v>-0.40250161246166233</v>
      </c>
      <c r="J553">
        <f t="shared" si="111"/>
        <v>-0.2091427834749878</v>
      </c>
      <c r="K553">
        <f t="shared" si="112"/>
        <v>0.50949874912207171</v>
      </c>
      <c r="L553">
        <f t="shared" si="113"/>
        <v>-0.67432788143116085</v>
      </c>
      <c r="M553">
        <f t="shared" si="114"/>
        <v>0.57711442786069655</v>
      </c>
      <c r="N553">
        <f t="shared" si="115"/>
        <v>0.4228855721393035</v>
      </c>
      <c r="P553">
        <f t="shared" si="116"/>
        <v>720</v>
      </c>
      <c r="Q553">
        <f t="shared" si="117"/>
        <v>671</v>
      </c>
    </row>
    <row r="554" spans="1:17" x14ac:dyDescent="0.35">
      <c r="A554">
        <v>2023</v>
      </c>
      <c r="B554" s="18">
        <v>167</v>
      </c>
      <c r="C554" s="20">
        <v>41</v>
      </c>
      <c r="D554" s="12">
        <f t="shared" si="105"/>
        <v>20.875</v>
      </c>
      <c r="E554" s="27">
        <f t="shared" si="106"/>
        <v>0.41749999999999998</v>
      </c>
      <c r="F554" s="27">
        <f t="shared" si="107"/>
        <v>0.82</v>
      </c>
      <c r="G554">
        <f t="shared" si="108"/>
        <v>61.875</v>
      </c>
      <c r="H554">
        <f t="shared" si="109"/>
        <v>1</v>
      </c>
      <c r="I554">
        <f t="shared" si="110"/>
        <v>-0.50915318723417125</v>
      </c>
      <c r="J554">
        <f t="shared" si="111"/>
        <v>1.1773252774930798</v>
      </c>
      <c r="K554">
        <f t="shared" si="112"/>
        <v>0.99999431403974204</v>
      </c>
      <c r="L554">
        <f t="shared" si="113"/>
        <v>-5.6859764230950566E-6</v>
      </c>
      <c r="M554">
        <f t="shared" si="114"/>
        <v>0.66262626262626267</v>
      </c>
      <c r="N554">
        <f t="shared" si="115"/>
        <v>0.33737373737373738</v>
      </c>
      <c r="P554">
        <f t="shared" si="116"/>
        <v>789.5</v>
      </c>
      <c r="Q554">
        <f t="shared" si="117"/>
        <v>129.5</v>
      </c>
    </row>
    <row r="555" spans="1:17" x14ac:dyDescent="0.35">
      <c r="A555">
        <v>2023</v>
      </c>
      <c r="B555" s="18">
        <v>178</v>
      </c>
      <c r="C555" s="20">
        <v>20</v>
      </c>
      <c r="D555" s="12">
        <f t="shared" si="105"/>
        <v>22.25</v>
      </c>
      <c r="E555" s="27">
        <f t="shared" si="106"/>
        <v>0.44500000000000001</v>
      </c>
      <c r="F555" s="27">
        <f t="shared" si="107"/>
        <v>0.4</v>
      </c>
      <c r="G555">
        <f t="shared" si="108"/>
        <v>42.25</v>
      </c>
      <c r="H555">
        <f t="shared" si="109"/>
        <v>0</v>
      </c>
      <c r="I555">
        <f t="shared" si="110"/>
        <v>-0.11809741306830505</v>
      </c>
      <c r="J555">
        <f t="shared" si="111"/>
        <v>-1.2489938292010385</v>
      </c>
      <c r="K555">
        <f t="shared" si="112"/>
        <v>3.0424867135646371E-4</v>
      </c>
      <c r="L555">
        <f t="shared" si="113"/>
        <v>-3.042949643734525E-4</v>
      </c>
      <c r="M555">
        <f t="shared" si="114"/>
        <v>0.47337278106508873</v>
      </c>
      <c r="N555">
        <f t="shared" si="115"/>
        <v>0.52662721893491127</v>
      </c>
      <c r="P555">
        <f t="shared" si="116"/>
        <v>564.5</v>
      </c>
      <c r="Q555">
        <f t="shared" si="117"/>
        <v>996</v>
      </c>
    </row>
    <row r="556" spans="1:17" x14ac:dyDescent="0.35">
      <c r="A556">
        <v>2023</v>
      </c>
      <c r="B556" s="18">
        <v>162</v>
      </c>
      <c r="C556" s="21">
        <v>25</v>
      </c>
      <c r="D556" s="12">
        <f t="shared" si="105"/>
        <v>20.25</v>
      </c>
      <c r="E556" s="27">
        <f t="shared" si="106"/>
        <v>0.40500000000000003</v>
      </c>
      <c r="F556" s="27">
        <f t="shared" si="107"/>
        <v>0.5</v>
      </c>
      <c r="G556">
        <f t="shared" si="108"/>
        <v>45.25</v>
      </c>
      <c r="H556">
        <f t="shared" si="109"/>
        <v>0</v>
      </c>
      <c r="I556">
        <f t="shared" si="110"/>
        <v>-0.68690581185501953</v>
      </c>
      <c r="J556">
        <f t="shared" si="111"/>
        <v>-0.67129880379767704</v>
      </c>
      <c r="K556">
        <f t="shared" si="112"/>
        <v>4.6100610600087631E-3</v>
      </c>
      <c r="L556">
        <f t="shared" si="113"/>
        <v>-4.6207201635255378E-3</v>
      </c>
      <c r="M556">
        <f t="shared" si="114"/>
        <v>0.5524861878453039</v>
      </c>
      <c r="N556">
        <f t="shared" si="115"/>
        <v>0.44751381215469616</v>
      </c>
      <c r="P556">
        <f t="shared" si="116"/>
        <v>876</v>
      </c>
      <c r="Q556">
        <f t="shared" si="117"/>
        <v>835</v>
      </c>
    </row>
    <row r="557" spans="1:17" x14ac:dyDescent="0.35">
      <c r="A557">
        <v>2023</v>
      </c>
      <c r="B557" s="18">
        <v>212</v>
      </c>
      <c r="C557" s="20">
        <v>27</v>
      </c>
      <c r="D557" s="12">
        <f t="shared" si="105"/>
        <v>26.5</v>
      </c>
      <c r="E557" s="27">
        <f t="shared" si="106"/>
        <v>0.53</v>
      </c>
      <c r="F557" s="27">
        <f t="shared" si="107"/>
        <v>0.54</v>
      </c>
      <c r="G557">
        <f t="shared" si="108"/>
        <v>53.5</v>
      </c>
      <c r="H557">
        <f t="shared" si="109"/>
        <v>1</v>
      </c>
      <c r="I557">
        <f t="shared" si="110"/>
        <v>1.0906204343534633</v>
      </c>
      <c r="J557">
        <f t="shared" si="111"/>
        <v>-0.44022079363633243</v>
      </c>
      <c r="K557">
        <f t="shared" si="112"/>
        <v>0.98885658977250412</v>
      </c>
      <c r="L557">
        <f t="shared" si="113"/>
        <v>-1.1205963159345692E-2</v>
      </c>
      <c r="M557">
        <f t="shared" si="114"/>
        <v>0.50467289719626163</v>
      </c>
      <c r="N557">
        <f t="shared" si="115"/>
        <v>0.49532710280373832</v>
      </c>
      <c r="P557">
        <f t="shared" si="116"/>
        <v>121</v>
      </c>
      <c r="Q557">
        <f t="shared" si="117"/>
        <v>752.5</v>
      </c>
    </row>
    <row r="558" spans="1:17" x14ac:dyDescent="0.35">
      <c r="A558">
        <v>2023</v>
      </c>
      <c r="B558" s="18">
        <v>155</v>
      </c>
      <c r="C558" s="20">
        <v>25</v>
      </c>
      <c r="D558" s="12">
        <f t="shared" si="105"/>
        <v>19.375</v>
      </c>
      <c r="E558" s="27">
        <f t="shared" si="106"/>
        <v>0.38750000000000001</v>
      </c>
      <c r="F558" s="27">
        <f t="shared" si="107"/>
        <v>0.5</v>
      </c>
      <c r="G558">
        <f t="shared" si="108"/>
        <v>44.375</v>
      </c>
      <c r="H558">
        <f t="shared" si="109"/>
        <v>0</v>
      </c>
      <c r="I558">
        <f t="shared" si="110"/>
        <v>-0.93575948632420713</v>
      </c>
      <c r="J558">
        <f t="shared" si="111"/>
        <v>-0.67129880379767704</v>
      </c>
      <c r="K558">
        <f t="shared" si="112"/>
        <v>1.5567948534203945E-3</v>
      </c>
      <c r="L558">
        <f t="shared" si="113"/>
        <v>-1.5580079176865092E-3</v>
      </c>
      <c r="M558">
        <f t="shared" si="114"/>
        <v>0.56338028169014087</v>
      </c>
      <c r="N558">
        <f t="shared" si="115"/>
        <v>0.43661971830985913</v>
      </c>
      <c r="P558">
        <f t="shared" si="116"/>
        <v>985</v>
      </c>
      <c r="Q558">
        <f t="shared" si="117"/>
        <v>835</v>
      </c>
    </row>
    <row r="559" spans="1:17" x14ac:dyDescent="0.35">
      <c r="A559">
        <v>2023</v>
      </c>
      <c r="B559" s="18">
        <v>164</v>
      </c>
      <c r="C559" s="20">
        <v>34</v>
      </c>
      <c r="D559" s="12">
        <f t="shared" si="105"/>
        <v>20.5</v>
      </c>
      <c r="E559" s="27">
        <f t="shared" si="106"/>
        <v>0.41</v>
      </c>
      <c r="F559" s="27">
        <f t="shared" si="107"/>
        <v>0.68</v>
      </c>
      <c r="G559">
        <f t="shared" si="108"/>
        <v>54.5</v>
      </c>
      <c r="H559">
        <f t="shared" si="109"/>
        <v>1</v>
      </c>
      <c r="I559">
        <f t="shared" si="110"/>
        <v>-0.61580476200668022</v>
      </c>
      <c r="J559">
        <f t="shared" si="111"/>
        <v>0.36855224192837371</v>
      </c>
      <c r="K559">
        <f t="shared" si="112"/>
        <v>0.98681908225291159</v>
      </c>
      <c r="L559">
        <f t="shared" si="113"/>
        <v>-1.3268557005885192E-2</v>
      </c>
      <c r="M559">
        <f t="shared" si="114"/>
        <v>0.62385321100917435</v>
      </c>
      <c r="N559">
        <f t="shared" si="115"/>
        <v>0.37614678899082571</v>
      </c>
      <c r="P559">
        <f t="shared" si="116"/>
        <v>844.5</v>
      </c>
      <c r="Q559">
        <f t="shared" si="117"/>
        <v>484.5</v>
      </c>
    </row>
    <row r="560" spans="1:17" x14ac:dyDescent="0.35">
      <c r="A560">
        <v>2023</v>
      </c>
      <c r="B560" s="18">
        <v>199</v>
      </c>
      <c r="C560" s="20">
        <v>30</v>
      </c>
      <c r="D560" s="12">
        <f t="shared" si="105"/>
        <v>24.875</v>
      </c>
      <c r="E560" s="27">
        <f t="shared" si="106"/>
        <v>0.4975</v>
      </c>
      <c r="F560" s="27">
        <f t="shared" si="107"/>
        <v>0.6</v>
      </c>
      <c r="G560">
        <f t="shared" si="108"/>
        <v>54.875</v>
      </c>
      <c r="H560">
        <f t="shared" si="109"/>
        <v>1</v>
      </c>
      <c r="I560">
        <f t="shared" si="110"/>
        <v>0.62846361033925779</v>
      </c>
      <c r="J560">
        <f t="shared" si="111"/>
        <v>-9.3603778394315509E-2</v>
      </c>
      <c r="K560">
        <f t="shared" si="112"/>
        <v>0.99628034075043925</v>
      </c>
      <c r="L560">
        <f t="shared" si="113"/>
        <v>-3.7265943849288038E-3</v>
      </c>
      <c r="M560">
        <f t="shared" si="114"/>
        <v>0.54669703872437359</v>
      </c>
      <c r="N560">
        <f t="shared" si="115"/>
        <v>0.45330296127562641</v>
      </c>
      <c r="P560">
        <f t="shared" si="116"/>
        <v>239</v>
      </c>
      <c r="Q560">
        <f t="shared" si="117"/>
        <v>639</v>
      </c>
    </row>
    <row r="561" spans="1:17" x14ac:dyDescent="0.35">
      <c r="A561">
        <v>2023</v>
      </c>
      <c r="B561" s="18">
        <v>151</v>
      </c>
      <c r="C561" s="20">
        <v>31</v>
      </c>
      <c r="D561" s="12">
        <f t="shared" si="105"/>
        <v>18.875</v>
      </c>
      <c r="E561" s="27">
        <f t="shared" si="106"/>
        <v>0.3775</v>
      </c>
      <c r="F561" s="27">
        <f t="shared" si="107"/>
        <v>0.62</v>
      </c>
      <c r="G561">
        <f t="shared" si="108"/>
        <v>49.875</v>
      </c>
      <c r="H561">
        <f t="shared" si="109"/>
        <v>0</v>
      </c>
      <c r="I561">
        <f t="shared" si="110"/>
        <v>-1.0779615860208858</v>
      </c>
      <c r="J561">
        <f t="shared" si="111"/>
        <v>2.1935226686356796E-2</v>
      </c>
      <c r="K561">
        <f t="shared" si="112"/>
        <v>0.30308970290425014</v>
      </c>
      <c r="L561">
        <f t="shared" si="113"/>
        <v>-0.36109857507536236</v>
      </c>
      <c r="M561">
        <f t="shared" si="114"/>
        <v>0.62155388471177941</v>
      </c>
      <c r="N561">
        <f t="shared" si="115"/>
        <v>0.37844611528822053</v>
      </c>
      <c r="P561">
        <f t="shared" si="116"/>
        <v>1029</v>
      </c>
      <c r="Q561">
        <f t="shared" si="117"/>
        <v>605</v>
      </c>
    </row>
    <row r="562" spans="1:17" x14ac:dyDescent="0.35">
      <c r="A562">
        <v>2023</v>
      </c>
      <c r="B562" s="18">
        <v>183</v>
      </c>
      <c r="C562" s="20">
        <v>42</v>
      </c>
      <c r="D562" s="12">
        <f t="shared" si="105"/>
        <v>22.875</v>
      </c>
      <c r="E562" s="27">
        <f t="shared" si="106"/>
        <v>0.45750000000000002</v>
      </c>
      <c r="F562" s="27">
        <f t="shared" si="107"/>
        <v>0.84</v>
      </c>
      <c r="G562">
        <f t="shared" si="108"/>
        <v>64.875</v>
      </c>
      <c r="H562">
        <f t="shared" si="109"/>
        <v>1</v>
      </c>
      <c r="I562">
        <f t="shared" si="110"/>
        <v>5.9655211552543233E-2</v>
      </c>
      <c r="J562">
        <f t="shared" si="111"/>
        <v>1.2928642825737522</v>
      </c>
      <c r="K562">
        <f t="shared" si="112"/>
        <v>0.99999983346788213</v>
      </c>
      <c r="L562">
        <f t="shared" si="113"/>
        <v>-1.6653213173990493E-7</v>
      </c>
      <c r="M562">
        <f t="shared" si="114"/>
        <v>0.64739884393063585</v>
      </c>
      <c r="N562">
        <f t="shared" si="115"/>
        <v>0.35260115606936415</v>
      </c>
      <c r="P562">
        <f t="shared" si="116"/>
        <v>465</v>
      </c>
      <c r="Q562">
        <f t="shared" si="117"/>
        <v>90.5</v>
      </c>
    </row>
    <row r="563" spans="1:17" x14ac:dyDescent="0.35">
      <c r="A563">
        <v>2023</v>
      </c>
      <c r="B563" s="18">
        <v>183</v>
      </c>
      <c r="C563" s="21">
        <v>38</v>
      </c>
      <c r="D563" s="12">
        <f t="shared" si="105"/>
        <v>22.875</v>
      </c>
      <c r="E563" s="27">
        <f t="shared" si="106"/>
        <v>0.45750000000000002</v>
      </c>
      <c r="F563" s="27">
        <f t="shared" si="107"/>
        <v>0.76</v>
      </c>
      <c r="G563">
        <f t="shared" si="108"/>
        <v>60.875</v>
      </c>
      <c r="H563">
        <f t="shared" si="109"/>
        <v>1</v>
      </c>
      <c r="I563">
        <f t="shared" si="110"/>
        <v>5.9655211552543233E-2</v>
      </c>
      <c r="J563">
        <f t="shared" si="111"/>
        <v>0.83070826225106287</v>
      </c>
      <c r="K563">
        <f t="shared" si="112"/>
        <v>0.99998923698524722</v>
      </c>
      <c r="L563">
        <f t="shared" si="113"/>
        <v>-1.0763072674438191E-5</v>
      </c>
      <c r="M563">
        <f t="shared" si="114"/>
        <v>0.62422997946611913</v>
      </c>
      <c r="N563">
        <f t="shared" si="115"/>
        <v>0.37577002053388092</v>
      </c>
      <c r="P563">
        <f t="shared" si="116"/>
        <v>465</v>
      </c>
      <c r="Q563">
        <f t="shared" si="117"/>
        <v>297.5</v>
      </c>
    </row>
    <row r="564" spans="1:17" x14ac:dyDescent="0.35">
      <c r="A564">
        <v>2023</v>
      </c>
      <c r="B564" s="18">
        <v>188</v>
      </c>
      <c r="C564" s="20">
        <v>29</v>
      </c>
      <c r="D564" s="12">
        <f t="shared" si="105"/>
        <v>23.5</v>
      </c>
      <c r="E564" s="27">
        <f t="shared" si="106"/>
        <v>0.47</v>
      </c>
      <c r="F564" s="27">
        <f t="shared" si="107"/>
        <v>0.57999999999999996</v>
      </c>
      <c r="G564">
        <f t="shared" si="108"/>
        <v>52.5</v>
      </c>
      <c r="H564">
        <f t="shared" si="109"/>
        <v>1</v>
      </c>
      <c r="I564">
        <f t="shared" si="110"/>
        <v>0.23740783617339151</v>
      </c>
      <c r="J564">
        <f t="shared" si="111"/>
        <v>-0.2091427834749878</v>
      </c>
      <c r="K564">
        <f t="shared" si="112"/>
        <v>0.94466625546711891</v>
      </c>
      <c r="L564">
        <f t="shared" si="113"/>
        <v>-5.6923582685052106E-2</v>
      </c>
      <c r="M564">
        <f t="shared" si="114"/>
        <v>0.55238095238095242</v>
      </c>
      <c r="N564">
        <f t="shared" si="115"/>
        <v>0.44761904761904764</v>
      </c>
      <c r="P564">
        <f t="shared" si="116"/>
        <v>374.5</v>
      </c>
      <c r="Q564">
        <f t="shared" si="117"/>
        <v>671</v>
      </c>
    </row>
    <row r="565" spans="1:17" x14ac:dyDescent="0.35">
      <c r="A565">
        <v>2023</v>
      </c>
      <c r="B565" s="18">
        <v>147</v>
      </c>
      <c r="C565" s="20">
        <v>33</v>
      </c>
      <c r="D565" s="12">
        <f t="shared" si="105"/>
        <v>18.375</v>
      </c>
      <c r="E565" s="27">
        <f t="shared" si="106"/>
        <v>0.36749999999999999</v>
      </c>
      <c r="F565" s="27">
        <f t="shared" si="107"/>
        <v>0.66</v>
      </c>
      <c r="G565">
        <f t="shared" si="108"/>
        <v>51.375</v>
      </c>
      <c r="H565">
        <f t="shared" si="109"/>
        <v>1</v>
      </c>
      <c r="I565">
        <f t="shared" si="110"/>
        <v>-1.2201636857175644</v>
      </c>
      <c r="J565">
        <f t="shared" si="111"/>
        <v>0.25301323684770138</v>
      </c>
      <c r="K565">
        <f t="shared" si="112"/>
        <v>0.65240306123673619</v>
      </c>
      <c r="L565">
        <f t="shared" si="113"/>
        <v>-0.42709271597661158</v>
      </c>
      <c r="M565">
        <f t="shared" si="114"/>
        <v>0.64233576642335766</v>
      </c>
      <c r="N565">
        <f t="shared" si="115"/>
        <v>0.35766423357664234</v>
      </c>
      <c r="P565">
        <f t="shared" si="116"/>
        <v>1069.5</v>
      </c>
      <c r="Q565">
        <f t="shared" si="117"/>
        <v>523.5</v>
      </c>
    </row>
    <row r="566" spans="1:17" x14ac:dyDescent="0.35">
      <c r="A566">
        <v>2023</v>
      </c>
      <c r="B566" s="18">
        <v>170</v>
      </c>
      <c r="C566" s="20">
        <v>33</v>
      </c>
      <c r="D566" s="12">
        <f t="shared" si="105"/>
        <v>21.25</v>
      </c>
      <c r="E566" s="27">
        <f t="shared" si="106"/>
        <v>0.42499999999999999</v>
      </c>
      <c r="F566" s="27">
        <f t="shared" si="107"/>
        <v>0.66</v>
      </c>
      <c r="G566">
        <f t="shared" si="108"/>
        <v>54.25</v>
      </c>
      <c r="H566">
        <f t="shared" si="109"/>
        <v>1</v>
      </c>
      <c r="I566">
        <f t="shared" si="110"/>
        <v>-0.40250161246166233</v>
      </c>
      <c r="J566">
        <f t="shared" si="111"/>
        <v>0.25301323684770138</v>
      </c>
      <c r="K566">
        <f t="shared" si="112"/>
        <v>0.98532307356273841</v>
      </c>
      <c r="L566">
        <f t="shared" si="113"/>
        <v>-1.4785698123436655E-2</v>
      </c>
      <c r="M566">
        <f t="shared" si="114"/>
        <v>0.60829493087557607</v>
      </c>
      <c r="N566">
        <f t="shared" si="115"/>
        <v>0.39170506912442399</v>
      </c>
      <c r="P566">
        <f t="shared" si="116"/>
        <v>720</v>
      </c>
      <c r="Q566">
        <f t="shared" si="117"/>
        <v>523.5</v>
      </c>
    </row>
    <row r="567" spans="1:17" x14ac:dyDescent="0.35">
      <c r="A567">
        <v>2023</v>
      </c>
      <c r="B567" s="18">
        <v>164</v>
      </c>
      <c r="C567" s="20">
        <v>33</v>
      </c>
      <c r="D567" s="12">
        <f t="shared" si="105"/>
        <v>20.5</v>
      </c>
      <c r="E567" s="27">
        <f t="shared" si="106"/>
        <v>0.41</v>
      </c>
      <c r="F567" s="27">
        <f t="shared" si="107"/>
        <v>0.66</v>
      </c>
      <c r="G567">
        <f t="shared" si="108"/>
        <v>53.5</v>
      </c>
      <c r="H567">
        <f t="shared" si="109"/>
        <v>1</v>
      </c>
      <c r="I567">
        <f t="shared" si="110"/>
        <v>-0.61580476200668022</v>
      </c>
      <c r="J567">
        <f t="shared" si="111"/>
        <v>0.25301323684770138</v>
      </c>
      <c r="K567">
        <f t="shared" si="112"/>
        <v>0.96350995084300162</v>
      </c>
      <c r="L567">
        <f t="shared" si="113"/>
        <v>-3.7172463373054035E-2</v>
      </c>
      <c r="M567">
        <f t="shared" si="114"/>
        <v>0.61682242990654201</v>
      </c>
      <c r="N567">
        <f t="shared" si="115"/>
        <v>0.38317757009345793</v>
      </c>
      <c r="P567">
        <f t="shared" si="116"/>
        <v>844.5</v>
      </c>
      <c r="Q567">
        <f t="shared" si="117"/>
        <v>523.5</v>
      </c>
    </row>
    <row r="568" spans="1:17" x14ac:dyDescent="0.35">
      <c r="A568">
        <v>2023</v>
      </c>
      <c r="B568" s="18">
        <v>166</v>
      </c>
      <c r="C568" s="20">
        <v>6</v>
      </c>
      <c r="D568" s="12">
        <f t="shared" si="105"/>
        <v>20.75</v>
      </c>
      <c r="E568" s="27">
        <f t="shared" si="106"/>
        <v>0.41499999999999998</v>
      </c>
      <c r="F568" s="27">
        <f t="shared" si="107"/>
        <v>0.12</v>
      </c>
      <c r="G568">
        <f t="shared" si="108"/>
        <v>26.75</v>
      </c>
      <c r="H568">
        <f t="shared" si="109"/>
        <v>0</v>
      </c>
      <c r="I568">
        <f t="shared" si="110"/>
        <v>-0.5447037121583409</v>
      </c>
      <c r="J568">
        <f t="shared" si="111"/>
        <v>-2.8665399003304506</v>
      </c>
      <c r="K568">
        <f t="shared" si="112"/>
        <v>2.1691791478838253E-11</v>
      </c>
      <c r="L568">
        <f t="shared" si="113"/>
        <v>-2.1691759499966499E-11</v>
      </c>
      <c r="M568">
        <f t="shared" si="114"/>
        <v>0.22429906542056074</v>
      </c>
      <c r="N568">
        <f t="shared" si="115"/>
        <v>0.77570093457943923</v>
      </c>
      <c r="P568">
        <f t="shared" si="116"/>
        <v>809</v>
      </c>
      <c r="Q568">
        <f t="shared" si="117"/>
        <v>1142</v>
      </c>
    </row>
    <row r="569" spans="1:17" x14ac:dyDescent="0.35">
      <c r="A569">
        <v>2023</v>
      </c>
      <c r="B569" s="18">
        <v>191</v>
      </c>
      <c r="C569" s="20">
        <v>30</v>
      </c>
      <c r="D569" s="12">
        <f t="shared" si="105"/>
        <v>23.875</v>
      </c>
      <c r="E569" s="27">
        <f t="shared" si="106"/>
        <v>0.47749999999999998</v>
      </c>
      <c r="F569" s="27">
        <f t="shared" si="107"/>
        <v>0.6</v>
      </c>
      <c r="G569">
        <f t="shared" si="108"/>
        <v>53.875</v>
      </c>
      <c r="H569">
        <f t="shared" si="109"/>
        <v>1</v>
      </c>
      <c r="I569">
        <f t="shared" si="110"/>
        <v>0.34405941094590048</v>
      </c>
      <c r="J569">
        <f t="shared" si="111"/>
        <v>-9.3603778394315509E-2</v>
      </c>
      <c r="K569">
        <f t="shared" si="112"/>
        <v>0.98720971981449257</v>
      </c>
      <c r="L569">
        <f t="shared" si="113"/>
        <v>-1.2872780038222955E-2</v>
      </c>
      <c r="M569">
        <f t="shared" si="114"/>
        <v>0.55684454756380508</v>
      </c>
      <c r="N569">
        <f t="shared" si="115"/>
        <v>0.44315545243619492</v>
      </c>
      <c r="P569">
        <f t="shared" si="116"/>
        <v>327</v>
      </c>
      <c r="Q569">
        <f t="shared" si="117"/>
        <v>639</v>
      </c>
    </row>
    <row r="570" spans="1:17" x14ac:dyDescent="0.35">
      <c r="A570">
        <v>2023</v>
      </c>
      <c r="B570" s="18">
        <v>187</v>
      </c>
      <c r="C570" s="20">
        <v>31</v>
      </c>
      <c r="D570" s="12">
        <f t="shared" si="105"/>
        <v>23.375</v>
      </c>
      <c r="E570" s="27">
        <f t="shared" si="106"/>
        <v>0.46750000000000003</v>
      </c>
      <c r="F570" s="27">
        <f t="shared" si="107"/>
        <v>0.62</v>
      </c>
      <c r="G570">
        <f t="shared" si="108"/>
        <v>54.375</v>
      </c>
      <c r="H570">
        <f t="shared" si="109"/>
        <v>1</v>
      </c>
      <c r="I570">
        <f t="shared" si="110"/>
        <v>0.20185731124922185</v>
      </c>
      <c r="J570">
        <f t="shared" si="111"/>
        <v>2.1935226686356796E-2</v>
      </c>
      <c r="K570">
        <f t="shared" si="112"/>
        <v>0.99155977696145914</v>
      </c>
      <c r="L570">
        <f t="shared" si="113"/>
        <v>-8.4760434180782673E-3</v>
      </c>
      <c r="M570">
        <f t="shared" si="114"/>
        <v>0.57011494252873562</v>
      </c>
      <c r="N570">
        <f t="shared" si="115"/>
        <v>0.42988505747126438</v>
      </c>
      <c r="P570">
        <f t="shared" si="116"/>
        <v>393</v>
      </c>
      <c r="Q570">
        <f t="shared" si="117"/>
        <v>605</v>
      </c>
    </row>
    <row r="571" spans="1:17" x14ac:dyDescent="0.35">
      <c r="A571">
        <v>2023</v>
      </c>
      <c r="B571" s="18">
        <v>171</v>
      </c>
      <c r="C571" s="20">
        <v>33</v>
      </c>
      <c r="D571" s="12">
        <f t="shared" si="105"/>
        <v>21.375</v>
      </c>
      <c r="E571" s="27">
        <f t="shared" si="106"/>
        <v>0.42749999999999999</v>
      </c>
      <c r="F571" s="27">
        <f t="shared" si="107"/>
        <v>0.66</v>
      </c>
      <c r="G571">
        <f t="shared" si="108"/>
        <v>54.375</v>
      </c>
      <c r="H571">
        <f t="shared" si="109"/>
        <v>1</v>
      </c>
      <c r="I571">
        <f t="shared" si="110"/>
        <v>-0.36695108753749267</v>
      </c>
      <c r="J571">
        <f t="shared" si="111"/>
        <v>0.25301323684770138</v>
      </c>
      <c r="K571">
        <f t="shared" si="112"/>
        <v>0.98741044007237777</v>
      </c>
      <c r="L571">
        <f t="shared" si="113"/>
        <v>-1.2669479917365249E-2</v>
      </c>
      <c r="M571">
        <f t="shared" si="114"/>
        <v>0.60689655172413792</v>
      </c>
      <c r="N571">
        <f t="shared" si="115"/>
        <v>0.39310344827586208</v>
      </c>
      <c r="P571">
        <f t="shared" si="116"/>
        <v>700</v>
      </c>
      <c r="Q571">
        <f t="shared" si="117"/>
        <v>523.5</v>
      </c>
    </row>
    <row r="572" spans="1:17" x14ac:dyDescent="0.35">
      <c r="A572">
        <v>2023</v>
      </c>
      <c r="B572" s="18">
        <v>192</v>
      </c>
      <c r="C572" s="20">
        <v>14</v>
      </c>
      <c r="D572" s="12">
        <f t="shared" si="105"/>
        <v>24</v>
      </c>
      <c r="E572" s="27">
        <f t="shared" si="106"/>
        <v>0.48</v>
      </c>
      <c r="F572" s="27">
        <f t="shared" si="107"/>
        <v>0.28000000000000003</v>
      </c>
      <c r="G572">
        <f t="shared" si="108"/>
        <v>38</v>
      </c>
      <c r="H572">
        <f t="shared" si="109"/>
        <v>0</v>
      </c>
      <c r="I572">
        <f t="shared" si="110"/>
        <v>0.37960993587007014</v>
      </c>
      <c r="J572">
        <f t="shared" si="111"/>
        <v>-1.9422278596850724</v>
      </c>
      <c r="K572">
        <f t="shared" si="112"/>
        <v>5.1678347711206242E-6</v>
      </c>
      <c r="L572">
        <f t="shared" si="113"/>
        <v>-5.1678481244178265E-6</v>
      </c>
      <c r="M572">
        <f t="shared" si="114"/>
        <v>0.36842105263157893</v>
      </c>
      <c r="N572">
        <f t="shared" si="115"/>
        <v>0.63157894736842102</v>
      </c>
      <c r="P572">
        <f t="shared" si="116"/>
        <v>318.5</v>
      </c>
      <c r="Q572">
        <f t="shared" si="117"/>
        <v>1107.5</v>
      </c>
    </row>
    <row r="573" spans="1:17" x14ac:dyDescent="0.35">
      <c r="A573">
        <v>2023</v>
      </c>
      <c r="B573" s="18">
        <v>174</v>
      </c>
      <c r="C573" s="20">
        <v>36</v>
      </c>
      <c r="D573" s="12">
        <f t="shared" si="105"/>
        <v>21.75</v>
      </c>
      <c r="E573" s="27">
        <f t="shared" si="106"/>
        <v>0.435</v>
      </c>
      <c r="F573" s="27">
        <f t="shared" si="107"/>
        <v>0.72</v>
      </c>
      <c r="G573">
        <f t="shared" si="108"/>
        <v>57.75</v>
      </c>
      <c r="H573">
        <f t="shared" si="109"/>
        <v>1</v>
      </c>
      <c r="I573">
        <f t="shared" si="110"/>
        <v>-0.2602995127649837</v>
      </c>
      <c r="J573">
        <f t="shared" si="111"/>
        <v>0.59963025208971832</v>
      </c>
      <c r="K573">
        <f t="shared" si="112"/>
        <v>0.99964932950651209</v>
      </c>
      <c r="L573">
        <f t="shared" si="113"/>
        <v>-3.5073199276315712E-4</v>
      </c>
      <c r="M573">
        <f t="shared" si="114"/>
        <v>0.62337662337662336</v>
      </c>
      <c r="N573">
        <f t="shared" si="115"/>
        <v>0.37662337662337664</v>
      </c>
      <c r="P573">
        <f t="shared" si="116"/>
        <v>653</v>
      </c>
      <c r="Q573">
        <f t="shared" si="117"/>
        <v>403.5</v>
      </c>
    </row>
    <row r="574" spans="1:17" x14ac:dyDescent="0.35">
      <c r="A574">
        <v>2023</v>
      </c>
      <c r="B574" s="18">
        <v>176</v>
      </c>
      <c r="C574" s="20">
        <v>43</v>
      </c>
      <c r="D574" s="12">
        <f t="shared" si="105"/>
        <v>22</v>
      </c>
      <c r="E574" s="27">
        <f t="shared" si="106"/>
        <v>0.44</v>
      </c>
      <c r="F574" s="27">
        <f t="shared" si="107"/>
        <v>0.86</v>
      </c>
      <c r="G574">
        <f t="shared" si="108"/>
        <v>65</v>
      </c>
      <c r="H574">
        <f t="shared" si="109"/>
        <v>1</v>
      </c>
      <c r="I574">
        <f t="shared" si="110"/>
        <v>-0.18919846291664436</v>
      </c>
      <c r="J574">
        <f t="shared" si="111"/>
        <v>1.4084032876544244</v>
      </c>
      <c r="K574">
        <f t="shared" si="112"/>
        <v>0.9999998255410405</v>
      </c>
      <c r="L574">
        <f t="shared" si="113"/>
        <v>-1.7445897471893316E-7</v>
      </c>
      <c r="M574">
        <f t="shared" si="114"/>
        <v>0.66153846153846152</v>
      </c>
      <c r="N574">
        <f t="shared" si="115"/>
        <v>0.33846153846153848</v>
      </c>
      <c r="P574">
        <f t="shared" si="116"/>
        <v>607.5</v>
      </c>
      <c r="Q574">
        <f t="shared" si="117"/>
        <v>53.5</v>
      </c>
    </row>
    <row r="575" spans="1:17" x14ac:dyDescent="0.35">
      <c r="A575">
        <v>2023</v>
      </c>
      <c r="B575" s="18">
        <v>173</v>
      </c>
      <c r="C575" s="20">
        <v>23</v>
      </c>
      <c r="D575" s="12">
        <f t="shared" si="105"/>
        <v>21.625</v>
      </c>
      <c r="E575" s="27">
        <f t="shared" si="106"/>
        <v>0.4325</v>
      </c>
      <c r="F575" s="27">
        <f t="shared" si="107"/>
        <v>0.46</v>
      </c>
      <c r="G575">
        <f t="shared" si="108"/>
        <v>44.625</v>
      </c>
      <c r="H575">
        <f t="shared" si="109"/>
        <v>0</v>
      </c>
      <c r="I575">
        <f t="shared" si="110"/>
        <v>-0.29585003768915336</v>
      </c>
      <c r="J575">
        <f t="shared" si="111"/>
        <v>-0.90237681395902158</v>
      </c>
      <c r="K575">
        <f t="shared" si="112"/>
        <v>3.1775391411457718E-3</v>
      </c>
      <c r="L575">
        <f t="shared" si="113"/>
        <v>-3.1825982384717185E-3</v>
      </c>
      <c r="M575">
        <f t="shared" si="114"/>
        <v>0.51540616246498594</v>
      </c>
      <c r="N575">
        <f t="shared" si="115"/>
        <v>0.484593837535014</v>
      </c>
      <c r="P575">
        <f t="shared" si="116"/>
        <v>669</v>
      </c>
      <c r="Q575">
        <f t="shared" si="117"/>
        <v>904</v>
      </c>
    </row>
    <row r="576" spans="1:17" x14ac:dyDescent="0.35">
      <c r="A576">
        <v>2023</v>
      </c>
      <c r="B576" s="18">
        <v>182</v>
      </c>
      <c r="C576" s="20">
        <v>38</v>
      </c>
      <c r="D576" s="12">
        <f t="shared" si="105"/>
        <v>22.75</v>
      </c>
      <c r="E576" s="27">
        <f t="shared" si="106"/>
        <v>0.45500000000000002</v>
      </c>
      <c r="F576" s="27">
        <f t="shared" si="107"/>
        <v>0.76</v>
      </c>
      <c r="G576">
        <f t="shared" si="108"/>
        <v>60.75</v>
      </c>
      <c r="H576">
        <f t="shared" si="109"/>
        <v>1</v>
      </c>
      <c r="I576">
        <f t="shared" si="110"/>
        <v>2.4104686628373572E-2</v>
      </c>
      <c r="J576">
        <f t="shared" si="111"/>
        <v>0.83070826225106287</v>
      </c>
      <c r="K576">
        <f t="shared" si="112"/>
        <v>0.99998742590379208</v>
      </c>
      <c r="L576">
        <f t="shared" si="113"/>
        <v>-1.2574175262528357E-5</v>
      </c>
      <c r="M576">
        <f t="shared" si="114"/>
        <v>0.62551440329218111</v>
      </c>
      <c r="N576">
        <f t="shared" si="115"/>
        <v>0.37448559670781895</v>
      </c>
      <c r="P576">
        <f t="shared" si="116"/>
        <v>484.5</v>
      </c>
      <c r="Q576">
        <f t="shared" si="117"/>
        <v>297.5</v>
      </c>
    </row>
    <row r="577" spans="1:17" x14ac:dyDescent="0.35">
      <c r="A577">
        <v>2023</v>
      </c>
      <c r="B577" s="18">
        <v>156</v>
      </c>
      <c r="C577" s="20">
        <v>29</v>
      </c>
      <c r="D577" s="12">
        <f t="shared" si="105"/>
        <v>19.5</v>
      </c>
      <c r="E577" s="27">
        <f t="shared" si="106"/>
        <v>0.39</v>
      </c>
      <c r="F577" s="27">
        <f t="shared" si="107"/>
        <v>0.57999999999999996</v>
      </c>
      <c r="G577">
        <f t="shared" si="108"/>
        <v>48.5</v>
      </c>
      <c r="H577">
        <f t="shared" si="109"/>
        <v>0</v>
      </c>
      <c r="I577">
        <f t="shared" si="110"/>
        <v>-0.90020896140003748</v>
      </c>
      <c r="J577">
        <f t="shared" si="111"/>
        <v>-0.2091427834749878</v>
      </c>
      <c r="K577">
        <f t="shared" si="112"/>
        <v>0.10533064544585009</v>
      </c>
      <c r="L577">
        <f t="shared" si="113"/>
        <v>-0.1113010652180124</v>
      </c>
      <c r="M577">
        <f t="shared" si="114"/>
        <v>0.59793814432989689</v>
      </c>
      <c r="N577">
        <f t="shared" si="115"/>
        <v>0.40206185567010311</v>
      </c>
      <c r="P577">
        <f t="shared" si="116"/>
        <v>968</v>
      </c>
      <c r="Q577">
        <f t="shared" si="117"/>
        <v>671</v>
      </c>
    </row>
    <row r="578" spans="1:17" x14ac:dyDescent="0.35">
      <c r="A578">
        <v>2023</v>
      </c>
      <c r="B578" s="18">
        <v>156</v>
      </c>
      <c r="C578" s="20">
        <v>35</v>
      </c>
      <c r="D578" s="12">
        <f t="shared" si="105"/>
        <v>19.5</v>
      </c>
      <c r="E578" s="27">
        <f t="shared" si="106"/>
        <v>0.39</v>
      </c>
      <c r="F578" s="27">
        <f t="shared" si="107"/>
        <v>0.7</v>
      </c>
      <c r="G578">
        <f t="shared" si="108"/>
        <v>54.5</v>
      </c>
      <c r="H578">
        <f t="shared" si="109"/>
        <v>1</v>
      </c>
      <c r="I578">
        <f t="shared" si="110"/>
        <v>-0.90020896140003748</v>
      </c>
      <c r="J578">
        <f t="shared" si="111"/>
        <v>0.48409124700904599</v>
      </c>
      <c r="K578">
        <f t="shared" si="112"/>
        <v>0.98391560004866674</v>
      </c>
      <c r="L578">
        <f t="shared" si="113"/>
        <v>-1.6215157916803922E-2</v>
      </c>
      <c r="M578">
        <f t="shared" si="114"/>
        <v>0.64220183486238536</v>
      </c>
      <c r="N578">
        <f t="shared" si="115"/>
        <v>0.3577981651376147</v>
      </c>
      <c r="P578">
        <f t="shared" si="116"/>
        <v>968</v>
      </c>
      <c r="Q578">
        <f t="shared" si="117"/>
        <v>448.5</v>
      </c>
    </row>
    <row r="579" spans="1:17" x14ac:dyDescent="0.35">
      <c r="A579">
        <v>2023</v>
      </c>
      <c r="B579" s="18">
        <v>189</v>
      </c>
      <c r="C579" s="20">
        <v>29</v>
      </c>
      <c r="D579" s="12">
        <f t="shared" ref="D579:D642" si="118">B579/8</f>
        <v>23.625</v>
      </c>
      <c r="E579" s="27">
        <f t="shared" ref="E579:E642" si="119">B579/400</f>
        <v>0.47249999999999998</v>
      </c>
      <c r="F579" s="27">
        <f t="shared" ref="F579:F642" si="120">C579/50</f>
        <v>0.57999999999999996</v>
      </c>
      <c r="G579">
        <f t="shared" ref="G579:G642" si="121">SUM(C579+D579)</f>
        <v>52.625</v>
      </c>
      <c r="H579">
        <f t="shared" ref="H579:H642" si="122">IF(G579&gt;=50,1,0)</f>
        <v>1</v>
      </c>
      <c r="I579">
        <f t="shared" ref="I579:I642" si="123" xml:space="preserve"> (D:D - AVERAGE(D:D)) / STDEV(D:D)</f>
        <v>0.27295836109756116</v>
      </c>
      <c r="J579">
        <f t="shared" ref="J579:J642" si="124" xml:space="preserve"> (C:C - AVERAGE(C:C)) / STDEV(C:C)</f>
        <v>-0.2091427834749878</v>
      </c>
      <c r="K579">
        <f t="shared" ref="K579:K642" si="125">1/(1+EXP(-($AD$25 +$AD$26 * I579 +$AD$27 * J579 )))</f>
        <v>0.95225569170798208</v>
      </c>
      <c r="L579">
        <f t="shared" ref="L579:L642" si="126">IF(K579=0, -1000, IF(K579=1, -1000, H579 * LN(K579) + (1 - H579) * LN(1 - K579)))</f>
        <v>-4.8921696526051987E-2</v>
      </c>
      <c r="M579">
        <f t="shared" ref="M579:M642" si="127">IF(G579=0, 0,  C579  / G579 )</f>
        <v>0.55106888361045125</v>
      </c>
      <c r="N579">
        <f t="shared" ref="N579:N642" si="128">IF(G579=0, 0,  D579  / G579 )</f>
        <v>0.44893111638954869</v>
      </c>
      <c r="P579">
        <f t="shared" ref="P579:P642" si="129">_xlfn.RANK.AVG(B579,$B$2:$B$1144)</f>
        <v>357.5</v>
      </c>
      <c r="Q579">
        <f t="shared" ref="Q579:Q642" si="130">_xlfn.RANK.AVG(C579,$C$2:$C$1144)</f>
        <v>671</v>
      </c>
    </row>
    <row r="580" spans="1:17" x14ac:dyDescent="0.35">
      <c r="A580">
        <v>2023</v>
      </c>
      <c r="B580" s="18">
        <v>166</v>
      </c>
      <c r="C580" s="21">
        <v>27</v>
      </c>
      <c r="D580" s="12">
        <f t="shared" si="118"/>
        <v>20.75</v>
      </c>
      <c r="E580" s="27">
        <f t="shared" si="119"/>
        <v>0.41499999999999998</v>
      </c>
      <c r="F580" s="27">
        <f t="shared" si="120"/>
        <v>0.54</v>
      </c>
      <c r="G580">
        <f t="shared" si="121"/>
        <v>47.75</v>
      </c>
      <c r="H580">
        <f t="shared" si="122"/>
        <v>0</v>
      </c>
      <c r="I580">
        <f t="shared" si="123"/>
        <v>-0.5447037121583409</v>
      </c>
      <c r="J580">
        <f t="shared" si="124"/>
        <v>-0.44022079363633243</v>
      </c>
      <c r="K580">
        <f t="shared" si="125"/>
        <v>6.4861104236423911E-2</v>
      </c>
      <c r="L580">
        <f t="shared" si="126"/>
        <v>-6.7060209107351193E-2</v>
      </c>
      <c r="M580">
        <f t="shared" si="127"/>
        <v>0.56544502617801051</v>
      </c>
      <c r="N580">
        <f t="shared" si="128"/>
        <v>0.43455497382198954</v>
      </c>
      <c r="P580">
        <f t="shared" si="129"/>
        <v>809</v>
      </c>
      <c r="Q580">
        <f t="shared" si="130"/>
        <v>752.5</v>
      </c>
    </row>
    <row r="581" spans="1:17" x14ac:dyDescent="0.35">
      <c r="A581">
        <v>2023</v>
      </c>
      <c r="B581" s="18">
        <v>163</v>
      </c>
      <c r="C581" s="20">
        <v>20</v>
      </c>
      <c r="D581" s="12">
        <f t="shared" si="118"/>
        <v>20.375</v>
      </c>
      <c r="E581" s="27">
        <f t="shared" si="119"/>
        <v>0.40749999999999997</v>
      </c>
      <c r="F581" s="27">
        <f t="shared" si="120"/>
        <v>0.4</v>
      </c>
      <c r="G581">
        <f t="shared" si="121"/>
        <v>40.375</v>
      </c>
      <c r="H581">
        <f t="shared" si="122"/>
        <v>0</v>
      </c>
      <c r="I581">
        <f t="shared" si="123"/>
        <v>-0.65135528693084987</v>
      </c>
      <c r="J581">
        <f t="shared" si="124"/>
        <v>-1.2489938292010385</v>
      </c>
      <c r="K581">
        <f t="shared" si="125"/>
        <v>2.9525249230151609E-5</v>
      </c>
      <c r="L581">
        <f t="shared" si="126"/>
        <v>-2.9525685108917442E-5</v>
      </c>
      <c r="M581">
        <f t="shared" si="127"/>
        <v>0.49535603715170279</v>
      </c>
      <c r="N581">
        <f t="shared" si="128"/>
        <v>0.50464396284829727</v>
      </c>
      <c r="P581">
        <f t="shared" si="129"/>
        <v>860.5</v>
      </c>
      <c r="Q581">
        <f t="shared" si="130"/>
        <v>996</v>
      </c>
    </row>
    <row r="582" spans="1:17" x14ac:dyDescent="0.35">
      <c r="A582">
        <v>2023</v>
      </c>
      <c r="B582" s="18">
        <v>172</v>
      </c>
      <c r="C582" s="20">
        <v>41</v>
      </c>
      <c r="D582" s="12">
        <f t="shared" si="118"/>
        <v>21.5</v>
      </c>
      <c r="E582" s="27">
        <f t="shared" si="119"/>
        <v>0.43</v>
      </c>
      <c r="F582" s="27">
        <f t="shared" si="120"/>
        <v>0.82</v>
      </c>
      <c r="G582">
        <f t="shared" si="121"/>
        <v>62.5</v>
      </c>
      <c r="H582">
        <f t="shared" si="122"/>
        <v>1</v>
      </c>
      <c r="I582">
        <f t="shared" si="123"/>
        <v>-0.33140056261332301</v>
      </c>
      <c r="J582">
        <f t="shared" si="124"/>
        <v>1.1773252774930798</v>
      </c>
      <c r="K582">
        <f t="shared" si="125"/>
        <v>0.99999738731528232</v>
      </c>
      <c r="L582">
        <f t="shared" si="126"/>
        <v>-2.6126881307510501E-6</v>
      </c>
      <c r="M582">
        <f t="shared" si="127"/>
        <v>0.65600000000000003</v>
      </c>
      <c r="N582">
        <f t="shared" si="128"/>
        <v>0.34399999999999997</v>
      </c>
      <c r="P582">
        <f t="shared" si="129"/>
        <v>684</v>
      </c>
      <c r="Q582">
        <f t="shared" si="130"/>
        <v>129.5</v>
      </c>
    </row>
    <row r="583" spans="1:17" x14ac:dyDescent="0.35">
      <c r="A583">
        <v>2023</v>
      </c>
      <c r="B583" s="18">
        <v>210</v>
      </c>
      <c r="C583" s="20">
        <v>22</v>
      </c>
      <c r="D583" s="12">
        <f t="shared" si="118"/>
        <v>26.25</v>
      </c>
      <c r="E583" s="27">
        <f t="shared" si="119"/>
        <v>0.52500000000000002</v>
      </c>
      <c r="F583" s="27">
        <f t="shared" si="120"/>
        <v>0.44</v>
      </c>
      <c r="G583">
        <f t="shared" si="121"/>
        <v>48.25</v>
      </c>
      <c r="H583">
        <f t="shared" si="122"/>
        <v>0</v>
      </c>
      <c r="I583">
        <f t="shared" si="123"/>
        <v>1.019519384505124</v>
      </c>
      <c r="J583">
        <f t="shared" si="124"/>
        <v>-1.017915819039694</v>
      </c>
      <c r="K583">
        <f t="shared" si="125"/>
        <v>0.2618808495035308</v>
      </c>
      <c r="L583">
        <f t="shared" si="126"/>
        <v>-0.30365001687617871</v>
      </c>
      <c r="M583">
        <f t="shared" si="127"/>
        <v>0.45595854922279794</v>
      </c>
      <c r="N583">
        <f t="shared" si="128"/>
        <v>0.54404145077720212</v>
      </c>
      <c r="P583">
        <f t="shared" si="129"/>
        <v>138.5</v>
      </c>
      <c r="Q583">
        <f t="shared" si="130"/>
        <v>936.5</v>
      </c>
    </row>
    <row r="584" spans="1:17" x14ac:dyDescent="0.35">
      <c r="A584">
        <v>2023</v>
      </c>
      <c r="B584" s="18">
        <v>168</v>
      </c>
      <c r="C584" s="20">
        <v>44</v>
      </c>
      <c r="D584" s="12">
        <f t="shared" si="118"/>
        <v>21</v>
      </c>
      <c r="E584" s="27">
        <f t="shared" si="119"/>
        <v>0.42</v>
      </c>
      <c r="F584" s="27">
        <f t="shared" si="120"/>
        <v>0.88</v>
      </c>
      <c r="G584">
        <f t="shared" si="121"/>
        <v>65</v>
      </c>
      <c r="H584">
        <f t="shared" si="122"/>
        <v>1</v>
      </c>
      <c r="I584">
        <f t="shared" si="123"/>
        <v>-0.47360266231000164</v>
      </c>
      <c r="J584">
        <f t="shared" si="124"/>
        <v>1.5239422927350967</v>
      </c>
      <c r="K584">
        <f t="shared" si="125"/>
        <v>0.99999978648314347</v>
      </c>
      <c r="L584">
        <f t="shared" si="126"/>
        <v>-2.1351687932343326E-7</v>
      </c>
      <c r="M584">
        <f t="shared" si="127"/>
        <v>0.67692307692307696</v>
      </c>
      <c r="N584">
        <f t="shared" si="128"/>
        <v>0.32307692307692309</v>
      </c>
      <c r="P584">
        <f t="shared" si="129"/>
        <v>767</v>
      </c>
      <c r="Q584">
        <f t="shared" si="130"/>
        <v>26.5</v>
      </c>
    </row>
    <row r="585" spans="1:17" x14ac:dyDescent="0.35">
      <c r="A585">
        <v>2023</v>
      </c>
      <c r="B585" s="18">
        <v>169</v>
      </c>
      <c r="C585" s="20">
        <v>33</v>
      </c>
      <c r="D585" s="12">
        <f t="shared" si="118"/>
        <v>21.125</v>
      </c>
      <c r="E585" s="27">
        <f t="shared" si="119"/>
        <v>0.42249999999999999</v>
      </c>
      <c r="F585" s="27">
        <f t="shared" si="120"/>
        <v>0.66</v>
      </c>
      <c r="G585">
        <f t="shared" si="121"/>
        <v>54.125</v>
      </c>
      <c r="H585">
        <f t="shared" si="122"/>
        <v>1</v>
      </c>
      <c r="I585">
        <f t="shared" si="123"/>
        <v>-0.43805213738583199</v>
      </c>
      <c r="J585">
        <f t="shared" si="124"/>
        <v>0.25301323684770138</v>
      </c>
      <c r="K585">
        <f t="shared" si="125"/>
        <v>0.98289561389165858</v>
      </c>
      <c r="L585">
        <f t="shared" si="126"/>
        <v>-1.7252355835159012E-2</v>
      </c>
      <c r="M585">
        <f t="shared" si="127"/>
        <v>0.60969976905311773</v>
      </c>
      <c r="N585">
        <f t="shared" si="128"/>
        <v>0.39030023094688221</v>
      </c>
      <c r="P585">
        <f t="shared" si="129"/>
        <v>744.5</v>
      </c>
      <c r="Q585">
        <f t="shared" si="130"/>
        <v>523.5</v>
      </c>
    </row>
    <row r="586" spans="1:17" x14ac:dyDescent="0.35">
      <c r="A586">
        <v>2023</v>
      </c>
      <c r="B586" s="18">
        <v>247</v>
      </c>
      <c r="C586" s="20">
        <v>32</v>
      </c>
      <c r="D586" s="12">
        <f t="shared" si="118"/>
        <v>30.875</v>
      </c>
      <c r="E586" s="27">
        <f t="shared" si="119"/>
        <v>0.61750000000000005</v>
      </c>
      <c r="F586" s="27">
        <f t="shared" si="120"/>
        <v>0.64</v>
      </c>
      <c r="G586">
        <f t="shared" si="121"/>
        <v>62.875</v>
      </c>
      <c r="H586">
        <f t="shared" si="122"/>
        <v>1</v>
      </c>
      <c r="I586">
        <f t="shared" si="123"/>
        <v>2.3348888066994014</v>
      </c>
      <c r="J586">
        <f t="shared" si="124"/>
        <v>0.13747423176702911</v>
      </c>
      <c r="K586">
        <f t="shared" si="125"/>
        <v>0.99999973404572351</v>
      </c>
      <c r="L586">
        <f t="shared" si="126"/>
        <v>-2.6595431185629921E-7</v>
      </c>
      <c r="M586">
        <f t="shared" si="127"/>
        <v>0.50894632206759438</v>
      </c>
      <c r="N586">
        <f t="shared" si="128"/>
        <v>0.49105367793240556</v>
      </c>
      <c r="P586">
        <f t="shared" si="129"/>
        <v>37</v>
      </c>
      <c r="Q586">
        <f t="shared" si="130"/>
        <v>564</v>
      </c>
    </row>
    <row r="587" spans="1:17" x14ac:dyDescent="0.35">
      <c r="A587">
        <v>2023</v>
      </c>
      <c r="B587" s="18">
        <v>170</v>
      </c>
      <c r="C587" s="21">
        <v>33</v>
      </c>
      <c r="D587" s="12">
        <f t="shared" si="118"/>
        <v>21.25</v>
      </c>
      <c r="E587" s="27">
        <f t="shared" si="119"/>
        <v>0.42499999999999999</v>
      </c>
      <c r="F587" s="27">
        <f t="shared" si="120"/>
        <v>0.66</v>
      </c>
      <c r="G587">
        <f t="shared" si="121"/>
        <v>54.25</v>
      </c>
      <c r="H587">
        <f t="shared" si="122"/>
        <v>1</v>
      </c>
      <c r="I587">
        <f t="shared" si="123"/>
        <v>-0.40250161246166233</v>
      </c>
      <c r="J587">
        <f t="shared" si="124"/>
        <v>0.25301323684770138</v>
      </c>
      <c r="K587">
        <f t="shared" si="125"/>
        <v>0.98532307356273841</v>
      </c>
      <c r="L587">
        <f t="shared" si="126"/>
        <v>-1.4785698123436655E-2</v>
      </c>
      <c r="M587">
        <f t="shared" si="127"/>
        <v>0.60829493087557607</v>
      </c>
      <c r="N587">
        <f t="shared" si="128"/>
        <v>0.39170506912442399</v>
      </c>
      <c r="P587">
        <f t="shared" si="129"/>
        <v>720</v>
      </c>
      <c r="Q587">
        <f t="shared" si="130"/>
        <v>523.5</v>
      </c>
    </row>
    <row r="588" spans="1:17" x14ac:dyDescent="0.35">
      <c r="A588">
        <v>2023</v>
      </c>
      <c r="B588" s="18">
        <v>162</v>
      </c>
      <c r="C588" s="20">
        <v>39</v>
      </c>
      <c r="D588" s="12">
        <f t="shared" si="118"/>
        <v>20.25</v>
      </c>
      <c r="E588" s="27">
        <f t="shared" si="119"/>
        <v>0.40500000000000003</v>
      </c>
      <c r="F588" s="27">
        <f t="shared" si="120"/>
        <v>0.78</v>
      </c>
      <c r="G588">
        <f t="shared" si="121"/>
        <v>59.25</v>
      </c>
      <c r="H588">
        <f t="shared" si="122"/>
        <v>1</v>
      </c>
      <c r="I588">
        <f t="shared" si="123"/>
        <v>-0.68690581185501953</v>
      </c>
      <c r="J588">
        <f t="shared" si="124"/>
        <v>0.94624726733173525</v>
      </c>
      <c r="K588">
        <f t="shared" si="125"/>
        <v>0.99990052785048633</v>
      </c>
      <c r="L588">
        <f t="shared" si="126"/>
        <v>-9.9477097196040113E-5</v>
      </c>
      <c r="M588">
        <f t="shared" si="127"/>
        <v>0.65822784810126578</v>
      </c>
      <c r="N588">
        <f t="shared" si="128"/>
        <v>0.34177215189873417</v>
      </c>
      <c r="P588">
        <f t="shared" si="129"/>
        <v>876</v>
      </c>
      <c r="Q588">
        <f t="shared" si="130"/>
        <v>233</v>
      </c>
    </row>
    <row r="589" spans="1:17" x14ac:dyDescent="0.35">
      <c r="A589">
        <v>2023</v>
      </c>
      <c r="B589" s="18">
        <v>154</v>
      </c>
      <c r="C589" s="20">
        <v>20</v>
      </c>
      <c r="D589" s="12">
        <f t="shared" si="118"/>
        <v>19.25</v>
      </c>
      <c r="E589" s="27">
        <f t="shared" si="119"/>
        <v>0.38500000000000001</v>
      </c>
      <c r="F589" s="27">
        <f t="shared" si="120"/>
        <v>0.4</v>
      </c>
      <c r="G589">
        <f t="shared" si="121"/>
        <v>39.25</v>
      </c>
      <c r="H589">
        <f t="shared" si="122"/>
        <v>0</v>
      </c>
      <c r="I589">
        <f t="shared" si="123"/>
        <v>-0.97131001124837679</v>
      </c>
      <c r="J589">
        <f t="shared" si="124"/>
        <v>-1.2489938292010385</v>
      </c>
      <c r="K589">
        <f t="shared" si="125"/>
        <v>7.2830042409091142E-6</v>
      </c>
      <c r="L589">
        <f t="shared" si="126"/>
        <v>-7.2830307621141521E-6</v>
      </c>
      <c r="M589">
        <f t="shared" si="127"/>
        <v>0.50955414012738853</v>
      </c>
      <c r="N589">
        <f t="shared" si="128"/>
        <v>0.49044585987261147</v>
      </c>
      <c r="P589">
        <f t="shared" si="129"/>
        <v>995.5</v>
      </c>
      <c r="Q589">
        <f t="shared" si="130"/>
        <v>996</v>
      </c>
    </row>
    <row r="590" spans="1:17" x14ac:dyDescent="0.35">
      <c r="A590">
        <v>2023</v>
      </c>
      <c r="B590" s="18">
        <v>243</v>
      </c>
      <c r="C590" s="20">
        <v>39</v>
      </c>
      <c r="D590" s="12">
        <f t="shared" si="118"/>
        <v>30.375</v>
      </c>
      <c r="E590" s="27">
        <f t="shared" si="119"/>
        <v>0.60750000000000004</v>
      </c>
      <c r="F590" s="27">
        <f t="shared" si="120"/>
        <v>0.78</v>
      </c>
      <c r="G590">
        <f t="shared" si="121"/>
        <v>69.375</v>
      </c>
      <c r="H590">
        <f t="shared" si="122"/>
        <v>1</v>
      </c>
      <c r="I590">
        <f t="shared" si="123"/>
        <v>2.1926867070027227</v>
      </c>
      <c r="J590">
        <f t="shared" si="124"/>
        <v>0.94624726733173525</v>
      </c>
      <c r="K590">
        <f t="shared" si="125"/>
        <v>0.99999999966371256</v>
      </c>
      <c r="L590">
        <f t="shared" si="126"/>
        <v>-3.3628744239392424E-10</v>
      </c>
      <c r="M590">
        <f t="shared" si="127"/>
        <v>0.56216216216216219</v>
      </c>
      <c r="N590">
        <f t="shared" si="128"/>
        <v>0.43783783783783786</v>
      </c>
      <c r="P590">
        <f t="shared" si="129"/>
        <v>41.5</v>
      </c>
      <c r="Q590">
        <f t="shared" si="130"/>
        <v>233</v>
      </c>
    </row>
    <row r="591" spans="1:17" x14ac:dyDescent="0.35">
      <c r="A591">
        <v>2023</v>
      </c>
      <c r="B591" s="18">
        <v>212</v>
      </c>
      <c r="C591" s="20">
        <v>41</v>
      </c>
      <c r="D591" s="12">
        <f t="shared" si="118"/>
        <v>26.5</v>
      </c>
      <c r="E591" s="27">
        <f t="shared" si="119"/>
        <v>0.53</v>
      </c>
      <c r="F591" s="27">
        <f t="shared" si="120"/>
        <v>0.82</v>
      </c>
      <c r="G591">
        <f t="shared" si="121"/>
        <v>67.5</v>
      </c>
      <c r="H591">
        <f t="shared" si="122"/>
        <v>1</v>
      </c>
      <c r="I591">
        <f t="shared" si="123"/>
        <v>1.0906204343534633</v>
      </c>
      <c r="J591">
        <f t="shared" si="124"/>
        <v>1.1773252774930798</v>
      </c>
      <c r="K591">
        <f t="shared" si="125"/>
        <v>0.99999999480790125</v>
      </c>
      <c r="L591">
        <f t="shared" si="126"/>
        <v>-5.1920987644180115E-9</v>
      </c>
      <c r="M591">
        <f t="shared" si="127"/>
        <v>0.6074074074074074</v>
      </c>
      <c r="N591">
        <f t="shared" si="128"/>
        <v>0.3925925925925926</v>
      </c>
      <c r="P591">
        <f t="shared" si="129"/>
        <v>121</v>
      </c>
      <c r="Q591">
        <f t="shared" si="130"/>
        <v>129.5</v>
      </c>
    </row>
    <row r="592" spans="1:17" x14ac:dyDescent="0.35">
      <c r="A592">
        <v>2023</v>
      </c>
      <c r="B592" s="18">
        <v>200</v>
      </c>
      <c r="C592" s="21">
        <v>36</v>
      </c>
      <c r="D592" s="12">
        <f t="shared" si="118"/>
        <v>25</v>
      </c>
      <c r="E592" s="27">
        <f t="shared" si="119"/>
        <v>0.5</v>
      </c>
      <c r="F592" s="27">
        <f t="shared" si="120"/>
        <v>0.72</v>
      </c>
      <c r="G592">
        <f t="shared" si="121"/>
        <v>61</v>
      </c>
      <c r="H592">
        <f t="shared" si="122"/>
        <v>1</v>
      </c>
      <c r="I592">
        <f t="shared" si="123"/>
        <v>0.66401413526342745</v>
      </c>
      <c r="J592">
        <f t="shared" si="124"/>
        <v>0.59963025208971832</v>
      </c>
      <c r="K592">
        <f t="shared" si="125"/>
        <v>0.99999384944231073</v>
      </c>
      <c r="L592">
        <f t="shared" si="126"/>
        <v>-6.1505766040237028E-6</v>
      </c>
      <c r="M592">
        <f t="shared" si="127"/>
        <v>0.5901639344262295</v>
      </c>
      <c r="N592">
        <f t="shared" si="128"/>
        <v>0.4098360655737705</v>
      </c>
      <c r="P592">
        <f t="shared" si="129"/>
        <v>229</v>
      </c>
      <c r="Q592">
        <f t="shared" si="130"/>
        <v>403.5</v>
      </c>
    </row>
    <row r="593" spans="1:17" x14ac:dyDescent="0.35">
      <c r="A593">
        <v>2023</v>
      </c>
      <c r="B593" s="18">
        <v>151</v>
      </c>
      <c r="C593" s="20">
        <v>37</v>
      </c>
      <c r="D593" s="12">
        <f t="shared" si="118"/>
        <v>18.875</v>
      </c>
      <c r="E593" s="27">
        <f t="shared" si="119"/>
        <v>0.3775</v>
      </c>
      <c r="F593" s="27">
        <f t="shared" si="120"/>
        <v>0.74</v>
      </c>
      <c r="G593">
        <f t="shared" si="121"/>
        <v>55.875</v>
      </c>
      <c r="H593">
        <f t="shared" si="122"/>
        <v>1</v>
      </c>
      <c r="I593">
        <f t="shared" si="123"/>
        <v>-1.0779615860208858</v>
      </c>
      <c r="J593">
        <f t="shared" si="124"/>
        <v>0.71516925717039059</v>
      </c>
      <c r="K593">
        <f t="shared" si="125"/>
        <v>0.99559417495302216</v>
      </c>
      <c r="L593">
        <f t="shared" si="126"/>
        <v>-4.4155592962719006E-3</v>
      </c>
      <c r="M593">
        <f t="shared" si="127"/>
        <v>0.6621923937360179</v>
      </c>
      <c r="N593">
        <f t="shared" si="128"/>
        <v>0.3378076062639821</v>
      </c>
      <c r="P593">
        <f t="shared" si="129"/>
        <v>1029</v>
      </c>
      <c r="Q593">
        <f t="shared" si="130"/>
        <v>351</v>
      </c>
    </row>
    <row r="594" spans="1:17" x14ac:dyDescent="0.35">
      <c r="A594">
        <v>2023</v>
      </c>
      <c r="B594" s="18">
        <v>195</v>
      </c>
      <c r="C594" s="20">
        <v>27</v>
      </c>
      <c r="D594" s="12">
        <f t="shared" si="118"/>
        <v>24.375</v>
      </c>
      <c r="E594" s="27">
        <f t="shared" si="119"/>
        <v>0.48749999999999999</v>
      </c>
      <c r="F594" s="27">
        <f t="shared" si="120"/>
        <v>0.54</v>
      </c>
      <c r="G594">
        <f t="shared" si="121"/>
        <v>51.375</v>
      </c>
      <c r="H594">
        <f t="shared" si="122"/>
        <v>1</v>
      </c>
      <c r="I594">
        <f t="shared" si="123"/>
        <v>0.48626151064257911</v>
      </c>
      <c r="J594">
        <f t="shared" si="124"/>
        <v>-0.44022079363633243</v>
      </c>
      <c r="K594">
        <f t="shared" si="125"/>
        <v>0.86315870645682413</v>
      </c>
      <c r="L594">
        <f t="shared" si="126"/>
        <v>-0.14715670392943364</v>
      </c>
      <c r="M594">
        <f t="shared" si="127"/>
        <v>0.52554744525547448</v>
      </c>
      <c r="N594">
        <f t="shared" si="128"/>
        <v>0.47445255474452552</v>
      </c>
      <c r="P594">
        <f t="shared" si="129"/>
        <v>282.5</v>
      </c>
      <c r="Q594">
        <f t="shared" si="130"/>
        <v>752.5</v>
      </c>
    </row>
    <row r="595" spans="1:17" x14ac:dyDescent="0.35">
      <c r="A595">
        <v>2023</v>
      </c>
      <c r="B595" s="18">
        <v>199</v>
      </c>
      <c r="C595" s="20">
        <v>33</v>
      </c>
      <c r="D595" s="12">
        <f t="shared" si="118"/>
        <v>24.875</v>
      </c>
      <c r="E595" s="27">
        <f t="shared" si="119"/>
        <v>0.4975</v>
      </c>
      <c r="F595" s="27">
        <f t="shared" si="120"/>
        <v>0.66</v>
      </c>
      <c r="G595">
        <f t="shared" si="121"/>
        <v>57.875</v>
      </c>
      <c r="H595">
        <f t="shared" si="122"/>
        <v>1</v>
      </c>
      <c r="I595">
        <f t="shared" si="123"/>
        <v>0.62846361033925779</v>
      </c>
      <c r="J595">
        <f t="shared" si="124"/>
        <v>0.25301323684770138</v>
      </c>
      <c r="K595">
        <f t="shared" si="125"/>
        <v>0.99983623538485267</v>
      </c>
      <c r="L595">
        <f t="shared" si="126"/>
        <v>-1.637780260360925E-4</v>
      </c>
      <c r="M595">
        <f t="shared" si="127"/>
        <v>0.57019438444924408</v>
      </c>
      <c r="N595">
        <f t="shared" si="128"/>
        <v>0.42980561555075592</v>
      </c>
      <c r="P595">
        <f t="shared" si="129"/>
        <v>239</v>
      </c>
      <c r="Q595">
        <f t="shared" si="130"/>
        <v>523.5</v>
      </c>
    </row>
    <row r="596" spans="1:17" x14ac:dyDescent="0.35">
      <c r="A596">
        <v>2023</v>
      </c>
      <c r="B596" s="18">
        <v>277</v>
      </c>
      <c r="C596" s="20">
        <v>13</v>
      </c>
      <c r="D596" s="12">
        <f t="shared" si="118"/>
        <v>34.625</v>
      </c>
      <c r="E596" s="27">
        <f t="shared" si="119"/>
        <v>0.6925</v>
      </c>
      <c r="F596" s="27">
        <f t="shared" si="120"/>
        <v>0.26</v>
      </c>
      <c r="G596">
        <f t="shared" si="121"/>
        <v>47.625</v>
      </c>
      <c r="H596">
        <f t="shared" si="122"/>
        <v>0</v>
      </c>
      <c r="I596">
        <f t="shared" si="123"/>
        <v>3.4014045544244911</v>
      </c>
      <c r="J596">
        <f t="shared" si="124"/>
        <v>-2.0577668647657448</v>
      </c>
      <c r="K596">
        <f t="shared" si="125"/>
        <v>0.50109906492466871</v>
      </c>
      <c r="L596">
        <f t="shared" si="126"/>
        <v>-0.69534772984283633</v>
      </c>
      <c r="M596">
        <f t="shared" si="127"/>
        <v>0.27296587926509186</v>
      </c>
      <c r="N596">
        <f t="shared" si="128"/>
        <v>0.72703412073490814</v>
      </c>
      <c r="P596">
        <f t="shared" si="129"/>
        <v>14</v>
      </c>
      <c r="Q596">
        <f t="shared" si="130"/>
        <v>1116.5</v>
      </c>
    </row>
    <row r="597" spans="1:17" x14ac:dyDescent="0.35">
      <c r="A597">
        <v>2023</v>
      </c>
      <c r="B597" s="18">
        <v>178</v>
      </c>
      <c r="C597" s="20">
        <v>33</v>
      </c>
      <c r="D597" s="12">
        <f t="shared" si="118"/>
        <v>22.25</v>
      </c>
      <c r="E597" s="27">
        <f t="shared" si="119"/>
        <v>0.44500000000000001</v>
      </c>
      <c r="F597" s="27">
        <f t="shared" si="120"/>
        <v>0.66</v>
      </c>
      <c r="G597">
        <f t="shared" si="121"/>
        <v>55.25</v>
      </c>
      <c r="H597">
        <f t="shared" si="122"/>
        <v>1</v>
      </c>
      <c r="I597">
        <f t="shared" si="123"/>
        <v>-0.11809741306830505</v>
      </c>
      <c r="J597">
        <f t="shared" si="124"/>
        <v>0.25301323684770138</v>
      </c>
      <c r="K597">
        <f t="shared" si="125"/>
        <v>0.99572587501162602</v>
      </c>
      <c r="L597">
        <f t="shared" si="126"/>
        <v>-4.2832851710771901E-3</v>
      </c>
      <c r="M597">
        <f t="shared" si="127"/>
        <v>0.59728506787330315</v>
      </c>
      <c r="N597">
        <f t="shared" si="128"/>
        <v>0.40271493212669685</v>
      </c>
      <c r="P597">
        <f t="shared" si="129"/>
        <v>564.5</v>
      </c>
      <c r="Q597">
        <f t="shared" si="130"/>
        <v>523.5</v>
      </c>
    </row>
    <row r="598" spans="1:17" x14ac:dyDescent="0.35">
      <c r="A598">
        <v>2023</v>
      </c>
      <c r="B598" s="18">
        <v>153</v>
      </c>
      <c r="C598" s="20">
        <v>31</v>
      </c>
      <c r="D598" s="12">
        <f t="shared" si="118"/>
        <v>19.125</v>
      </c>
      <c r="E598" s="27">
        <f t="shared" si="119"/>
        <v>0.38250000000000001</v>
      </c>
      <c r="F598" s="27">
        <f t="shared" si="120"/>
        <v>0.62</v>
      </c>
      <c r="G598">
        <f t="shared" si="121"/>
        <v>50.125</v>
      </c>
      <c r="H598">
        <f t="shared" si="122"/>
        <v>1</v>
      </c>
      <c r="I598">
        <f t="shared" si="123"/>
        <v>-1.0068605361725464</v>
      </c>
      <c r="J598">
        <f t="shared" si="124"/>
        <v>2.1935226686356796E-2</v>
      </c>
      <c r="K598">
        <f t="shared" si="125"/>
        <v>0.37248332275476553</v>
      </c>
      <c r="L598">
        <f t="shared" si="126"/>
        <v>-0.98756301329292595</v>
      </c>
      <c r="M598">
        <f t="shared" si="127"/>
        <v>0.61845386533665836</v>
      </c>
      <c r="N598">
        <f t="shared" si="128"/>
        <v>0.38154613466334164</v>
      </c>
      <c r="P598">
        <f t="shared" si="129"/>
        <v>1004.5</v>
      </c>
      <c r="Q598">
        <f t="shared" si="130"/>
        <v>605</v>
      </c>
    </row>
    <row r="599" spans="1:17" x14ac:dyDescent="0.35">
      <c r="A599">
        <v>2023</v>
      </c>
      <c r="B599" s="18">
        <v>162</v>
      </c>
      <c r="C599" s="20">
        <v>25</v>
      </c>
      <c r="D599" s="12">
        <f t="shared" si="118"/>
        <v>20.25</v>
      </c>
      <c r="E599" s="27">
        <f t="shared" si="119"/>
        <v>0.40500000000000003</v>
      </c>
      <c r="F599" s="27">
        <f t="shared" si="120"/>
        <v>0.5</v>
      </c>
      <c r="G599">
        <f t="shared" si="121"/>
        <v>45.25</v>
      </c>
      <c r="H599">
        <f t="shared" si="122"/>
        <v>0</v>
      </c>
      <c r="I599">
        <f t="shared" si="123"/>
        <v>-0.68690581185501953</v>
      </c>
      <c r="J599">
        <f t="shared" si="124"/>
        <v>-0.67129880379767704</v>
      </c>
      <c r="K599">
        <f t="shared" si="125"/>
        <v>4.6100610600087631E-3</v>
      </c>
      <c r="L599">
        <f t="shared" si="126"/>
        <v>-4.6207201635255378E-3</v>
      </c>
      <c r="M599">
        <f t="shared" si="127"/>
        <v>0.5524861878453039</v>
      </c>
      <c r="N599">
        <f t="shared" si="128"/>
        <v>0.44751381215469616</v>
      </c>
      <c r="P599">
        <f t="shared" si="129"/>
        <v>876</v>
      </c>
      <c r="Q599">
        <f t="shared" si="130"/>
        <v>835</v>
      </c>
    </row>
    <row r="600" spans="1:17" x14ac:dyDescent="0.35">
      <c r="A600">
        <v>2023</v>
      </c>
      <c r="B600" s="18">
        <v>176</v>
      </c>
      <c r="C600" s="20">
        <v>13</v>
      </c>
      <c r="D600" s="12">
        <f t="shared" si="118"/>
        <v>22</v>
      </c>
      <c r="E600" s="27">
        <f t="shared" si="119"/>
        <v>0.44</v>
      </c>
      <c r="F600" s="27">
        <f t="shared" si="120"/>
        <v>0.26</v>
      </c>
      <c r="G600">
        <f t="shared" si="121"/>
        <v>35</v>
      </c>
      <c r="H600">
        <f t="shared" si="122"/>
        <v>0</v>
      </c>
      <c r="I600">
        <f t="shared" si="123"/>
        <v>-0.18919846291664436</v>
      </c>
      <c r="J600">
        <f t="shared" si="124"/>
        <v>-2.0577668647657448</v>
      </c>
      <c r="K600">
        <f t="shared" si="125"/>
        <v>1.5135702624393989E-7</v>
      </c>
      <c r="L600">
        <f t="shared" si="126"/>
        <v>-1.5135703770016678E-7</v>
      </c>
      <c r="M600">
        <f t="shared" si="127"/>
        <v>0.37142857142857144</v>
      </c>
      <c r="N600">
        <f t="shared" si="128"/>
        <v>0.62857142857142856</v>
      </c>
      <c r="P600">
        <f t="shared" si="129"/>
        <v>607.5</v>
      </c>
      <c r="Q600">
        <f t="shared" si="130"/>
        <v>1116.5</v>
      </c>
    </row>
    <row r="601" spans="1:17" x14ac:dyDescent="0.35">
      <c r="A601">
        <v>2023</v>
      </c>
      <c r="B601" s="18">
        <v>207</v>
      </c>
      <c r="C601" s="20">
        <v>26</v>
      </c>
      <c r="D601" s="12">
        <f t="shared" si="118"/>
        <v>25.875</v>
      </c>
      <c r="E601" s="27">
        <f t="shared" si="119"/>
        <v>0.51749999999999996</v>
      </c>
      <c r="F601" s="27">
        <f t="shared" si="120"/>
        <v>0.52</v>
      </c>
      <c r="G601">
        <f t="shared" si="121"/>
        <v>51.875</v>
      </c>
      <c r="H601">
        <f t="shared" si="122"/>
        <v>1</v>
      </c>
      <c r="I601">
        <f t="shared" si="123"/>
        <v>0.91286780973261505</v>
      </c>
      <c r="J601">
        <f t="shared" si="124"/>
        <v>-0.55575979871700476</v>
      </c>
      <c r="K601">
        <f t="shared" si="125"/>
        <v>0.93498441687611478</v>
      </c>
      <c r="L601">
        <f t="shared" si="126"/>
        <v>-6.7225416274994745E-2</v>
      </c>
      <c r="M601">
        <f t="shared" si="127"/>
        <v>0.50120481927710847</v>
      </c>
      <c r="N601">
        <f t="shared" si="128"/>
        <v>0.49879518072289158</v>
      </c>
      <c r="P601">
        <f t="shared" si="129"/>
        <v>168</v>
      </c>
      <c r="Q601">
        <f t="shared" si="130"/>
        <v>796</v>
      </c>
    </row>
    <row r="602" spans="1:17" x14ac:dyDescent="0.35">
      <c r="A602">
        <v>2023</v>
      </c>
      <c r="B602" s="18">
        <v>209</v>
      </c>
      <c r="C602" s="20">
        <v>21</v>
      </c>
      <c r="D602" s="12">
        <f t="shared" si="118"/>
        <v>26.125</v>
      </c>
      <c r="E602" s="27">
        <f t="shared" si="119"/>
        <v>0.52249999999999996</v>
      </c>
      <c r="F602" s="27">
        <f t="shared" si="120"/>
        <v>0.42</v>
      </c>
      <c r="G602">
        <f t="shared" si="121"/>
        <v>47.125</v>
      </c>
      <c r="H602">
        <f t="shared" si="122"/>
        <v>0</v>
      </c>
      <c r="I602">
        <f t="shared" si="123"/>
        <v>0.98396885958095437</v>
      </c>
      <c r="J602">
        <f t="shared" si="124"/>
        <v>-1.1334548241203661</v>
      </c>
      <c r="K602">
        <f t="shared" si="125"/>
        <v>9.6746076508489501E-2</v>
      </c>
      <c r="L602">
        <f t="shared" si="126"/>
        <v>-0.10175156521457106</v>
      </c>
      <c r="M602">
        <f t="shared" si="127"/>
        <v>0.44562334217506633</v>
      </c>
      <c r="N602">
        <f t="shared" si="128"/>
        <v>0.55437665782493373</v>
      </c>
      <c r="P602">
        <f t="shared" si="129"/>
        <v>150.5</v>
      </c>
      <c r="Q602">
        <f t="shared" si="130"/>
        <v>967.5</v>
      </c>
    </row>
    <row r="603" spans="1:17" x14ac:dyDescent="0.35">
      <c r="A603">
        <v>2023</v>
      </c>
      <c r="B603" s="18">
        <v>180</v>
      </c>
      <c r="C603" s="20">
        <v>39</v>
      </c>
      <c r="D603" s="12">
        <f t="shared" si="118"/>
        <v>22.5</v>
      </c>
      <c r="E603" s="27">
        <f t="shared" si="119"/>
        <v>0.45</v>
      </c>
      <c r="F603" s="27">
        <f t="shared" si="120"/>
        <v>0.78</v>
      </c>
      <c r="G603">
        <f t="shared" si="121"/>
        <v>61.5</v>
      </c>
      <c r="H603">
        <f t="shared" si="122"/>
        <v>1</v>
      </c>
      <c r="I603">
        <f t="shared" si="123"/>
        <v>-4.6996363219965739E-2</v>
      </c>
      <c r="J603">
        <f t="shared" si="124"/>
        <v>0.94624726733173525</v>
      </c>
      <c r="K603">
        <f t="shared" si="125"/>
        <v>0.99999394719423162</v>
      </c>
      <c r="L603">
        <f t="shared" si="126"/>
        <v>-6.0528240866778333E-6</v>
      </c>
      <c r="M603">
        <f t="shared" si="127"/>
        <v>0.63414634146341464</v>
      </c>
      <c r="N603">
        <f t="shared" si="128"/>
        <v>0.36585365853658536</v>
      </c>
      <c r="P603">
        <f t="shared" si="129"/>
        <v>528</v>
      </c>
      <c r="Q603">
        <f t="shared" si="130"/>
        <v>233</v>
      </c>
    </row>
    <row r="604" spans="1:17" x14ac:dyDescent="0.35">
      <c r="A604">
        <v>2023</v>
      </c>
      <c r="B604" s="18">
        <v>156</v>
      </c>
      <c r="C604" s="20">
        <v>37</v>
      </c>
      <c r="D604" s="12">
        <f t="shared" si="118"/>
        <v>19.5</v>
      </c>
      <c r="E604" s="27">
        <f t="shared" si="119"/>
        <v>0.39</v>
      </c>
      <c r="F604" s="27">
        <f t="shared" si="120"/>
        <v>0.74</v>
      </c>
      <c r="G604">
        <f t="shared" si="121"/>
        <v>56.5</v>
      </c>
      <c r="H604">
        <f t="shared" si="122"/>
        <v>1</v>
      </c>
      <c r="I604">
        <f t="shared" si="123"/>
        <v>-0.90020896140003748</v>
      </c>
      <c r="J604">
        <f t="shared" si="124"/>
        <v>0.71516925717039059</v>
      </c>
      <c r="K604">
        <f t="shared" si="125"/>
        <v>0.99797070799089493</v>
      </c>
      <c r="L604">
        <f t="shared" si="126"/>
        <v>-2.0313538119397282E-3</v>
      </c>
      <c r="M604">
        <f t="shared" si="127"/>
        <v>0.65486725663716816</v>
      </c>
      <c r="N604">
        <f t="shared" si="128"/>
        <v>0.34513274336283184</v>
      </c>
      <c r="P604">
        <f t="shared" si="129"/>
        <v>968</v>
      </c>
      <c r="Q604">
        <f t="shared" si="130"/>
        <v>351</v>
      </c>
    </row>
    <row r="605" spans="1:17" x14ac:dyDescent="0.35">
      <c r="A605">
        <v>2023</v>
      </c>
      <c r="B605" s="18">
        <v>176</v>
      </c>
      <c r="C605" s="20">
        <v>29</v>
      </c>
      <c r="D605" s="12">
        <f t="shared" si="118"/>
        <v>22</v>
      </c>
      <c r="E605" s="27">
        <f t="shared" si="119"/>
        <v>0.44</v>
      </c>
      <c r="F605" s="27">
        <f t="shared" si="120"/>
        <v>0.57999999999999996</v>
      </c>
      <c r="G605">
        <f t="shared" si="121"/>
        <v>51</v>
      </c>
      <c r="H605">
        <f t="shared" si="122"/>
        <v>1</v>
      </c>
      <c r="I605">
        <f t="shared" si="123"/>
        <v>-0.18919846291664436</v>
      </c>
      <c r="J605">
        <f t="shared" si="124"/>
        <v>-0.2091427834749878</v>
      </c>
      <c r="K605">
        <f t="shared" si="125"/>
        <v>0.72534851851139515</v>
      </c>
      <c r="L605">
        <f t="shared" si="126"/>
        <v>-0.32110302444586142</v>
      </c>
      <c r="M605">
        <f t="shared" si="127"/>
        <v>0.56862745098039214</v>
      </c>
      <c r="N605">
        <f t="shared" si="128"/>
        <v>0.43137254901960786</v>
      </c>
      <c r="P605">
        <f t="shared" si="129"/>
        <v>607.5</v>
      </c>
      <c r="Q605">
        <f t="shared" si="130"/>
        <v>671</v>
      </c>
    </row>
    <row r="606" spans="1:17" x14ac:dyDescent="0.35">
      <c r="A606">
        <v>2023</v>
      </c>
      <c r="B606" s="18">
        <v>159</v>
      </c>
      <c r="C606" s="20">
        <v>9</v>
      </c>
      <c r="D606" s="12">
        <f t="shared" si="118"/>
        <v>19.875</v>
      </c>
      <c r="E606" s="27">
        <f t="shared" si="119"/>
        <v>0.39750000000000002</v>
      </c>
      <c r="F606" s="27">
        <f t="shared" si="120"/>
        <v>0.18</v>
      </c>
      <c r="G606">
        <f t="shared" si="121"/>
        <v>28.875</v>
      </c>
      <c r="H606">
        <f t="shared" si="122"/>
        <v>0</v>
      </c>
      <c r="I606">
        <f t="shared" si="123"/>
        <v>-0.7935573866275285</v>
      </c>
      <c r="J606">
        <f t="shared" si="124"/>
        <v>-2.5199228850884339</v>
      </c>
      <c r="K606">
        <f t="shared" si="125"/>
        <v>1.6646403245100233E-10</v>
      </c>
      <c r="L606">
        <f t="shared" si="126"/>
        <v>-1.6646406476858955E-10</v>
      </c>
      <c r="M606">
        <f t="shared" si="127"/>
        <v>0.31168831168831168</v>
      </c>
      <c r="N606">
        <f t="shared" si="128"/>
        <v>0.68831168831168832</v>
      </c>
      <c r="P606">
        <f t="shared" si="129"/>
        <v>923</v>
      </c>
      <c r="Q606">
        <f t="shared" si="130"/>
        <v>1139.5</v>
      </c>
    </row>
    <row r="607" spans="1:17" x14ac:dyDescent="0.35">
      <c r="A607">
        <v>2023</v>
      </c>
      <c r="B607" s="18">
        <v>140</v>
      </c>
      <c r="C607" s="20">
        <v>27</v>
      </c>
      <c r="D607" s="12">
        <f t="shared" si="118"/>
        <v>17.5</v>
      </c>
      <c r="E607" s="27">
        <f t="shared" si="119"/>
        <v>0.35</v>
      </c>
      <c r="F607" s="27">
        <f t="shared" si="120"/>
        <v>0.54</v>
      </c>
      <c r="G607">
        <f t="shared" si="121"/>
        <v>44.5</v>
      </c>
      <c r="H607">
        <f t="shared" si="122"/>
        <v>0</v>
      </c>
      <c r="I607">
        <f t="shared" si="123"/>
        <v>-1.469017360186752</v>
      </c>
      <c r="J607">
        <f t="shared" si="124"/>
        <v>-0.44022079363633243</v>
      </c>
      <c r="K607">
        <f t="shared" si="125"/>
        <v>1.214635608128707E-3</v>
      </c>
      <c r="L607">
        <f t="shared" si="126"/>
        <v>-1.2153738758370486E-3</v>
      </c>
      <c r="M607">
        <f t="shared" si="127"/>
        <v>0.6067415730337079</v>
      </c>
      <c r="N607">
        <f t="shared" si="128"/>
        <v>0.39325842696629215</v>
      </c>
      <c r="P607">
        <f t="shared" si="129"/>
        <v>1106.5</v>
      </c>
      <c r="Q607">
        <f t="shared" si="130"/>
        <v>752.5</v>
      </c>
    </row>
    <row r="608" spans="1:17" x14ac:dyDescent="0.35">
      <c r="A608">
        <v>2023</v>
      </c>
      <c r="B608" s="18">
        <v>183</v>
      </c>
      <c r="C608" s="20">
        <v>31</v>
      </c>
      <c r="D608" s="12">
        <f t="shared" si="118"/>
        <v>22.875</v>
      </c>
      <c r="E608" s="27">
        <f t="shared" si="119"/>
        <v>0.45750000000000002</v>
      </c>
      <c r="F608" s="27">
        <f t="shared" si="120"/>
        <v>0.62</v>
      </c>
      <c r="G608">
        <f t="shared" si="121"/>
        <v>53.875</v>
      </c>
      <c r="H608">
        <f t="shared" si="122"/>
        <v>1</v>
      </c>
      <c r="I608">
        <f t="shared" si="123"/>
        <v>5.9655211552543233E-2</v>
      </c>
      <c r="J608">
        <f t="shared" si="124"/>
        <v>2.1935226686356796E-2</v>
      </c>
      <c r="K608">
        <f t="shared" si="125"/>
        <v>0.98439092585448507</v>
      </c>
      <c r="L608">
        <f t="shared" si="126"/>
        <v>-1.573217845318595E-2</v>
      </c>
      <c r="M608">
        <f t="shared" si="127"/>
        <v>0.57540603248259858</v>
      </c>
      <c r="N608">
        <f t="shared" si="128"/>
        <v>0.42459396751740142</v>
      </c>
      <c r="P608">
        <f t="shared" si="129"/>
        <v>465</v>
      </c>
      <c r="Q608">
        <f t="shared" si="130"/>
        <v>605</v>
      </c>
    </row>
    <row r="609" spans="1:17" x14ac:dyDescent="0.35">
      <c r="A609">
        <v>2023</v>
      </c>
      <c r="B609" s="18">
        <v>175</v>
      </c>
      <c r="C609" s="20">
        <v>20</v>
      </c>
      <c r="D609" s="12">
        <f t="shared" si="118"/>
        <v>21.875</v>
      </c>
      <c r="E609" s="27">
        <f t="shared" si="119"/>
        <v>0.4375</v>
      </c>
      <c r="F609" s="27">
        <f t="shared" si="120"/>
        <v>0.4</v>
      </c>
      <c r="G609">
        <f t="shared" si="121"/>
        <v>41.875</v>
      </c>
      <c r="H609">
        <f t="shared" si="122"/>
        <v>0</v>
      </c>
      <c r="I609">
        <f t="shared" si="123"/>
        <v>-0.22474898784081401</v>
      </c>
      <c r="J609">
        <f t="shared" si="124"/>
        <v>-1.2489938292010385</v>
      </c>
      <c r="K609">
        <f t="shared" si="125"/>
        <v>1.9083018433401665E-4</v>
      </c>
      <c r="L609">
        <f t="shared" si="126"/>
        <v>-1.9084839473035989E-4</v>
      </c>
      <c r="M609">
        <f t="shared" si="127"/>
        <v>0.47761194029850745</v>
      </c>
      <c r="N609">
        <f t="shared" si="128"/>
        <v>0.52238805970149249</v>
      </c>
      <c r="P609">
        <f t="shared" si="129"/>
        <v>631.5</v>
      </c>
      <c r="Q609">
        <f t="shared" si="130"/>
        <v>996</v>
      </c>
    </row>
    <row r="610" spans="1:17" x14ac:dyDescent="0.35">
      <c r="A610">
        <v>2023</v>
      </c>
      <c r="B610" s="18">
        <v>224</v>
      </c>
      <c r="C610" s="20">
        <v>23</v>
      </c>
      <c r="D610" s="12">
        <f t="shared" si="118"/>
        <v>28</v>
      </c>
      <c r="E610" s="27">
        <f t="shared" si="119"/>
        <v>0.56000000000000005</v>
      </c>
      <c r="F610" s="27">
        <f t="shared" si="120"/>
        <v>0.46</v>
      </c>
      <c r="G610">
        <f t="shared" si="121"/>
        <v>51</v>
      </c>
      <c r="H610">
        <f t="shared" si="122"/>
        <v>1</v>
      </c>
      <c r="I610">
        <f t="shared" si="123"/>
        <v>1.5172267334434992</v>
      </c>
      <c r="J610">
        <f t="shared" si="124"/>
        <v>-0.90237681395902158</v>
      </c>
      <c r="K610">
        <f t="shared" si="125"/>
        <v>0.89874043413550053</v>
      </c>
      <c r="L610">
        <f t="shared" si="126"/>
        <v>-0.10676101352452408</v>
      </c>
      <c r="M610">
        <f t="shared" si="127"/>
        <v>0.45098039215686275</v>
      </c>
      <c r="N610">
        <f t="shared" si="128"/>
        <v>0.5490196078431373</v>
      </c>
      <c r="P610">
        <f t="shared" si="129"/>
        <v>75.5</v>
      </c>
      <c r="Q610">
        <f t="shared" si="130"/>
        <v>904</v>
      </c>
    </row>
    <row r="611" spans="1:17" x14ac:dyDescent="0.35">
      <c r="A611">
        <v>2023</v>
      </c>
      <c r="B611" s="18">
        <v>169</v>
      </c>
      <c r="C611" s="20">
        <v>38</v>
      </c>
      <c r="D611" s="12">
        <f t="shared" si="118"/>
        <v>21.125</v>
      </c>
      <c r="E611" s="27">
        <f t="shared" si="119"/>
        <v>0.42249999999999999</v>
      </c>
      <c r="F611" s="27">
        <f t="shared" si="120"/>
        <v>0.76</v>
      </c>
      <c r="G611">
        <f t="shared" si="121"/>
        <v>59.125</v>
      </c>
      <c r="H611">
        <f t="shared" si="122"/>
        <v>1</v>
      </c>
      <c r="I611">
        <f t="shared" si="123"/>
        <v>-0.43805213738583199</v>
      </c>
      <c r="J611">
        <f t="shared" si="124"/>
        <v>0.83070826225106287</v>
      </c>
      <c r="K611">
        <f t="shared" si="125"/>
        <v>0.99990504710959949</v>
      </c>
      <c r="L611">
        <f t="shared" si="126"/>
        <v>-9.4957398711597327E-5</v>
      </c>
      <c r="M611">
        <f t="shared" si="127"/>
        <v>0.64270613107822405</v>
      </c>
      <c r="N611">
        <f t="shared" si="128"/>
        <v>0.35729386892177589</v>
      </c>
      <c r="P611">
        <f t="shared" si="129"/>
        <v>744.5</v>
      </c>
      <c r="Q611">
        <f t="shared" si="130"/>
        <v>297.5</v>
      </c>
    </row>
    <row r="612" spans="1:17" x14ac:dyDescent="0.35">
      <c r="A612">
        <v>2023</v>
      </c>
      <c r="B612" s="18">
        <v>208</v>
      </c>
      <c r="C612" s="20">
        <v>42</v>
      </c>
      <c r="D612" s="12">
        <f t="shared" si="118"/>
        <v>26</v>
      </c>
      <c r="E612" s="27">
        <f t="shared" si="119"/>
        <v>0.52</v>
      </c>
      <c r="F612" s="27">
        <f t="shared" si="120"/>
        <v>0.84</v>
      </c>
      <c r="G612">
        <f t="shared" si="121"/>
        <v>68</v>
      </c>
      <c r="H612">
        <f t="shared" si="122"/>
        <v>1</v>
      </c>
      <c r="I612">
        <f t="shared" si="123"/>
        <v>0.94841833465678471</v>
      </c>
      <c r="J612">
        <f t="shared" si="124"/>
        <v>1.2928642825737522</v>
      </c>
      <c r="K612">
        <f t="shared" si="125"/>
        <v>0.9999999965887989</v>
      </c>
      <c r="L612">
        <f t="shared" si="126"/>
        <v>-3.4112011051862462E-9</v>
      </c>
      <c r="M612">
        <f t="shared" si="127"/>
        <v>0.61764705882352944</v>
      </c>
      <c r="N612">
        <f t="shared" si="128"/>
        <v>0.38235294117647056</v>
      </c>
      <c r="P612">
        <f t="shared" si="129"/>
        <v>160</v>
      </c>
      <c r="Q612">
        <f t="shared" si="130"/>
        <v>90.5</v>
      </c>
    </row>
    <row r="613" spans="1:17" x14ac:dyDescent="0.35">
      <c r="A613">
        <v>2023</v>
      </c>
      <c r="B613" s="18">
        <v>190</v>
      </c>
      <c r="C613" s="20">
        <v>19</v>
      </c>
      <c r="D613" s="12">
        <f t="shared" si="118"/>
        <v>23.75</v>
      </c>
      <c r="E613" s="27">
        <f t="shared" si="119"/>
        <v>0.47499999999999998</v>
      </c>
      <c r="F613" s="27">
        <f t="shared" si="120"/>
        <v>0.38</v>
      </c>
      <c r="G613">
        <f t="shared" si="121"/>
        <v>42.75</v>
      </c>
      <c r="H613">
        <f t="shared" si="122"/>
        <v>0</v>
      </c>
      <c r="I613">
        <f t="shared" si="123"/>
        <v>0.30850888602173082</v>
      </c>
      <c r="J613">
        <f t="shared" si="124"/>
        <v>-1.3645328342817109</v>
      </c>
      <c r="K613">
        <f t="shared" si="125"/>
        <v>6.9338275017257736E-4</v>
      </c>
      <c r="L613">
        <f t="shared" si="126"/>
        <v>-6.936232511709846E-4</v>
      </c>
      <c r="M613">
        <f t="shared" si="127"/>
        <v>0.44444444444444442</v>
      </c>
      <c r="N613">
        <f t="shared" si="128"/>
        <v>0.55555555555555558</v>
      </c>
      <c r="P613">
        <f t="shared" si="129"/>
        <v>341</v>
      </c>
      <c r="Q613">
        <f t="shared" si="130"/>
        <v>1022</v>
      </c>
    </row>
    <row r="614" spans="1:17" x14ac:dyDescent="0.35">
      <c r="A614">
        <v>2023</v>
      </c>
      <c r="B614" s="18">
        <v>184</v>
      </c>
      <c r="C614" s="20">
        <v>33</v>
      </c>
      <c r="D614" s="12">
        <f t="shared" si="118"/>
        <v>23</v>
      </c>
      <c r="E614" s="27">
        <f t="shared" si="119"/>
        <v>0.46</v>
      </c>
      <c r="F614" s="27">
        <f t="shared" si="120"/>
        <v>0.66</v>
      </c>
      <c r="G614">
        <f t="shared" si="121"/>
        <v>56</v>
      </c>
      <c r="H614">
        <f t="shared" si="122"/>
        <v>1</v>
      </c>
      <c r="I614">
        <f t="shared" si="123"/>
        <v>9.5205736476712891E-2</v>
      </c>
      <c r="J614">
        <f t="shared" si="124"/>
        <v>0.25301323684770138</v>
      </c>
      <c r="K614">
        <f t="shared" si="125"/>
        <v>0.99831456095245852</v>
      </c>
      <c r="L614">
        <f t="shared" si="126"/>
        <v>-1.6868609978980165E-3</v>
      </c>
      <c r="M614">
        <f t="shared" si="127"/>
        <v>0.5892857142857143</v>
      </c>
      <c r="N614">
        <f t="shared" si="128"/>
        <v>0.4107142857142857</v>
      </c>
      <c r="P614">
        <f t="shared" si="129"/>
        <v>445</v>
      </c>
      <c r="Q614">
        <f t="shared" si="130"/>
        <v>523.5</v>
      </c>
    </row>
    <row r="615" spans="1:17" x14ac:dyDescent="0.35">
      <c r="A615">
        <v>2023</v>
      </c>
      <c r="B615" s="18">
        <v>222</v>
      </c>
      <c r="C615" s="20">
        <v>39</v>
      </c>
      <c r="D615" s="12">
        <f t="shared" si="118"/>
        <v>27.75</v>
      </c>
      <c r="E615" s="27">
        <f t="shared" si="119"/>
        <v>0.55500000000000005</v>
      </c>
      <c r="F615" s="27">
        <f t="shared" si="120"/>
        <v>0.78</v>
      </c>
      <c r="G615">
        <f t="shared" si="121"/>
        <v>66.75</v>
      </c>
      <c r="H615">
        <f t="shared" si="122"/>
        <v>1</v>
      </c>
      <c r="I615">
        <f t="shared" si="123"/>
        <v>1.4461256835951599</v>
      </c>
      <c r="J615">
        <f t="shared" si="124"/>
        <v>0.94624726733173525</v>
      </c>
      <c r="K615">
        <f t="shared" si="125"/>
        <v>0.9999999911869365</v>
      </c>
      <c r="L615">
        <f t="shared" si="126"/>
        <v>-8.8130635400357464E-9</v>
      </c>
      <c r="M615">
        <f t="shared" si="127"/>
        <v>0.5842696629213483</v>
      </c>
      <c r="N615">
        <f t="shared" si="128"/>
        <v>0.4157303370786517</v>
      </c>
      <c r="P615">
        <f t="shared" si="129"/>
        <v>79.5</v>
      </c>
      <c r="Q615">
        <f t="shared" si="130"/>
        <v>233</v>
      </c>
    </row>
    <row r="616" spans="1:17" x14ac:dyDescent="0.35">
      <c r="A616">
        <v>2023</v>
      </c>
      <c r="B616" s="18">
        <v>223</v>
      </c>
      <c r="C616" s="20">
        <v>34</v>
      </c>
      <c r="D616" s="12">
        <f t="shared" si="118"/>
        <v>27.875</v>
      </c>
      <c r="E616" s="27">
        <f t="shared" si="119"/>
        <v>0.5575</v>
      </c>
      <c r="F616" s="27">
        <f t="shared" si="120"/>
        <v>0.68</v>
      </c>
      <c r="G616">
        <f t="shared" si="121"/>
        <v>61.875</v>
      </c>
      <c r="H616">
        <f t="shared" si="122"/>
        <v>1</v>
      </c>
      <c r="I616">
        <f t="shared" si="123"/>
        <v>1.4816762085193296</v>
      </c>
      <c r="J616">
        <f t="shared" si="124"/>
        <v>0.36855224192837371</v>
      </c>
      <c r="K616">
        <f t="shared" si="125"/>
        <v>0.99999861760120956</v>
      </c>
      <c r="L616">
        <f t="shared" si="126"/>
        <v>-1.3823997459534204E-6</v>
      </c>
      <c r="M616">
        <f t="shared" si="127"/>
        <v>0.54949494949494948</v>
      </c>
      <c r="N616">
        <f t="shared" si="128"/>
        <v>0.45050505050505052</v>
      </c>
      <c r="P616">
        <f t="shared" si="129"/>
        <v>77.5</v>
      </c>
      <c r="Q616">
        <f t="shared" si="130"/>
        <v>484.5</v>
      </c>
    </row>
    <row r="617" spans="1:17" x14ac:dyDescent="0.35">
      <c r="A617">
        <v>2023</v>
      </c>
      <c r="B617" s="18">
        <v>181</v>
      </c>
      <c r="C617" s="20">
        <v>25</v>
      </c>
      <c r="D617" s="12">
        <f t="shared" si="118"/>
        <v>22.625</v>
      </c>
      <c r="E617" s="27">
        <f t="shared" si="119"/>
        <v>0.45250000000000001</v>
      </c>
      <c r="F617" s="27">
        <f t="shared" si="120"/>
        <v>0.5</v>
      </c>
      <c r="G617">
        <f t="shared" si="121"/>
        <v>47.625</v>
      </c>
      <c r="H617">
        <f t="shared" si="122"/>
        <v>0</v>
      </c>
      <c r="I617">
        <f t="shared" si="123"/>
        <v>-1.1445838295796084E-2</v>
      </c>
      <c r="J617">
        <f t="shared" si="124"/>
        <v>-0.67129880379767704</v>
      </c>
      <c r="K617">
        <f t="shared" si="125"/>
        <v>8.1666307178228537E-2</v>
      </c>
      <c r="L617">
        <f t="shared" si="126"/>
        <v>-8.5194454605844114E-2</v>
      </c>
      <c r="M617">
        <f t="shared" si="127"/>
        <v>0.52493438320209973</v>
      </c>
      <c r="N617">
        <f t="shared" si="128"/>
        <v>0.47506561679790027</v>
      </c>
      <c r="P617">
        <f t="shared" si="129"/>
        <v>505</v>
      </c>
      <c r="Q617">
        <f t="shared" si="130"/>
        <v>835</v>
      </c>
    </row>
    <row r="618" spans="1:17" x14ac:dyDescent="0.35">
      <c r="A618">
        <v>2023</v>
      </c>
      <c r="B618" s="18">
        <v>255</v>
      </c>
      <c r="C618" s="20">
        <v>39</v>
      </c>
      <c r="D618" s="12">
        <f t="shared" si="118"/>
        <v>31.875</v>
      </c>
      <c r="E618" s="27">
        <f t="shared" si="119"/>
        <v>0.63749999999999996</v>
      </c>
      <c r="F618" s="27">
        <f t="shared" si="120"/>
        <v>0.78</v>
      </c>
      <c r="G618">
        <f t="shared" si="121"/>
        <v>70.875</v>
      </c>
      <c r="H618">
        <f t="shared" si="122"/>
        <v>1</v>
      </c>
      <c r="I618">
        <f t="shared" si="123"/>
        <v>2.6192930060927586</v>
      </c>
      <c r="J618">
        <f t="shared" si="124"/>
        <v>0.94624726733173525</v>
      </c>
      <c r="K618">
        <f t="shared" si="125"/>
        <v>0.99999999994797806</v>
      </c>
      <c r="L618">
        <f t="shared" si="126"/>
        <v>-5.2021942310819023E-11</v>
      </c>
      <c r="M618">
        <f t="shared" si="127"/>
        <v>0.55026455026455023</v>
      </c>
      <c r="N618">
        <f t="shared" si="128"/>
        <v>0.44973544973544971</v>
      </c>
      <c r="P618">
        <f t="shared" si="129"/>
        <v>29</v>
      </c>
      <c r="Q618">
        <f t="shared" si="130"/>
        <v>233</v>
      </c>
    </row>
    <row r="619" spans="1:17" x14ac:dyDescent="0.35">
      <c r="A619">
        <v>2023</v>
      </c>
      <c r="B619" s="18">
        <v>215</v>
      </c>
      <c r="C619" s="20">
        <v>31</v>
      </c>
      <c r="D619" s="12">
        <f t="shared" si="118"/>
        <v>26.875</v>
      </c>
      <c r="E619" s="27">
        <f t="shared" si="119"/>
        <v>0.53749999999999998</v>
      </c>
      <c r="F619" s="27">
        <f t="shared" si="120"/>
        <v>0.62</v>
      </c>
      <c r="G619">
        <f t="shared" si="121"/>
        <v>57.875</v>
      </c>
      <c r="H619">
        <f t="shared" si="122"/>
        <v>1</v>
      </c>
      <c r="I619">
        <f t="shared" si="123"/>
        <v>1.1972720091259723</v>
      </c>
      <c r="J619">
        <f t="shared" si="124"/>
        <v>2.1935226686356796E-2</v>
      </c>
      <c r="K619">
        <f t="shared" si="125"/>
        <v>0.99989066331622767</v>
      </c>
      <c r="L619">
        <f t="shared" si="126"/>
        <v>-1.0934266146326571E-4</v>
      </c>
      <c r="M619">
        <f t="shared" si="127"/>
        <v>0.5356371490280778</v>
      </c>
      <c r="N619">
        <f t="shared" si="128"/>
        <v>0.46436285097192226</v>
      </c>
      <c r="P619">
        <f t="shared" si="129"/>
        <v>105.5</v>
      </c>
      <c r="Q619">
        <f t="shared" si="130"/>
        <v>605</v>
      </c>
    </row>
    <row r="620" spans="1:17" x14ac:dyDescent="0.35">
      <c r="A620">
        <v>2023</v>
      </c>
      <c r="B620" s="18">
        <v>177</v>
      </c>
      <c r="C620" s="20">
        <v>29</v>
      </c>
      <c r="D620" s="12">
        <f t="shared" si="118"/>
        <v>22.125</v>
      </c>
      <c r="E620" s="27">
        <f t="shared" si="119"/>
        <v>0.4425</v>
      </c>
      <c r="F620" s="27">
        <f t="shared" si="120"/>
        <v>0.57999999999999996</v>
      </c>
      <c r="G620">
        <f t="shared" si="121"/>
        <v>51.125</v>
      </c>
      <c r="H620">
        <f t="shared" si="122"/>
        <v>1</v>
      </c>
      <c r="I620">
        <f t="shared" si="123"/>
        <v>-0.15364793799247473</v>
      </c>
      <c r="J620">
        <f t="shared" si="124"/>
        <v>-0.2091427834749878</v>
      </c>
      <c r="K620">
        <f t="shared" si="125"/>
        <v>0.75522462273649504</v>
      </c>
      <c r="L620">
        <f t="shared" si="126"/>
        <v>-0.28074006042322336</v>
      </c>
      <c r="M620">
        <f t="shared" si="127"/>
        <v>0.56723716381418088</v>
      </c>
      <c r="N620">
        <f t="shared" si="128"/>
        <v>0.43276283618581907</v>
      </c>
      <c r="P620">
        <f t="shared" si="129"/>
        <v>585</v>
      </c>
      <c r="Q620">
        <f t="shared" si="130"/>
        <v>671</v>
      </c>
    </row>
    <row r="621" spans="1:17" x14ac:dyDescent="0.35">
      <c r="A621">
        <v>2023</v>
      </c>
      <c r="B621" s="18">
        <v>148</v>
      </c>
      <c r="C621" s="20">
        <v>28</v>
      </c>
      <c r="D621" s="12">
        <f t="shared" si="118"/>
        <v>18.5</v>
      </c>
      <c r="E621" s="27">
        <f t="shared" si="119"/>
        <v>0.37</v>
      </c>
      <c r="F621" s="27">
        <f t="shared" si="120"/>
        <v>0.56000000000000005</v>
      </c>
      <c r="G621">
        <f t="shared" si="121"/>
        <v>46.5</v>
      </c>
      <c r="H621">
        <f t="shared" si="122"/>
        <v>0</v>
      </c>
      <c r="I621">
        <f t="shared" si="123"/>
        <v>-1.1846131607933947</v>
      </c>
      <c r="J621">
        <f t="shared" si="124"/>
        <v>-0.3246817885556601</v>
      </c>
      <c r="K621">
        <f t="shared" si="125"/>
        <v>1.1824077812696903E-2</v>
      </c>
      <c r="L621">
        <f t="shared" si="126"/>
        <v>-1.1894538190841096E-2</v>
      </c>
      <c r="M621">
        <f t="shared" si="127"/>
        <v>0.60215053763440862</v>
      </c>
      <c r="N621">
        <f t="shared" si="128"/>
        <v>0.39784946236559138</v>
      </c>
      <c r="P621">
        <f t="shared" si="129"/>
        <v>1061</v>
      </c>
      <c r="Q621">
        <f t="shared" si="130"/>
        <v>709.5</v>
      </c>
    </row>
    <row r="622" spans="1:17" x14ac:dyDescent="0.35">
      <c r="A622">
        <v>2023</v>
      </c>
      <c r="B622" s="18">
        <v>185</v>
      </c>
      <c r="C622" s="20">
        <v>39</v>
      </c>
      <c r="D622" s="12">
        <f t="shared" si="118"/>
        <v>23.125</v>
      </c>
      <c r="E622" s="27">
        <f t="shared" si="119"/>
        <v>0.46250000000000002</v>
      </c>
      <c r="F622" s="27">
        <f t="shared" si="120"/>
        <v>0.78</v>
      </c>
      <c r="G622">
        <f t="shared" si="121"/>
        <v>62.125</v>
      </c>
      <c r="H622">
        <f t="shared" si="122"/>
        <v>1</v>
      </c>
      <c r="I622">
        <f t="shared" si="123"/>
        <v>0.13075626140088253</v>
      </c>
      <c r="J622">
        <f t="shared" si="124"/>
        <v>0.94624726733173525</v>
      </c>
      <c r="K622">
        <f t="shared" si="125"/>
        <v>0.9999972187501236</v>
      </c>
      <c r="L622">
        <f t="shared" si="126"/>
        <v>-2.78125374408721E-6</v>
      </c>
      <c r="M622">
        <f t="shared" si="127"/>
        <v>0.62776659959758552</v>
      </c>
      <c r="N622">
        <f t="shared" si="128"/>
        <v>0.37223340040241448</v>
      </c>
      <c r="P622">
        <f t="shared" si="129"/>
        <v>428.5</v>
      </c>
      <c r="Q622">
        <f t="shared" si="130"/>
        <v>233</v>
      </c>
    </row>
    <row r="623" spans="1:17" x14ac:dyDescent="0.35">
      <c r="A623">
        <v>2023</v>
      </c>
      <c r="B623" s="18">
        <v>164</v>
      </c>
      <c r="C623" s="20">
        <v>23</v>
      </c>
      <c r="D623" s="12">
        <f t="shared" si="118"/>
        <v>20.5</v>
      </c>
      <c r="E623" s="27">
        <f t="shared" si="119"/>
        <v>0.41</v>
      </c>
      <c r="F623" s="27">
        <f t="shared" si="120"/>
        <v>0.46</v>
      </c>
      <c r="G623">
        <f t="shared" si="121"/>
        <v>43.5</v>
      </c>
      <c r="H623">
        <f t="shared" si="122"/>
        <v>0</v>
      </c>
      <c r="I623">
        <f t="shared" si="123"/>
        <v>-0.61580476200668022</v>
      </c>
      <c r="J623">
        <f t="shared" si="124"/>
        <v>-0.90237681395902158</v>
      </c>
      <c r="K623">
        <f t="shared" si="125"/>
        <v>7.8566802576433034E-4</v>
      </c>
      <c r="L623">
        <f t="shared" si="126"/>
        <v>-7.8597682464051394E-4</v>
      </c>
      <c r="M623">
        <f t="shared" si="127"/>
        <v>0.52873563218390807</v>
      </c>
      <c r="N623">
        <f t="shared" si="128"/>
        <v>0.47126436781609193</v>
      </c>
      <c r="P623">
        <f t="shared" si="129"/>
        <v>844.5</v>
      </c>
      <c r="Q623">
        <f t="shared" si="130"/>
        <v>904</v>
      </c>
    </row>
    <row r="624" spans="1:17" x14ac:dyDescent="0.35">
      <c r="A624">
        <v>2023</v>
      </c>
      <c r="B624" s="18">
        <v>204</v>
      </c>
      <c r="C624" s="20">
        <v>35</v>
      </c>
      <c r="D624" s="12">
        <f t="shared" si="118"/>
        <v>25.5</v>
      </c>
      <c r="E624" s="27">
        <f t="shared" si="119"/>
        <v>0.51</v>
      </c>
      <c r="F624" s="27">
        <f t="shared" si="120"/>
        <v>0.7</v>
      </c>
      <c r="G624">
        <f t="shared" si="121"/>
        <v>60.5</v>
      </c>
      <c r="H624">
        <f t="shared" si="122"/>
        <v>1</v>
      </c>
      <c r="I624">
        <f t="shared" si="123"/>
        <v>0.80621623496010608</v>
      </c>
      <c r="J624">
        <f t="shared" si="124"/>
        <v>0.48409124700904599</v>
      </c>
      <c r="K624">
        <f t="shared" si="125"/>
        <v>0.99999063842943514</v>
      </c>
      <c r="L624">
        <f t="shared" si="126"/>
        <v>-9.3616143846338483E-6</v>
      </c>
      <c r="M624">
        <f t="shared" si="127"/>
        <v>0.57851239669421484</v>
      </c>
      <c r="N624">
        <f t="shared" si="128"/>
        <v>0.42148760330578511</v>
      </c>
      <c r="P624">
        <f t="shared" si="129"/>
        <v>193.5</v>
      </c>
      <c r="Q624">
        <f t="shared" si="130"/>
        <v>448.5</v>
      </c>
    </row>
    <row r="625" spans="1:17" x14ac:dyDescent="0.35">
      <c r="A625">
        <v>2023</v>
      </c>
      <c r="B625" s="18">
        <v>174</v>
      </c>
      <c r="C625" s="20">
        <v>39</v>
      </c>
      <c r="D625" s="12">
        <f t="shared" si="118"/>
        <v>21.75</v>
      </c>
      <c r="E625" s="27">
        <f t="shared" si="119"/>
        <v>0.435</v>
      </c>
      <c r="F625" s="27">
        <f t="shared" si="120"/>
        <v>0.78</v>
      </c>
      <c r="G625">
        <f t="shared" si="121"/>
        <v>60.75</v>
      </c>
      <c r="H625">
        <f t="shared" si="122"/>
        <v>1</v>
      </c>
      <c r="I625">
        <f t="shared" si="123"/>
        <v>-0.2602995127649837</v>
      </c>
      <c r="J625">
        <f t="shared" si="124"/>
        <v>0.94624726733173525</v>
      </c>
      <c r="K625">
        <f t="shared" si="125"/>
        <v>0.99998461085603063</v>
      </c>
      <c r="L625">
        <f t="shared" si="126"/>
        <v>-1.5389262383459663E-5</v>
      </c>
      <c r="M625">
        <f t="shared" si="127"/>
        <v>0.64197530864197527</v>
      </c>
      <c r="N625">
        <f t="shared" si="128"/>
        <v>0.35802469135802467</v>
      </c>
      <c r="P625">
        <f t="shared" si="129"/>
        <v>653</v>
      </c>
      <c r="Q625">
        <f t="shared" si="130"/>
        <v>233</v>
      </c>
    </row>
    <row r="626" spans="1:17" x14ac:dyDescent="0.35">
      <c r="A626">
        <v>2023</v>
      </c>
      <c r="B626" s="18">
        <v>180</v>
      </c>
      <c r="C626" s="20">
        <v>32</v>
      </c>
      <c r="D626" s="12">
        <f t="shared" si="118"/>
        <v>22.5</v>
      </c>
      <c r="E626" s="27">
        <f t="shared" si="119"/>
        <v>0.45</v>
      </c>
      <c r="F626" s="27">
        <f t="shared" si="120"/>
        <v>0.64</v>
      </c>
      <c r="G626">
        <f t="shared" si="121"/>
        <v>54.5</v>
      </c>
      <c r="H626">
        <f t="shared" si="122"/>
        <v>1</v>
      </c>
      <c r="I626">
        <f t="shared" si="123"/>
        <v>-4.6996363219965739E-2</v>
      </c>
      <c r="J626">
        <f t="shared" si="124"/>
        <v>0.13747423176702911</v>
      </c>
      <c r="K626">
        <f t="shared" si="125"/>
        <v>0.991161577528753</v>
      </c>
      <c r="L626">
        <f t="shared" si="126"/>
        <v>-8.8777130093782124E-3</v>
      </c>
      <c r="M626">
        <f t="shared" si="127"/>
        <v>0.58715596330275233</v>
      </c>
      <c r="N626">
        <f t="shared" si="128"/>
        <v>0.41284403669724773</v>
      </c>
      <c r="P626">
        <f t="shared" si="129"/>
        <v>528</v>
      </c>
      <c r="Q626">
        <f t="shared" si="130"/>
        <v>564</v>
      </c>
    </row>
    <row r="627" spans="1:17" x14ac:dyDescent="0.35">
      <c r="A627">
        <v>2023</v>
      </c>
      <c r="B627" s="18">
        <v>226</v>
      </c>
      <c r="C627" s="20">
        <v>41</v>
      </c>
      <c r="D627" s="12">
        <f t="shared" si="118"/>
        <v>28.25</v>
      </c>
      <c r="E627" s="27">
        <f t="shared" si="119"/>
        <v>0.56499999999999995</v>
      </c>
      <c r="F627" s="27">
        <f t="shared" si="120"/>
        <v>0.82</v>
      </c>
      <c r="G627">
        <f t="shared" si="121"/>
        <v>69.25</v>
      </c>
      <c r="H627">
        <f t="shared" si="122"/>
        <v>1</v>
      </c>
      <c r="I627">
        <f t="shared" si="123"/>
        <v>1.5883277832918385</v>
      </c>
      <c r="J627">
        <f t="shared" si="124"/>
        <v>1.1773252774930798</v>
      </c>
      <c r="K627">
        <f t="shared" si="125"/>
        <v>0.9999999994115194</v>
      </c>
      <c r="L627">
        <f t="shared" si="126"/>
        <v>-5.8848059775847165E-10</v>
      </c>
      <c r="M627">
        <f t="shared" si="127"/>
        <v>0.59205776173285196</v>
      </c>
      <c r="N627">
        <f t="shared" si="128"/>
        <v>0.40794223826714804</v>
      </c>
      <c r="P627">
        <f t="shared" si="129"/>
        <v>71</v>
      </c>
      <c r="Q627">
        <f t="shared" si="130"/>
        <v>129.5</v>
      </c>
    </row>
    <row r="628" spans="1:17" x14ac:dyDescent="0.35">
      <c r="A628">
        <v>2023</v>
      </c>
      <c r="B628" s="18">
        <v>251</v>
      </c>
      <c r="C628" s="20">
        <v>27</v>
      </c>
      <c r="D628" s="12">
        <f t="shared" si="118"/>
        <v>31.375</v>
      </c>
      <c r="E628" s="27">
        <f t="shared" si="119"/>
        <v>0.62749999999999995</v>
      </c>
      <c r="F628" s="27">
        <f t="shared" si="120"/>
        <v>0.54</v>
      </c>
      <c r="G628">
        <f t="shared" si="121"/>
        <v>58.375</v>
      </c>
      <c r="H628">
        <f t="shared" si="122"/>
        <v>1</v>
      </c>
      <c r="I628">
        <f t="shared" si="123"/>
        <v>2.47709090639608</v>
      </c>
      <c r="J628">
        <f t="shared" si="124"/>
        <v>-0.44022079363633243</v>
      </c>
      <c r="K628">
        <f t="shared" si="125"/>
        <v>0.99997383794360628</v>
      </c>
      <c r="L628">
        <f t="shared" si="126"/>
        <v>-2.6162398626285661E-5</v>
      </c>
      <c r="M628">
        <f t="shared" si="127"/>
        <v>0.46252676659528907</v>
      </c>
      <c r="N628">
        <f t="shared" si="128"/>
        <v>0.53747323340471087</v>
      </c>
      <c r="P628">
        <f t="shared" si="129"/>
        <v>32.5</v>
      </c>
      <c r="Q628">
        <f t="shared" si="130"/>
        <v>752.5</v>
      </c>
    </row>
    <row r="629" spans="1:17" x14ac:dyDescent="0.35">
      <c r="A629">
        <v>2023</v>
      </c>
      <c r="B629" s="18">
        <v>170</v>
      </c>
      <c r="C629" s="20">
        <v>32</v>
      </c>
      <c r="D629" s="12">
        <f t="shared" si="118"/>
        <v>21.25</v>
      </c>
      <c r="E629" s="27">
        <f t="shared" si="119"/>
        <v>0.42499999999999999</v>
      </c>
      <c r="F629" s="27">
        <f t="shared" si="120"/>
        <v>0.64</v>
      </c>
      <c r="G629">
        <f t="shared" si="121"/>
        <v>53.25</v>
      </c>
      <c r="H629">
        <f t="shared" si="122"/>
        <v>1</v>
      </c>
      <c r="I629">
        <f t="shared" si="123"/>
        <v>-0.40250161246166233</v>
      </c>
      <c r="J629">
        <f t="shared" si="124"/>
        <v>0.13747423176702911</v>
      </c>
      <c r="K629">
        <f t="shared" si="125"/>
        <v>0.95947703789557948</v>
      </c>
      <c r="L629">
        <f t="shared" si="126"/>
        <v>-4.136689514374324E-2</v>
      </c>
      <c r="M629">
        <f t="shared" si="127"/>
        <v>0.60093896713615025</v>
      </c>
      <c r="N629">
        <f t="shared" si="128"/>
        <v>0.39906103286384975</v>
      </c>
      <c r="P629">
        <f t="shared" si="129"/>
        <v>720</v>
      </c>
      <c r="Q629">
        <f t="shared" si="130"/>
        <v>564</v>
      </c>
    </row>
    <row r="630" spans="1:17" x14ac:dyDescent="0.35">
      <c r="A630">
        <v>2023</v>
      </c>
      <c r="B630" s="18">
        <v>152</v>
      </c>
      <c r="C630" s="20">
        <v>34</v>
      </c>
      <c r="D630" s="12">
        <f t="shared" si="118"/>
        <v>19</v>
      </c>
      <c r="E630" s="27">
        <f t="shared" si="119"/>
        <v>0.38</v>
      </c>
      <c r="F630" s="27">
        <f t="shared" si="120"/>
        <v>0.68</v>
      </c>
      <c r="G630">
        <f t="shared" si="121"/>
        <v>53</v>
      </c>
      <c r="H630">
        <f t="shared" si="122"/>
        <v>1</v>
      </c>
      <c r="I630">
        <f t="shared" si="123"/>
        <v>-1.0424110610967161</v>
      </c>
      <c r="J630">
        <f t="shared" si="124"/>
        <v>0.36855224192837371</v>
      </c>
      <c r="K630">
        <f t="shared" si="125"/>
        <v>0.92051881393301171</v>
      </c>
      <c r="L630">
        <f t="shared" si="126"/>
        <v>-8.2817839698741555E-2</v>
      </c>
      <c r="M630">
        <f t="shared" si="127"/>
        <v>0.64150943396226412</v>
      </c>
      <c r="N630">
        <f t="shared" si="128"/>
        <v>0.35849056603773582</v>
      </c>
      <c r="P630">
        <f t="shared" si="129"/>
        <v>1016</v>
      </c>
      <c r="Q630">
        <f t="shared" si="130"/>
        <v>484.5</v>
      </c>
    </row>
    <row r="631" spans="1:17" x14ac:dyDescent="0.35">
      <c r="A631">
        <v>2023</v>
      </c>
      <c r="B631" s="18">
        <v>182</v>
      </c>
      <c r="C631" s="20">
        <v>28</v>
      </c>
      <c r="D631" s="12">
        <f t="shared" si="118"/>
        <v>22.75</v>
      </c>
      <c r="E631" s="27">
        <f t="shared" si="119"/>
        <v>0.45500000000000002</v>
      </c>
      <c r="F631" s="27">
        <f t="shared" si="120"/>
        <v>0.56000000000000005</v>
      </c>
      <c r="G631">
        <f t="shared" si="121"/>
        <v>50.75</v>
      </c>
      <c r="H631">
        <f t="shared" si="122"/>
        <v>1</v>
      </c>
      <c r="I631">
        <f t="shared" si="123"/>
        <v>2.4104686628373572E-2</v>
      </c>
      <c r="J631">
        <f t="shared" si="124"/>
        <v>-0.3246817885556601</v>
      </c>
      <c r="K631">
        <f t="shared" si="125"/>
        <v>0.70310457997435871</v>
      </c>
      <c r="L631">
        <f t="shared" si="126"/>
        <v>-0.35224963582531915</v>
      </c>
      <c r="M631">
        <f t="shared" si="127"/>
        <v>0.55172413793103448</v>
      </c>
      <c r="N631">
        <f t="shared" si="128"/>
        <v>0.44827586206896552</v>
      </c>
      <c r="P631">
        <f t="shared" si="129"/>
        <v>484.5</v>
      </c>
      <c r="Q631">
        <f t="shared" si="130"/>
        <v>709.5</v>
      </c>
    </row>
    <row r="632" spans="1:17" x14ac:dyDescent="0.35">
      <c r="A632">
        <v>2023</v>
      </c>
      <c r="B632" s="18">
        <v>161</v>
      </c>
      <c r="C632" s="20">
        <v>20</v>
      </c>
      <c r="D632" s="12">
        <f t="shared" si="118"/>
        <v>20.125</v>
      </c>
      <c r="E632" s="27">
        <f t="shared" si="119"/>
        <v>0.40250000000000002</v>
      </c>
      <c r="F632" s="27">
        <f t="shared" si="120"/>
        <v>0.4</v>
      </c>
      <c r="G632">
        <f t="shared" si="121"/>
        <v>40.125</v>
      </c>
      <c r="H632">
        <f t="shared" si="122"/>
        <v>0</v>
      </c>
      <c r="I632">
        <f t="shared" si="123"/>
        <v>-0.72245633677918919</v>
      </c>
      <c r="J632">
        <f t="shared" si="124"/>
        <v>-1.2489938292010385</v>
      </c>
      <c r="K632">
        <f t="shared" si="125"/>
        <v>2.1632650820148515E-5</v>
      </c>
      <c r="L632">
        <f t="shared" si="126"/>
        <v>-2.1632884809278971E-5</v>
      </c>
      <c r="M632">
        <f t="shared" si="127"/>
        <v>0.49844236760124611</v>
      </c>
      <c r="N632">
        <f t="shared" si="128"/>
        <v>0.50155763239875384</v>
      </c>
      <c r="P632">
        <f t="shared" si="129"/>
        <v>892.5</v>
      </c>
      <c r="Q632">
        <f t="shared" si="130"/>
        <v>996</v>
      </c>
    </row>
    <row r="633" spans="1:17" x14ac:dyDescent="0.35">
      <c r="A633">
        <v>2023</v>
      </c>
      <c r="B633" s="18">
        <v>176</v>
      </c>
      <c r="C633" s="20">
        <v>39</v>
      </c>
      <c r="D633" s="12">
        <f t="shared" si="118"/>
        <v>22</v>
      </c>
      <c r="E633" s="27">
        <f t="shared" si="119"/>
        <v>0.44</v>
      </c>
      <c r="F633" s="27">
        <f t="shared" si="120"/>
        <v>0.78</v>
      </c>
      <c r="G633">
        <f t="shared" si="121"/>
        <v>61</v>
      </c>
      <c r="H633">
        <f t="shared" si="122"/>
        <v>1</v>
      </c>
      <c r="I633">
        <f t="shared" si="123"/>
        <v>-0.18919846291664436</v>
      </c>
      <c r="J633">
        <f t="shared" si="124"/>
        <v>0.94624726733173525</v>
      </c>
      <c r="K633">
        <f t="shared" si="125"/>
        <v>0.99998872467706246</v>
      </c>
      <c r="L633">
        <f t="shared" si="126"/>
        <v>-1.1275386504474352E-5</v>
      </c>
      <c r="M633">
        <f t="shared" si="127"/>
        <v>0.63934426229508201</v>
      </c>
      <c r="N633">
        <f t="shared" si="128"/>
        <v>0.36065573770491804</v>
      </c>
      <c r="P633">
        <f t="shared" si="129"/>
        <v>607.5</v>
      </c>
      <c r="Q633">
        <f t="shared" si="130"/>
        <v>233</v>
      </c>
    </row>
    <row r="634" spans="1:17" x14ac:dyDescent="0.35">
      <c r="A634">
        <v>2023</v>
      </c>
      <c r="B634" s="18">
        <v>167</v>
      </c>
      <c r="C634" s="20">
        <v>29</v>
      </c>
      <c r="D634" s="12">
        <f t="shared" si="118"/>
        <v>20.875</v>
      </c>
      <c r="E634" s="27">
        <f t="shared" si="119"/>
        <v>0.41749999999999998</v>
      </c>
      <c r="F634" s="27">
        <f t="shared" si="120"/>
        <v>0.57999999999999996</v>
      </c>
      <c r="G634">
        <f t="shared" si="121"/>
        <v>49.875</v>
      </c>
      <c r="H634">
        <f t="shared" si="122"/>
        <v>0</v>
      </c>
      <c r="I634">
        <f t="shared" si="123"/>
        <v>-0.50915318723417125</v>
      </c>
      <c r="J634">
        <f t="shared" si="124"/>
        <v>-0.2091427834749878</v>
      </c>
      <c r="K634">
        <f t="shared" si="125"/>
        <v>0.39446658855882999</v>
      </c>
      <c r="L634">
        <f t="shared" si="126"/>
        <v>-0.50164553759198993</v>
      </c>
      <c r="M634">
        <f t="shared" si="127"/>
        <v>0.581453634085213</v>
      </c>
      <c r="N634">
        <f t="shared" si="128"/>
        <v>0.41854636591478694</v>
      </c>
      <c r="P634">
        <f t="shared" si="129"/>
        <v>789.5</v>
      </c>
      <c r="Q634">
        <f t="shared" si="130"/>
        <v>671</v>
      </c>
    </row>
    <row r="635" spans="1:17" x14ac:dyDescent="0.35">
      <c r="A635">
        <v>2023</v>
      </c>
      <c r="B635" s="18">
        <v>191</v>
      </c>
      <c r="C635" s="20">
        <v>23</v>
      </c>
      <c r="D635" s="12">
        <f t="shared" si="118"/>
        <v>23.875</v>
      </c>
      <c r="E635" s="27">
        <f t="shared" si="119"/>
        <v>0.47749999999999998</v>
      </c>
      <c r="F635" s="27">
        <f t="shared" si="120"/>
        <v>0.46</v>
      </c>
      <c r="G635">
        <f t="shared" si="121"/>
        <v>46.875</v>
      </c>
      <c r="H635">
        <f t="shared" si="122"/>
        <v>0</v>
      </c>
      <c r="I635">
        <f t="shared" si="123"/>
        <v>0.34405941094590048</v>
      </c>
      <c r="J635">
        <f t="shared" si="124"/>
        <v>-0.90237681395902158</v>
      </c>
      <c r="K635">
        <f t="shared" si="125"/>
        <v>4.9783017868647153E-2</v>
      </c>
      <c r="L635">
        <f t="shared" si="126"/>
        <v>-5.1064918223842577E-2</v>
      </c>
      <c r="M635">
        <f t="shared" si="127"/>
        <v>0.49066666666666664</v>
      </c>
      <c r="N635">
        <f t="shared" si="128"/>
        <v>0.5093333333333333</v>
      </c>
      <c r="P635">
        <f t="shared" si="129"/>
        <v>327</v>
      </c>
      <c r="Q635">
        <f t="shared" si="130"/>
        <v>904</v>
      </c>
    </row>
    <row r="636" spans="1:17" x14ac:dyDescent="0.35">
      <c r="A636">
        <v>2023</v>
      </c>
      <c r="B636" s="18">
        <v>269</v>
      </c>
      <c r="C636" s="20">
        <v>31</v>
      </c>
      <c r="D636" s="12">
        <f t="shared" si="118"/>
        <v>33.625</v>
      </c>
      <c r="E636" s="27">
        <f t="shared" si="119"/>
        <v>0.67249999999999999</v>
      </c>
      <c r="F636" s="27">
        <f t="shared" si="120"/>
        <v>0.62</v>
      </c>
      <c r="G636">
        <f t="shared" si="121"/>
        <v>64.625</v>
      </c>
      <c r="H636">
        <f t="shared" si="122"/>
        <v>1</v>
      </c>
      <c r="I636">
        <f t="shared" si="123"/>
        <v>3.1170003550311338</v>
      </c>
      <c r="J636">
        <f t="shared" si="124"/>
        <v>2.1935226686356796E-2</v>
      </c>
      <c r="K636">
        <f t="shared" si="125"/>
        <v>0.99999997537039997</v>
      </c>
      <c r="L636">
        <f t="shared" si="126"/>
        <v>-2.4629600329446726E-8</v>
      </c>
      <c r="M636">
        <f t="shared" si="127"/>
        <v>0.47969052224371372</v>
      </c>
      <c r="N636">
        <f t="shared" si="128"/>
        <v>0.52030947775628622</v>
      </c>
      <c r="P636">
        <f t="shared" si="129"/>
        <v>18</v>
      </c>
      <c r="Q636">
        <f t="shared" si="130"/>
        <v>605</v>
      </c>
    </row>
    <row r="637" spans="1:17" x14ac:dyDescent="0.35">
      <c r="A637">
        <v>2023</v>
      </c>
      <c r="B637" s="18">
        <v>187</v>
      </c>
      <c r="C637" s="20">
        <v>37</v>
      </c>
      <c r="D637" s="12">
        <f t="shared" si="118"/>
        <v>23.375</v>
      </c>
      <c r="E637" s="27">
        <f t="shared" si="119"/>
        <v>0.46750000000000003</v>
      </c>
      <c r="F637" s="27">
        <f t="shared" si="120"/>
        <v>0.74</v>
      </c>
      <c r="G637">
        <f t="shared" si="121"/>
        <v>60.375</v>
      </c>
      <c r="H637">
        <f t="shared" si="122"/>
        <v>1</v>
      </c>
      <c r="I637">
        <f t="shared" si="123"/>
        <v>0.20185731124922185</v>
      </c>
      <c r="J637">
        <f t="shared" si="124"/>
        <v>0.71516925717039059</v>
      </c>
      <c r="K637">
        <f t="shared" si="125"/>
        <v>0.999983617992943</v>
      </c>
      <c r="L637">
        <f t="shared" si="126"/>
        <v>-1.6382141243546207E-5</v>
      </c>
      <c r="M637">
        <f t="shared" si="127"/>
        <v>0.61283643892339545</v>
      </c>
      <c r="N637">
        <f t="shared" si="128"/>
        <v>0.38716356107660455</v>
      </c>
      <c r="P637">
        <f t="shared" si="129"/>
        <v>393</v>
      </c>
      <c r="Q637">
        <f t="shared" si="130"/>
        <v>351</v>
      </c>
    </row>
    <row r="638" spans="1:17" x14ac:dyDescent="0.35">
      <c r="A638">
        <v>2023</v>
      </c>
      <c r="B638" s="18">
        <v>214</v>
      </c>
      <c r="C638" s="20">
        <v>35</v>
      </c>
      <c r="D638" s="12">
        <f t="shared" si="118"/>
        <v>26.75</v>
      </c>
      <c r="E638" s="27">
        <f t="shared" si="119"/>
        <v>0.53500000000000003</v>
      </c>
      <c r="F638" s="27">
        <f t="shared" si="120"/>
        <v>0.7</v>
      </c>
      <c r="G638">
        <f t="shared" si="121"/>
        <v>61.75</v>
      </c>
      <c r="H638">
        <f t="shared" si="122"/>
        <v>1</v>
      </c>
      <c r="I638">
        <f t="shared" si="123"/>
        <v>1.1617214842018027</v>
      </c>
      <c r="J638">
        <f t="shared" si="124"/>
        <v>0.48409124700904599</v>
      </c>
      <c r="K638">
        <f t="shared" si="125"/>
        <v>0.99999802341441724</v>
      </c>
      <c r="L638">
        <f t="shared" si="126"/>
        <v>-1.9765875362114473E-6</v>
      </c>
      <c r="M638">
        <f t="shared" si="127"/>
        <v>0.5668016194331984</v>
      </c>
      <c r="N638">
        <f t="shared" si="128"/>
        <v>0.4331983805668016</v>
      </c>
      <c r="P638">
        <f t="shared" si="129"/>
        <v>112</v>
      </c>
      <c r="Q638">
        <f t="shared" si="130"/>
        <v>448.5</v>
      </c>
    </row>
    <row r="639" spans="1:17" x14ac:dyDescent="0.35">
      <c r="A639">
        <v>2023</v>
      </c>
      <c r="B639" s="18">
        <v>186</v>
      </c>
      <c r="C639" s="20">
        <v>25</v>
      </c>
      <c r="D639" s="12">
        <f t="shared" si="118"/>
        <v>23.25</v>
      </c>
      <c r="E639" s="27">
        <f t="shared" si="119"/>
        <v>0.46500000000000002</v>
      </c>
      <c r="F639" s="27">
        <f t="shared" si="120"/>
        <v>0.5</v>
      </c>
      <c r="G639">
        <f t="shared" si="121"/>
        <v>48.25</v>
      </c>
      <c r="H639">
        <f t="shared" si="122"/>
        <v>0</v>
      </c>
      <c r="I639">
        <f t="shared" si="123"/>
        <v>0.16630678632505219</v>
      </c>
      <c r="J639">
        <f t="shared" si="124"/>
        <v>-0.67129880379767704</v>
      </c>
      <c r="K639">
        <f t="shared" si="125"/>
        <v>0.16215308760320724</v>
      </c>
      <c r="L639">
        <f t="shared" si="126"/>
        <v>-0.17691987729252798</v>
      </c>
      <c r="M639">
        <f t="shared" si="127"/>
        <v>0.51813471502590669</v>
      </c>
      <c r="N639">
        <f t="shared" si="128"/>
        <v>0.48186528497409326</v>
      </c>
      <c r="P639">
        <f t="shared" si="129"/>
        <v>411.5</v>
      </c>
      <c r="Q639">
        <f t="shared" si="130"/>
        <v>835</v>
      </c>
    </row>
    <row r="640" spans="1:17" x14ac:dyDescent="0.35">
      <c r="A640">
        <v>2023</v>
      </c>
      <c r="B640" s="18">
        <v>168</v>
      </c>
      <c r="C640" s="20">
        <v>15</v>
      </c>
      <c r="D640" s="12">
        <f t="shared" si="118"/>
        <v>21</v>
      </c>
      <c r="E640" s="27">
        <f t="shared" si="119"/>
        <v>0.42</v>
      </c>
      <c r="F640" s="27">
        <f t="shared" si="120"/>
        <v>0.3</v>
      </c>
      <c r="G640">
        <f t="shared" si="121"/>
        <v>36</v>
      </c>
      <c r="H640">
        <f t="shared" si="122"/>
        <v>0</v>
      </c>
      <c r="I640">
        <f t="shared" si="123"/>
        <v>-0.47360266231000164</v>
      </c>
      <c r="J640">
        <f t="shared" si="124"/>
        <v>-1.8266888546044</v>
      </c>
      <c r="K640">
        <f t="shared" si="125"/>
        <v>3.5064990596641314E-7</v>
      </c>
      <c r="L640">
        <f t="shared" si="126"/>
        <v>-3.5064996747789262E-7</v>
      </c>
      <c r="M640">
        <f t="shared" si="127"/>
        <v>0.41666666666666669</v>
      </c>
      <c r="N640">
        <f t="shared" si="128"/>
        <v>0.58333333333333337</v>
      </c>
      <c r="P640">
        <f t="shared" si="129"/>
        <v>767</v>
      </c>
      <c r="Q640">
        <f t="shared" si="130"/>
        <v>1094</v>
      </c>
    </row>
    <row r="641" spans="1:17" x14ac:dyDescent="0.35">
      <c r="A641">
        <v>2023</v>
      </c>
      <c r="B641" s="18">
        <v>179</v>
      </c>
      <c r="C641" s="21">
        <v>36</v>
      </c>
      <c r="D641" s="12">
        <f t="shared" si="118"/>
        <v>22.375</v>
      </c>
      <c r="E641" s="27">
        <f t="shared" si="119"/>
        <v>0.44750000000000001</v>
      </c>
      <c r="F641" s="27">
        <f t="shared" si="120"/>
        <v>0.72</v>
      </c>
      <c r="G641">
        <f t="shared" si="121"/>
        <v>58.375</v>
      </c>
      <c r="H641">
        <f t="shared" si="122"/>
        <v>1</v>
      </c>
      <c r="I641">
        <f t="shared" si="123"/>
        <v>-8.2546888144135397E-2</v>
      </c>
      <c r="J641">
        <f t="shared" si="124"/>
        <v>0.59963025208971832</v>
      </c>
      <c r="K641">
        <f t="shared" si="125"/>
        <v>0.99983883772166127</v>
      </c>
      <c r="L641">
        <f t="shared" si="126"/>
        <v>-1.6117526637418608E-4</v>
      </c>
      <c r="M641">
        <f t="shared" si="127"/>
        <v>0.61670235546038543</v>
      </c>
      <c r="N641">
        <f t="shared" si="128"/>
        <v>0.38329764453961457</v>
      </c>
      <c r="P641">
        <f t="shared" si="129"/>
        <v>547</v>
      </c>
      <c r="Q641">
        <f t="shared" si="130"/>
        <v>403.5</v>
      </c>
    </row>
    <row r="642" spans="1:17" x14ac:dyDescent="0.35">
      <c r="A642">
        <v>2023</v>
      </c>
      <c r="B642" s="18">
        <v>150</v>
      </c>
      <c r="C642" s="20">
        <v>27</v>
      </c>
      <c r="D642" s="12">
        <f t="shared" si="118"/>
        <v>18.75</v>
      </c>
      <c r="E642" s="27">
        <f t="shared" si="119"/>
        <v>0.375</v>
      </c>
      <c r="F642" s="27">
        <f t="shared" si="120"/>
        <v>0.54</v>
      </c>
      <c r="G642">
        <f t="shared" si="121"/>
        <v>45.75</v>
      </c>
      <c r="H642">
        <f t="shared" si="122"/>
        <v>0</v>
      </c>
      <c r="I642">
        <f t="shared" si="123"/>
        <v>-1.1135121109450554</v>
      </c>
      <c r="J642">
        <f t="shared" si="124"/>
        <v>-0.44022079363633243</v>
      </c>
      <c r="K642">
        <f t="shared" si="125"/>
        <v>5.7268505462326454E-3</v>
      </c>
      <c r="L642">
        <f t="shared" si="126"/>
        <v>-5.7433118324579525E-3</v>
      </c>
      <c r="M642">
        <f t="shared" si="127"/>
        <v>0.5901639344262295</v>
      </c>
      <c r="N642">
        <f t="shared" si="128"/>
        <v>0.4098360655737705</v>
      </c>
      <c r="P642">
        <f t="shared" si="129"/>
        <v>1041</v>
      </c>
      <c r="Q642">
        <f t="shared" si="130"/>
        <v>752.5</v>
      </c>
    </row>
    <row r="643" spans="1:17" x14ac:dyDescent="0.35">
      <c r="A643">
        <v>2023</v>
      </c>
      <c r="B643" s="18">
        <v>200</v>
      </c>
      <c r="C643" s="20">
        <v>29</v>
      </c>
      <c r="D643" s="12">
        <f t="shared" ref="D643:D706" si="131">B643/8</f>
        <v>25</v>
      </c>
      <c r="E643" s="27">
        <f t="shared" ref="E643:E706" si="132">B643/400</f>
        <v>0.5</v>
      </c>
      <c r="F643" s="27">
        <f t="shared" ref="F643:F706" si="133">C643/50</f>
        <v>0.57999999999999996</v>
      </c>
      <c r="G643">
        <f t="shared" ref="G643:G706" si="134">SUM(C643+D643)</f>
        <v>54</v>
      </c>
      <c r="H643">
        <f t="shared" ref="H643:H706" si="135">IF(G643&gt;=50,1,0)</f>
        <v>1</v>
      </c>
      <c r="I643">
        <f t="shared" ref="I643:I706" si="136" xml:space="preserve"> (D:D - AVERAGE(D:D)) / STDEV(D:D)</f>
        <v>0.66401413526342745</v>
      </c>
      <c r="J643">
        <f t="shared" ref="J643:J706" si="137" xml:space="preserve"> (C:C - AVERAGE(C:C)) / STDEV(C:C)</f>
        <v>-0.2091427834749878</v>
      </c>
      <c r="K643">
        <f t="shared" ref="K643:K706" si="138">1/(1+EXP(-($AD$25 +$AD$26 * I643 +$AD$27 * J643 )))</f>
        <v>0.99102011921971478</v>
      </c>
      <c r="L643">
        <f t="shared" ref="L643:L706" si="139">IF(K643=0, -1000, IF(K643=1, -1000, H643 * LN(K643) + (1 - H643) * LN(1 - K643)))</f>
        <v>-9.0204429210814785E-3</v>
      </c>
      <c r="M643">
        <f t="shared" ref="M643:M706" si="140">IF(G643=0, 0,  C643  / G643 )</f>
        <v>0.53703703703703709</v>
      </c>
      <c r="N643">
        <f t="shared" ref="N643:N706" si="141">IF(G643=0, 0,  D643  / G643 )</f>
        <v>0.46296296296296297</v>
      </c>
      <c r="P643">
        <f t="shared" ref="P643:P706" si="142">_xlfn.RANK.AVG(B643,$B$2:$B$1144)</f>
        <v>229</v>
      </c>
      <c r="Q643">
        <f t="shared" ref="Q643:Q706" si="143">_xlfn.RANK.AVG(C643,$C$2:$C$1144)</f>
        <v>671</v>
      </c>
    </row>
    <row r="644" spans="1:17" x14ac:dyDescent="0.35">
      <c r="A644">
        <v>2023</v>
      </c>
      <c r="B644" s="18">
        <v>190</v>
      </c>
      <c r="C644" s="20">
        <v>39</v>
      </c>
      <c r="D644" s="12">
        <f t="shared" si="131"/>
        <v>23.75</v>
      </c>
      <c r="E644" s="27">
        <f t="shared" si="132"/>
        <v>0.47499999999999998</v>
      </c>
      <c r="F644" s="27">
        <f t="shared" si="133"/>
        <v>0.78</v>
      </c>
      <c r="G644">
        <f t="shared" si="134"/>
        <v>62.75</v>
      </c>
      <c r="H644">
        <f t="shared" si="135"/>
        <v>1</v>
      </c>
      <c r="I644">
        <f t="shared" si="136"/>
        <v>0.30850888602173082</v>
      </c>
      <c r="J644">
        <f t="shared" si="137"/>
        <v>0.94624726733173525</v>
      </c>
      <c r="K644">
        <f t="shared" si="138"/>
        <v>0.99999872202454643</v>
      </c>
      <c r="L644">
        <f t="shared" si="139"/>
        <v>-1.2779762701843249E-6</v>
      </c>
      <c r="M644">
        <f t="shared" si="140"/>
        <v>0.62151394422310757</v>
      </c>
      <c r="N644">
        <f t="shared" si="141"/>
        <v>0.37848605577689243</v>
      </c>
      <c r="P644">
        <f t="shared" si="142"/>
        <v>341</v>
      </c>
      <c r="Q644">
        <f t="shared" si="143"/>
        <v>233</v>
      </c>
    </row>
    <row r="645" spans="1:17" x14ac:dyDescent="0.35">
      <c r="A645">
        <v>2023</v>
      </c>
      <c r="B645" s="18">
        <v>158</v>
      </c>
      <c r="C645" s="20">
        <v>43</v>
      </c>
      <c r="D645" s="12">
        <f t="shared" si="131"/>
        <v>19.75</v>
      </c>
      <c r="E645" s="27">
        <f t="shared" si="132"/>
        <v>0.39500000000000002</v>
      </c>
      <c r="F645" s="27">
        <f t="shared" si="133"/>
        <v>0.86</v>
      </c>
      <c r="G645">
        <f t="shared" si="134"/>
        <v>62.75</v>
      </c>
      <c r="H645">
        <f t="shared" si="135"/>
        <v>1</v>
      </c>
      <c r="I645">
        <f t="shared" si="136"/>
        <v>-0.82910791155169816</v>
      </c>
      <c r="J645">
        <f t="shared" si="137"/>
        <v>1.4084032876544244</v>
      </c>
      <c r="K645">
        <f t="shared" si="138"/>
        <v>0.99999713267152912</v>
      </c>
      <c r="L645">
        <f t="shared" si="139"/>
        <v>-2.867332581673254E-6</v>
      </c>
      <c r="M645">
        <f t="shared" si="140"/>
        <v>0.68525896414342624</v>
      </c>
      <c r="N645">
        <f t="shared" si="141"/>
        <v>0.3147410358565737</v>
      </c>
      <c r="P645">
        <f t="shared" si="142"/>
        <v>940.5</v>
      </c>
      <c r="Q645">
        <f t="shared" si="143"/>
        <v>53.5</v>
      </c>
    </row>
    <row r="646" spans="1:17" x14ac:dyDescent="0.35">
      <c r="A646">
        <v>2023</v>
      </c>
      <c r="B646" s="18">
        <v>182</v>
      </c>
      <c r="C646" s="20">
        <v>18</v>
      </c>
      <c r="D646" s="12">
        <f t="shared" si="131"/>
        <v>22.75</v>
      </c>
      <c r="E646" s="27">
        <f t="shared" si="132"/>
        <v>0.45500000000000002</v>
      </c>
      <c r="F646" s="27">
        <f t="shared" si="133"/>
        <v>0.36</v>
      </c>
      <c r="G646">
        <f t="shared" si="134"/>
        <v>40.75</v>
      </c>
      <c r="H646">
        <f t="shared" si="135"/>
        <v>0</v>
      </c>
      <c r="I646">
        <f t="shared" si="136"/>
        <v>2.4104686628373572E-2</v>
      </c>
      <c r="J646">
        <f t="shared" si="137"/>
        <v>-1.4800718393623831</v>
      </c>
      <c r="K646">
        <f t="shared" si="138"/>
        <v>7.0515480865206471E-5</v>
      </c>
      <c r="L646">
        <f t="shared" si="139"/>
        <v>-7.0517967198634581E-5</v>
      </c>
      <c r="M646">
        <f t="shared" si="140"/>
        <v>0.44171779141104295</v>
      </c>
      <c r="N646">
        <f t="shared" si="141"/>
        <v>0.55828220858895705</v>
      </c>
      <c r="P646">
        <f t="shared" si="142"/>
        <v>484.5</v>
      </c>
      <c r="Q646">
        <f t="shared" si="143"/>
        <v>1044.5</v>
      </c>
    </row>
    <row r="647" spans="1:17" x14ac:dyDescent="0.35">
      <c r="A647">
        <v>2023</v>
      </c>
      <c r="B647" s="18">
        <v>178</v>
      </c>
      <c r="C647" s="20">
        <v>33</v>
      </c>
      <c r="D647" s="12">
        <f t="shared" si="131"/>
        <v>22.25</v>
      </c>
      <c r="E647" s="27">
        <f t="shared" si="132"/>
        <v>0.44500000000000001</v>
      </c>
      <c r="F647" s="27">
        <f t="shared" si="133"/>
        <v>0.66</v>
      </c>
      <c r="G647">
        <f t="shared" si="134"/>
        <v>55.25</v>
      </c>
      <c r="H647">
        <f t="shared" si="135"/>
        <v>1</v>
      </c>
      <c r="I647">
        <f t="shared" si="136"/>
        <v>-0.11809741306830505</v>
      </c>
      <c r="J647">
        <f t="shared" si="137"/>
        <v>0.25301323684770138</v>
      </c>
      <c r="K647">
        <f t="shared" si="138"/>
        <v>0.99572587501162602</v>
      </c>
      <c r="L647">
        <f t="shared" si="139"/>
        <v>-4.2832851710771901E-3</v>
      </c>
      <c r="M647">
        <f t="shared" si="140"/>
        <v>0.59728506787330315</v>
      </c>
      <c r="N647">
        <f t="shared" si="141"/>
        <v>0.40271493212669685</v>
      </c>
      <c r="P647">
        <f t="shared" si="142"/>
        <v>564.5</v>
      </c>
      <c r="Q647">
        <f t="shared" si="143"/>
        <v>523.5</v>
      </c>
    </row>
    <row r="648" spans="1:17" x14ac:dyDescent="0.35">
      <c r="A648">
        <v>2023</v>
      </c>
      <c r="B648" s="18">
        <v>223</v>
      </c>
      <c r="C648" s="20">
        <v>23</v>
      </c>
      <c r="D648" s="12">
        <f t="shared" si="131"/>
        <v>27.875</v>
      </c>
      <c r="E648" s="27">
        <f t="shared" si="132"/>
        <v>0.5575</v>
      </c>
      <c r="F648" s="27">
        <f t="shared" si="133"/>
        <v>0.46</v>
      </c>
      <c r="G648">
        <f t="shared" si="134"/>
        <v>50.875</v>
      </c>
      <c r="H648">
        <f t="shared" si="135"/>
        <v>1</v>
      </c>
      <c r="I648">
        <f t="shared" si="136"/>
        <v>1.4816762085193296</v>
      </c>
      <c r="J648">
        <f t="shared" si="137"/>
        <v>-0.90237681395902158</v>
      </c>
      <c r="K648">
        <f t="shared" si="138"/>
        <v>0.88368330346510493</v>
      </c>
      <c r="L648">
        <f t="shared" si="139"/>
        <v>-0.12365653453153844</v>
      </c>
      <c r="M648">
        <f t="shared" si="140"/>
        <v>0.45208845208845211</v>
      </c>
      <c r="N648">
        <f t="shared" si="141"/>
        <v>0.54791154791154795</v>
      </c>
      <c r="P648">
        <f t="shared" si="142"/>
        <v>77.5</v>
      </c>
      <c r="Q648">
        <f t="shared" si="143"/>
        <v>904</v>
      </c>
    </row>
    <row r="649" spans="1:17" x14ac:dyDescent="0.35">
      <c r="A649">
        <v>2023</v>
      </c>
      <c r="B649" s="18">
        <v>147</v>
      </c>
      <c r="C649" s="20">
        <v>43</v>
      </c>
      <c r="D649" s="12">
        <f t="shared" si="131"/>
        <v>18.375</v>
      </c>
      <c r="E649" s="27">
        <f t="shared" si="132"/>
        <v>0.36749999999999999</v>
      </c>
      <c r="F649" s="27">
        <f t="shared" si="133"/>
        <v>0.86</v>
      </c>
      <c r="G649">
        <f t="shared" si="134"/>
        <v>61.375</v>
      </c>
      <c r="H649">
        <f t="shared" si="135"/>
        <v>1</v>
      </c>
      <c r="I649">
        <f t="shared" si="136"/>
        <v>-1.2201636857175644</v>
      </c>
      <c r="J649">
        <f t="shared" si="137"/>
        <v>1.4084032876544244</v>
      </c>
      <c r="K649">
        <f t="shared" si="138"/>
        <v>0.99998413457424262</v>
      </c>
      <c r="L649">
        <f t="shared" si="139"/>
        <v>-1.5865551614576012E-5</v>
      </c>
      <c r="M649">
        <f t="shared" si="140"/>
        <v>0.70061099796334014</v>
      </c>
      <c r="N649">
        <f t="shared" si="141"/>
        <v>0.29938900203665986</v>
      </c>
      <c r="P649">
        <f t="shared" si="142"/>
        <v>1069.5</v>
      </c>
      <c r="Q649">
        <f t="shared" si="143"/>
        <v>53.5</v>
      </c>
    </row>
    <row r="650" spans="1:17" x14ac:dyDescent="0.35">
      <c r="A650">
        <v>2023</v>
      </c>
      <c r="B650" s="18">
        <v>198</v>
      </c>
      <c r="C650" s="20">
        <v>31</v>
      </c>
      <c r="D650" s="12">
        <f t="shared" si="131"/>
        <v>24.75</v>
      </c>
      <c r="E650" s="27">
        <f t="shared" si="132"/>
        <v>0.495</v>
      </c>
      <c r="F650" s="27">
        <f t="shared" si="133"/>
        <v>0.62</v>
      </c>
      <c r="G650">
        <f t="shared" si="134"/>
        <v>55.75</v>
      </c>
      <c r="H650">
        <f t="shared" si="135"/>
        <v>1</v>
      </c>
      <c r="I650">
        <f t="shared" si="136"/>
        <v>0.59291308541508814</v>
      </c>
      <c r="J650">
        <f t="shared" si="137"/>
        <v>2.1935226686356796E-2</v>
      </c>
      <c r="K650">
        <f t="shared" si="138"/>
        <v>0.99846401310767108</v>
      </c>
      <c r="L650">
        <f t="shared" si="139"/>
        <v>-1.5371677295174867E-3</v>
      </c>
      <c r="M650">
        <f t="shared" si="140"/>
        <v>0.55605381165919288</v>
      </c>
      <c r="N650">
        <f t="shared" si="141"/>
        <v>0.44394618834080718</v>
      </c>
      <c r="P650">
        <f t="shared" si="142"/>
        <v>251</v>
      </c>
      <c r="Q650">
        <f t="shared" si="143"/>
        <v>605</v>
      </c>
    </row>
    <row r="651" spans="1:17" x14ac:dyDescent="0.35">
      <c r="A651">
        <v>2023</v>
      </c>
      <c r="B651" s="18">
        <v>180</v>
      </c>
      <c r="C651" s="20">
        <v>32</v>
      </c>
      <c r="D651" s="12">
        <f t="shared" si="131"/>
        <v>22.5</v>
      </c>
      <c r="E651" s="27">
        <f t="shared" si="132"/>
        <v>0.45</v>
      </c>
      <c r="F651" s="27">
        <f t="shared" si="133"/>
        <v>0.64</v>
      </c>
      <c r="G651">
        <f t="shared" si="134"/>
        <v>54.5</v>
      </c>
      <c r="H651">
        <f t="shared" si="135"/>
        <v>1</v>
      </c>
      <c r="I651">
        <f t="shared" si="136"/>
        <v>-4.6996363219965739E-2</v>
      </c>
      <c r="J651">
        <f t="shared" si="137"/>
        <v>0.13747423176702911</v>
      </c>
      <c r="K651">
        <f t="shared" si="138"/>
        <v>0.991161577528753</v>
      </c>
      <c r="L651">
        <f t="shared" si="139"/>
        <v>-8.8777130093782124E-3</v>
      </c>
      <c r="M651">
        <f t="shared" si="140"/>
        <v>0.58715596330275233</v>
      </c>
      <c r="N651">
        <f t="shared" si="141"/>
        <v>0.41284403669724773</v>
      </c>
      <c r="P651">
        <f t="shared" si="142"/>
        <v>528</v>
      </c>
      <c r="Q651">
        <f t="shared" si="143"/>
        <v>564</v>
      </c>
    </row>
    <row r="652" spans="1:17" x14ac:dyDescent="0.35">
      <c r="A652">
        <v>2023</v>
      </c>
      <c r="B652" s="18">
        <v>300</v>
      </c>
      <c r="C652" s="20">
        <v>41</v>
      </c>
      <c r="D652" s="12">
        <f t="shared" si="131"/>
        <v>37.5</v>
      </c>
      <c r="E652" s="27">
        <f t="shared" si="132"/>
        <v>0.75</v>
      </c>
      <c r="F652" s="27">
        <f t="shared" si="133"/>
        <v>0.82</v>
      </c>
      <c r="G652">
        <f t="shared" si="134"/>
        <v>78.5</v>
      </c>
      <c r="H652">
        <f t="shared" si="135"/>
        <v>1</v>
      </c>
      <c r="I652">
        <f t="shared" si="136"/>
        <v>4.2190666276803928</v>
      </c>
      <c r="J652">
        <f t="shared" si="137"/>
        <v>1.1773252774930798</v>
      </c>
      <c r="K652">
        <f t="shared" si="138"/>
        <v>0.999999999999994</v>
      </c>
      <c r="L652">
        <f t="shared" si="139"/>
        <v>-5.9952043329758635E-15</v>
      </c>
      <c r="M652">
        <f t="shared" si="140"/>
        <v>0.52229299363057324</v>
      </c>
      <c r="N652">
        <f t="shared" si="141"/>
        <v>0.47770700636942676</v>
      </c>
      <c r="P652">
        <f t="shared" si="142"/>
        <v>4</v>
      </c>
      <c r="Q652">
        <f t="shared" si="143"/>
        <v>129.5</v>
      </c>
    </row>
    <row r="653" spans="1:17" x14ac:dyDescent="0.35">
      <c r="A653">
        <v>2023</v>
      </c>
      <c r="B653" s="18">
        <v>181</v>
      </c>
      <c r="C653" s="20">
        <v>26</v>
      </c>
      <c r="D653" s="12">
        <f t="shared" si="131"/>
        <v>22.625</v>
      </c>
      <c r="E653" s="27">
        <f t="shared" si="132"/>
        <v>0.45250000000000001</v>
      </c>
      <c r="F653" s="27">
        <f t="shared" si="133"/>
        <v>0.52</v>
      </c>
      <c r="G653">
        <f t="shared" si="134"/>
        <v>48.625</v>
      </c>
      <c r="H653">
        <f t="shared" si="135"/>
        <v>0</v>
      </c>
      <c r="I653">
        <f t="shared" si="136"/>
        <v>-1.1445838295796084E-2</v>
      </c>
      <c r="J653">
        <f t="shared" si="137"/>
        <v>-0.55575979871700476</v>
      </c>
      <c r="K653">
        <f t="shared" si="138"/>
        <v>0.20137125260962066</v>
      </c>
      <c r="L653">
        <f t="shared" si="139"/>
        <v>-0.22485908776776875</v>
      </c>
      <c r="M653">
        <f t="shared" si="140"/>
        <v>0.53470437017994854</v>
      </c>
      <c r="N653">
        <f t="shared" si="141"/>
        <v>0.4652956298200514</v>
      </c>
      <c r="P653">
        <f t="shared" si="142"/>
        <v>505</v>
      </c>
      <c r="Q653">
        <f t="shared" si="143"/>
        <v>796</v>
      </c>
    </row>
    <row r="654" spans="1:17" x14ac:dyDescent="0.35">
      <c r="A654">
        <v>2023</v>
      </c>
      <c r="B654" s="18">
        <v>167</v>
      </c>
      <c r="C654" s="21">
        <v>33</v>
      </c>
      <c r="D654" s="12">
        <f t="shared" si="131"/>
        <v>20.875</v>
      </c>
      <c r="E654" s="27">
        <f t="shared" si="132"/>
        <v>0.41749999999999998</v>
      </c>
      <c r="F654" s="27">
        <f t="shared" si="133"/>
        <v>0.66</v>
      </c>
      <c r="G654">
        <f t="shared" si="134"/>
        <v>53.875</v>
      </c>
      <c r="H654">
        <f t="shared" si="135"/>
        <v>1</v>
      </c>
      <c r="I654">
        <f t="shared" si="136"/>
        <v>-0.50915318723417125</v>
      </c>
      <c r="J654">
        <f t="shared" si="137"/>
        <v>0.25301323684770138</v>
      </c>
      <c r="K654">
        <f t="shared" si="138"/>
        <v>0.97679973803007447</v>
      </c>
      <c r="L654">
        <f t="shared" si="139"/>
        <v>-2.3473624377657543E-2</v>
      </c>
      <c r="M654">
        <f t="shared" si="140"/>
        <v>0.61252900232018559</v>
      </c>
      <c r="N654">
        <f t="shared" si="141"/>
        <v>0.38747099767981441</v>
      </c>
      <c r="P654">
        <f t="shared" si="142"/>
        <v>789.5</v>
      </c>
      <c r="Q654">
        <f t="shared" si="143"/>
        <v>523.5</v>
      </c>
    </row>
    <row r="655" spans="1:17" x14ac:dyDescent="0.35">
      <c r="A655">
        <v>2023</v>
      </c>
      <c r="B655" s="18">
        <v>150</v>
      </c>
      <c r="C655" s="20">
        <v>32</v>
      </c>
      <c r="D655" s="12">
        <f t="shared" si="131"/>
        <v>18.75</v>
      </c>
      <c r="E655" s="27">
        <f t="shared" si="132"/>
        <v>0.375</v>
      </c>
      <c r="F655" s="27">
        <f t="shared" si="133"/>
        <v>0.64</v>
      </c>
      <c r="G655">
        <f t="shared" si="134"/>
        <v>50.75</v>
      </c>
      <c r="H655">
        <f t="shared" si="135"/>
        <v>1</v>
      </c>
      <c r="I655">
        <f t="shared" si="136"/>
        <v>-1.1135121109450554</v>
      </c>
      <c r="J655">
        <f t="shared" si="137"/>
        <v>0.13747423176702911</v>
      </c>
      <c r="K655">
        <f t="shared" si="138"/>
        <v>0.51350184099440088</v>
      </c>
      <c r="L655">
        <f t="shared" si="139"/>
        <v>-0.66650166443124426</v>
      </c>
      <c r="M655">
        <f t="shared" si="140"/>
        <v>0.63054187192118227</v>
      </c>
      <c r="N655">
        <f t="shared" si="141"/>
        <v>0.36945812807881773</v>
      </c>
      <c r="P655">
        <f t="shared" si="142"/>
        <v>1041</v>
      </c>
      <c r="Q655">
        <f t="shared" si="143"/>
        <v>564</v>
      </c>
    </row>
    <row r="656" spans="1:17" x14ac:dyDescent="0.35">
      <c r="A656">
        <v>2023</v>
      </c>
      <c r="B656" s="18">
        <v>206</v>
      </c>
      <c r="C656" s="20">
        <v>17</v>
      </c>
      <c r="D656" s="12">
        <f t="shared" si="131"/>
        <v>25.75</v>
      </c>
      <c r="E656" s="27">
        <f t="shared" si="132"/>
        <v>0.51500000000000001</v>
      </c>
      <c r="F656" s="27">
        <f t="shared" si="133"/>
        <v>0.34</v>
      </c>
      <c r="G656">
        <f t="shared" si="134"/>
        <v>42.75</v>
      </c>
      <c r="H656">
        <f t="shared" si="135"/>
        <v>0</v>
      </c>
      <c r="I656">
        <f t="shared" si="136"/>
        <v>0.8773172848084454</v>
      </c>
      <c r="J656">
        <f t="shared" si="137"/>
        <v>-1.5956108444430555</v>
      </c>
      <c r="K656">
        <f t="shared" si="138"/>
        <v>1.0382476169528392E-3</v>
      </c>
      <c r="L656">
        <f t="shared" si="139"/>
        <v>-1.0387869693630895E-3</v>
      </c>
      <c r="M656">
        <f t="shared" si="140"/>
        <v>0.39766081871345027</v>
      </c>
      <c r="N656">
        <f t="shared" si="141"/>
        <v>0.60233918128654973</v>
      </c>
      <c r="P656">
        <f t="shared" si="142"/>
        <v>178</v>
      </c>
      <c r="Q656">
        <f t="shared" si="143"/>
        <v>1063.5</v>
      </c>
    </row>
    <row r="657" spans="1:17" x14ac:dyDescent="0.35">
      <c r="A657">
        <v>2023</v>
      </c>
      <c r="B657" s="18">
        <v>174</v>
      </c>
      <c r="C657" s="20">
        <v>27</v>
      </c>
      <c r="D657" s="12">
        <f t="shared" si="131"/>
        <v>21.75</v>
      </c>
      <c r="E657" s="27">
        <f t="shared" si="132"/>
        <v>0.435</v>
      </c>
      <c r="F657" s="27">
        <f t="shared" si="133"/>
        <v>0.54</v>
      </c>
      <c r="G657">
        <f t="shared" si="134"/>
        <v>48.75</v>
      </c>
      <c r="H657">
        <f t="shared" si="135"/>
        <v>0</v>
      </c>
      <c r="I657">
        <f t="shared" si="136"/>
        <v>-0.2602995127649837</v>
      </c>
      <c r="J657">
        <f t="shared" si="137"/>
        <v>-0.44022079363633243</v>
      </c>
      <c r="K657">
        <f t="shared" si="138"/>
        <v>0.19399660416031517</v>
      </c>
      <c r="L657">
        <f t="shared" si="139"/>
        <v>-0.21566732328378274</v>
      </c>
      <c r="M657">
        <f t="shared" si="140"/>
        <v>0.55384615384615388</v>
      </c>
      <c r="N657">
        <f t="shared" si="141"/>
        <v>0.44615384615384618</v>
      </c>
      <c r="P657">
        <f t="shared" si="142"/>
        <v>653</v>
      </c>
      <c r="Q657">
        <f t="shared" si="143"/>
        <v>752.5</v>
      </c>
    </row>
    <row r="658" spans="1:17" x14ac:dyDescent="0.35">
      <c r="A658">
        <v>2023</v>
      </c>
      <c r="B658" s="18">
        <v>167</v>
      </c>
      <c r="C658" s="20">
        <v>38</v>
      </c>
      <c r="D658" s="12">
        <f t="shared" si="131"/>
        <v>20.875</v>
      </c>
      <c r="E658" s="27">
        <f t="shared" si="132"/>
        <v>0.41749999999999998</v>
      </c>
      <c r="F658" s="27">
        <f t="shared" si="133"/>
        <v>0.76</v>
      </c>
      <c r="G658">
        <f t="shared" si="134"/>
        <v>58.875</v>
      </c>
      <c r="H658">
        <f t="shared" si="135"/>
        <v>1</v>
      </c>
      <c r="I658">
        <f t="shared" si="136"/>
        <v>-0.50915318723417125</v>
      </c>
      <c r="J658">
        <f t="shared" si="137"/>
        <v>0.83070826225106287</v>
      </c>
      <c r="K658">
        <f t="shared" si="138"/>
        <v>0.99987040734016974</v>
      </c>
      <c r="L658">
        <f t="shared" si="139"/>
        <v>-1.2960105768453997E-4</v>
      </c>
      <c r="M658">
        <f t="shared" si="140"/>
        <v>0.64543524416135878</v>
      </c>
      <c r="N658">
        <f t="shared" si="141"/>
        <v>0.35456475583864117</v>
      </c>
      <c r="P658">
        <f t="shared" si="142"/>
        <v>789.5</v>
      </c>
      <c r="Q658">
        <f t="shared" si="143"/>
        <v>297.5</v>
      </c>
    </row>
    <row r="659" spans="1:17" x14ac:dyDescent="0.35">
      <c r="A659">
        <v>2023</v>
      </c>
      <c r="B659" s="18">
        <v>180</v>
      </c>
      <c r="C659" s="20">
        <v>43</v>
      </c>
      <c r="D659" s="12">
        <f t="shared" si="131"/>
        <v>22.5</v>
      </c>
      <c r="E659" s="27">
        <f t="shared" si="132"/>
        <v>0.45</v>
      </c>
      <c r="F659" s="27">
        <f t="shared" si="133"/>
        <v>0.86</v>
      </c>
      <c r="G659">
        <f t="shared" si="134"/>
        <v>65.5</v>
      </c>
      <c r="H659">
        <f t="shared" si="135"/>
        <v>1</v>
      </c>
      <c r="I659">
        <f t="shared" si="136"/>
        <v>-4.6996363219965739E-2</v>
      </c>
      <c r="J659">
        <f t="shared" si="137"/>
        <v>1.4084032876544244</v>
      </c>
      <c r="K659">
        <f t="shared" si="138"/>
        <v>0.99999990634762537</v>
      </c>
      <c r="L659">
        <f t="shared" si="139"/>
        <v>-9.3652379018485854E-8</v>
      </c>
      <c r="M659">
        <f t="shared" si="140"/>
        <v>0.65648854961832059</v>
      </c>
      <c r="N659">
        <f t="shared" si="141"/>
        <v>0.34351145038167941</v>
      </c>
      <c r="P659">
        <f t="shared" si="142"/>
        <v>528</v>
      </c>
      <c r="Q659">
        <f t="shared" si="143"/>
        <v>53.5</v>
      </c>
    </row>
    <row r="660" spans="1:17" x14ac:dyDescent="0.35">
      <c r="A660">
        <v>2023</v>
      </c>
      <c r="B660" s="18">
        <v>214</v>
      </c>
      <c r="C660" s="20">
        <v>27</v>
      </c>
      <c r="D660" s="12">
        <f t="shared" si="131"/>
        <v>26.75</v>
      </c>
      <c r="E660" s="27">
        <f t="shared" si="132"/>
        <v>0.53500000000000003</v>
      </c>
      <c r="F660" s="27">
        <f t="shared" si="133"/>
        <v>0.54</v>
      </c>
      <c r="G660">
        <f t="shared" si="134"/>
        <v>53.75</v>
      </c>
      <c r="H660">
        <f t="shared" si="135"/>
        <v>1</v>
      </c>
      <c r="I660">
        <f t="shared" si="136"/>
        <v>1.1617214842018027</v>
      </c>
      <c r="J660">
        <f t="shared" si="137"/>
        <v>-0.44022079363633243</v>
      </c>
      <c r="K660">
        <f t="shared" si="138"/>
        <v>0.99181108235398252</v>
      </c>
      <c r="L660">
        <f t="shared" si="139"/>
        <v>-8.2226310089083786E-3</v>
      </c>
      <c r="M660">
        <f t="shared" si="140"/>
        <v>0.50232558139534889</v>
      </c>
      <c r="N660">
        <f t="shared" si="141"/>
        <v>0.49767441860465117</v>
      </c>
      <c r="P660">
        <f t="shared" si="142"/>
        <v>112</v>
      </c>
      <c r="Q660">
        <f t="shared" si="143"/>
        <v>752.5</v>
      </c>
    </row>
    <row r="661" spans="1:17" x14ac:dyDescent="0.35">
      <c r="A661">
        <v>2023</v>
      </c>
      <c r="B661" s="18">
        <v>204</v>
      </c>
      <c r="C661" s="20">
        <v>35</v>
      </c>
      <c r="D661" s="12">
        <f t="shared" si="131"/>
        <v>25.5</v>
      </c>
      <c r="E661" s="27">
        <f t="shared" si="132"/>
        <v>0.51</v>
      </c>
      <c r="F661" s="27">
        <f t="shared" si="133"/>
        <v>0.7</v>
      </c>
      <c r="G661">
        <f t="shared" si="134"/>
        <v>60.5</v>
      </c>
      <c r="H661">
        <f t="shared" si="135"/>
        <v>1</v>
      </c>
      <c r="I661">
        <f t="shared" si="136"/>
        <v>0.80621623496010608</v>
      </c>
      <c r="J661">
        <f t="shared" si="137"/>
        <v>0.48409124700904599</v>
      </c>
      <c r="K661">
        <f t="shared" si="138"/>
        <v>0.99999063842943514</v>
      </c>
      <c r="L661">
        <f t="shared" si="139"/>
        <v>-9.3616143846338483E-6</v>
      </c>
      <c r="M661">
        <f t="shared" si="140"/>
        <v>0.57851239669421484</v>
      </c>
      <c r="N661">
        <f t="shared" si="141"/>
        <v>0.42148760330578511</v>
      </c>
      <c r="P661">
        <f t="shared" si="142"/>
        <v>193.5</v>
      </c>
      <c r="Q661">
        <f t="shared" si="143"/>
        <v>448.5</v>
      </c>
    </row>
    <row r="662" spans="1:17" x14ac:dyDescent="0.35">
      <c r="A662">
        <v>2023</v>
      </c>
      <c r="B662" s="18">
        <v>232</v>
      </c>
      <c r="C662" s="20">
        <v>23</v>
      </c>
      <c r="D662" s="12">
        <f t="shared" si="131"/>
        <v>29</v>
      </c>
      <c r="E662" s="27">
        <f t="shared" si="132"/>
        <v>0.57999999999999996</v>
      </c>
      <c r="F662" s="27">
        <f t="shared" si="133"/>
        <v>0.46</v>
      </c>
      <c r="G662">
        <f t="shared" si="134"/>
        <v>52</v>
      </c>
      <c r="H662">
        <f t="shared" si="135"/>
        <v>1</v>
      </c>
      <c r="I662">
        <f t="shared" si="136"/>
        <v>1.8016309328368565</v>
      </c>
      <c r="J662">
        <f t="shared" si="137"/>
        <v>-0.90237681395902158</v>
      </c>
      <c r="K662">
        <f t="shared" si="138"/>
        <v>0.96855321665684047</v>
      </c>
      <c r="L662">
        <f t="shared" si="139"/>
        <v>-3.1951850141454262E-2</v>
      </c>
      <c r="M662">
        <f t="shared" si="140"/>
        <v>0.44230769230769229</v>
      </c>
      <c r="N662">
        <f t="shared" si="141"/>
        <v>0.55769230769230771</v>
      </c>
      <c r="P662">
        <f t="shared" si="142"/>
        <v>57.5</v>
      </c>
      <c r="Q662">
        <f t="shared" si="143"/>
        <v>904</v>
      </c>
    </row>
    <row r="663" spans="1:17" x14ac:dyDescent="0.35">
      <c r="A663">
        <v>2023</v>
      </c>
      <c r="B663" s="18">
        <v>166</v>
      </c>
      <c r="C663" s="20">
        <v>38</v>
      </c>
      <c r="D663" s="12">
        <f t="shared" si="131"/>
        <v>20.75</v>
      </c>
      <c r="E663" s="27">
        <f t="shared" si="132"/>
        <v>0.41499999999999998</v>
      </c>
      <c r="F663" s="27">
        <f t="shared" si="133"/>
        <v>0.76</v>
      </c>
      <c r="G663">
        <f t="shared" si="134"/>
        <v>58.75</v>
      </c>
      <c r="H663">
        <f t="shared" si="135"/>
        <v>1</v>
      </c>
      <c r="I663">
        <f t="shared" si="136"/>
        <v>-0.5447037121583409</v>
      </c>
      <c r="J663">
        <f t="shared" si="137"/>
        <v>0.83070826225106287</v>
      </c>
      <c r="K663">
        <f t="shared" si="138"/>
        <v>0.99984860394344544</v>
      </c>
      <c r="L663">
        <f t="shared" si="139"/>
        <v>-1.514075180943707E-4</v>
      </c>
      <c r="M663">
        <f t="shared" si="140"/>
        <v>0.64680851063829792</v>
      </c>
      <c r="N663">
        <f t="shared" si="141"/>
        <v>0.35319148936170214</v>
      </c>
      <c r="P663">
        <f t="shared" si="142"/>
        <v>809</v>
      </c>
      <c r="Q663">
        <f t="shared" si="143"/>
        <v>297.5</v>
      </c>
    </row>
    <row r="664" spans="1:17" x14ac:dyDescent="0.35">
      <c r="A664">
        <v>2023</v>
      </c>
      <c r="B664" s="18">
        <v>165</v>
      </c>
      <c r="C664" s="20">
        <v>39</v>
      </c>
      <c r="D664" s="12">
        <f t="shared" si="131"/>
        <v>20.625</v>
      </c>
      <c r="E664" s="27">
        <f t="shared" si="132"/>
        <v>0.41249999999999998</v>
      </c>
      <c r="F664" s="27">
        <f t="shared" si="133"/>
        <v>0.78</v>
      </c>
      <c r="G664">
        <f t="shared" si="134"/>
        <v>59.625</v>
      </c>
      <c r="H664">
        <f t="shared" si="135"/>
        <v>1</v>
      </c>
      <c r="I664">
        <f t="shared" si="136"/>
        <v>-0.58025423708251056</v>
      </c>
      <c r="J664">
        <f t="shared" si="137"/>
        <v>0.94624726733173525</v>
      </c>
      <c r="K664">
        <f t="shared" si="138"/>
        <v>0.99993761406036374</v>
      </c>
      <c r="L664">
        <f t="shared" si="139"/>
        <v>-6.2387885719927236E-5</v>
      </c>
      <c r="M664">
        <f t="shared" si="140"/>
        <v>0.65408805031446537</v>
      </c>
      <c r="N664">
        <f t="shared" si="141"/>
        <v>0.34591194968553457</v>
      </c>
      <c r="P664">
        <f t="shared" si="142"/>
        <v>826.5</v>
      </c>
      <c r="Q664">
        <f t="shared" si="143"/>
        <v>233</v>
      </c>
    </row>
    <row r="665" spans="1:17" x14ac:dyDescent="0.35">
      <c r="A665">
        <v>2023</v>
      </c>
      <c r="B665" s="18">
        <v>171</v>
      </c>
      <c r="C665" s="20">
        <v>30</v>
      </c>
      <c r="D665" s="12">
        <f t="shared" si="131"/>
        <v>21.375</v>
      </c>
      <c r="E665" s="27">
        <f t="shared" si="132"/>
        <v>0.42749999999999999</v>
      </c>
      <c r="F665" s="27">
        <f t="shared" si="133"/>
        <v>0.6</v>
      </c>
      <c r="G665">
        <f t="shared" si="134"/>
        <v>51.375</v>
      </c>
      <c r="H665">
        <f t="shared" si="135"/>
        <v>1</v>
      </c>
      <c r="I665">
        <f t="shared" si="136"/>
        <v>-0.36695108753749267</v>
      </c>
      <c r="J665">
        <f t="shared" si="137"/>
        <v>-9.3603778394315509E-2</v>
      </c>
      <c r="K665">
        <f t="shared" si="138"/>
        <v>0.77481427847461615</v>
      </c>
      <c r="L665">
        <f t="shared" si="139"/>
        <v>-0.25513191902512011</v>
      </c>
      <c r="M665">
        <f t="shared" si="140"/>
        <v>0.58394160583941601</v>
      </c>
      <c r="N665">
        <f t="shared" si="141"/>
        <v>0.41605839416058393</v>
      </c>
      <c r="P665">
        <f t="shared" si="142"/>
        <v>700</v>
      </c>
      <c r="Q665">
        <f t="shared" si="143"/>
        <v>639</v>
      </c>
    </row>
    <row r="666" spans="1:17" x14ac:dyDescent="0.35">
      <c r="A666">
        <v>2023</v>
      </c>
      <c r="B666" s="18">
        <v>178</v>
      </c>
      <c r="C666" s="20">
        <v>43</v>
      </c>
      <c r="D666" s="12">
        <f t="shared" si="131"/>
        <v>22.25</v>
      </c>
      <c r="E666" s="27">
        <f t="shared" si="132"/>
        <v>0.44500000000000001</v>
      </c>
      <c r="F666" s="27">
        <f t="shared" si="133"/>
        <v>0.86</v>
      </c>
      <c r="G666">
        <f t="shared" si="134"/>
        <v>65.25</v>
      </c>
      <c r="H666">
        <f t="shared" si="135"/>
        <v>1</v>
      </c>
      <c r="I666">
        <f t="shared" si="136"/>
        <v>-0.11809741306830505</v>
      </c>
      <c r="J666">
        <f t="shared" si="137"/>
        <v>1.4084032876544244</v>
      </c>
      <c r="K666">
        <f t="shared" si="138"/>
        <v>0.99999987217787345</v>
      </c>
      <c r="L666">
        <f t="shared" si="139"/>
        <v>-1.2782213471918558E-7</v>
      </c>
      <c r="M666">
        <f t="shared" si="140"/>
        <v>0.65900383141762453</v>
      </c>
      <c r="N666">
        <f t="shared" si="141"/>
        <v>0.34099616858237547</v>
      </c>
      <c r="P666">
        <f t="shared" si="142"/>
        <v>564.5</v>
      </c>
      <c r="Q666">
        <f t="shared" si="143"/>
        <v>53.5</v>
      </c>
    </row>
    <row r="667" spans="1:17" x14ac:dyDescent="0.35">
      <c r="A667">
        <v>2023</v>
      </c>
      <c r="B667" s="18">
        <v>180</v>
      </c>
      <c r="C667" s="20">
        <v>22</v>
      </c>
      <c r="D667" s="12">
        <f t="shared" si="131"/>
        <v>22.5</v>
      </c>
      <c r="E667" s="27">
        <f t="shared" si="132"/>
        <v>0.45</v>
      </c>
      <c r="F667" s="27">
        <f t="shared" si="133"/>
        <v>0.44</v>
      </c>
      <c r="G667">
        <f t="shared" si="134"/>
        <v>44.5</v>
      </c>
      <c r="H667">
        <f t="shared" si="135"/>
        <v>0</v>
      </c>
      <c r="I667">
        <f t="shared" si="136"/>
        <v>-4.6996363219965739E-2</v>
      </c>
      <c r="J667">
        <f t="shared" si="137"/>
        <v>-1.017915819039694</v>
      </c>
      <c r="K667">
        <f t="shared" si="138"/>
        <v>3.3282849678340819E-3</v>
      </c>
      <c r="L667">
        <f t="shared" si="139"/>
        <v>-3.3338360286781889E-3</v>
      </c>
      <c r="M667">
        <f t="shared" si="140"/>
        <v>0.4943820224719101</v>
      </c>
      <c r="N667">
        <f t="shared" si="141"/>
        <v>0.5056179775280899</v>
      </c>
      <c r="P667">
        <f t="shared" si="142"/>
        <v>528</v>
      </c>
      <c r="Q667">
        <f t="shared" si="143"/>
        <v>936.5</v>
      </c>
    </row>
    <row r="668" spans="1:17" x14ac:dyDescent="0.35">
      <c r="A668">
        <v>2023</v>
      </c>
      <c r="B668" s="18">
        <v>174</v>
      </c>
      <c r="C668" s="20">
        <v>40</v>
      </c>
      <c r="D668" s="12">
        <f t="shared" si="131"/>
        <v>21.75</v>
      </c>
      <c r="E668" s="27">
        <f t="shared" si="132"/>
        <v>0.435</v>
      </c>
      <c r="F668" s="27">
        <f t="shared" si="133"/>
        <v>0.8</v>
      </c>
      <c r="G668">
        <f t="shared" si="134"/>
        <v>61.75</v>
      </c>
      <c r="H668">
        <f t="shared" si="135"/>
        <v>1</v>
      </c>
      <c r="I668">
        <f t="shared" si="136"/>
        <v>-0.2602995127649837</v>
      </c>
      <c r="J668">
        <f t="shared" si="137"/>
        <v>1.0617862724124074</v>
      </c>
      <c r="K668">
        <f t="shared" si="138"/>
        <v>0.99999457238972767</v>
      </c>
      <c r="L668">
        <f t="shared" si="139"/>
        <v>-5.4276250018648908E-6</v>
      </c>
      <c r="M668">
        <f t="shared" si="140"/>
        <v>0.64777327935222673</v>
      </c>
      <c r="N668">
        <f t="shared" si="141"/>
        <v>0.35222672064777327</v>
      </c>
      <c r="P668">
        <f t="shared" si="142"/>
        <v>653</v>
      </c>
      <c r="Q668">
        <f t="shared" si="143"/>
        <v>173</v>
      </c>
    </row>
    <row r="669" spans="1:17" x14ac:dyDescent="0.35">
      <c r="A669">
        <v>2023</v>
      </c>
      <c r="B669" s="18">
        <v>201</v>
      </c>
      <c r="C669" s="20">
        <v>41</v>
      </c>
      <c r="D669" s="12">
        <f t="shared" si="131"/>
        <v>25.125</v>
      </c>
      <c r="E669" s="27">
        <f t="shared" si="132"/>
        <v>0.50249999999999995</v>
      </c>
      <c r="F669" s="27">
        <f t="shared" si="133"/>
        <v>0.82</v>
      </c>
      <c r="G669">
        <f t="shared" si="134"/>
        <v>66.125</v>
      </c>
      <c r="H669">
        <f t="shared" si="135"/>
        <v>1</v>
      </c>
      <c r="I669">
        <f t="shared" si="136"/>
        <v>0.69956466018759711</v>
      </c>
      <c r="J669">
        <f t="shared" si="137"/>
        <v>1.1773252774930798</v>
      </c>
      <c r="K669">
        <f t="shared" si="138"/>
        <v>0.99999997127084439</v>
      </c>
      <c r="L669">
        <f t="shared" si="139"/>
        <v>-2.8729156022712175E-8</v>
      </c>
      <c r="M669">
        <f t="shared" si="140"/>
        <v>0.62003780718336488</v>
      </c>
      <c r="N669">
        <f t="shared" si="141"/>
        <v>0.37996219281663518</v>
      </c>
      <c r="P669">
        <f t="shared" si="142"/>
        <v>219.5</v>
      </c>
      <c r="Q669">
        <f t="shared" si="143"/>
        <v>129.5</v>
      </c>
    </row>
    <row r="670" spans="1:17" x14ac:dyDescent="0.35">
      <c r="A670">
        <v>2023</v>
      </c>
      <c r="B670" s="18">
        <v>179</v>
      </c>
      <c r="C670" s="20">
        <v>42</v>
      </c>
      <c r="D670" s="12">
        <f t="shared" si="131"/>
        <v>22.375</v>
      </c>
      <c r="E670" s="27">
        <f t="shared" si="132"/>
        <v>0.44750000000000001</v>
      </c>
      <c r="F670" s="27">
        <f t="shared" si="133"/>
        <v>0.84</v>
      </c>
      <c r="G670">
        <f t="shared" si="134"/>
        <v>64.375</v>
      </c>
      <c r="H670">
        <f t="shared" si="135"/>
        <v>1</v>
      </c>
      <c r="I670">
        <f t="shared" si="136"/>
        <v>-8.2546888144135397E-2</v>
      </c>
      <c r="J670">
        <f t="shared" si="137"/>
        <v>1.2928642825737522</v>
      </c>
      <c r="K670">
        <f t="shared" si="138"/>
        <v>0.99999968977809373</v>
      </c>
      <c r="L670">
        <f t="shared" si="139"/>
        <v>-3.1022195439332481E-7</v>
      </c>
      <c r="M670">
        <f t="shared" si="140"/>
        <v>0.65242718446601944</v>
      </c>
      <c r="N670">
        <f t="shared" si="141"/>
        <v>0.34757281553398056</v>
      </c>
      <c r="P670">
        <f t="shared" si="142"/>
        <v>547</v>
      </c>
      <c r="Q670">
        <f t="shared" si="143"/>
        <v>90.5</v>
      </c>
    </row>
    <row r="671" spans="1:17" x14ac:dyDescent="0.35">
      <c r="A671">
        <v>2023</v>
      </c>
      <c r="B671" s="18">
        <v>179</v>
      </c>
      <c r="C671" s="20">
        <v>21</v>
      </c>
      <c r="D671" s="12">
        <f t="shared" si="131"/>
        <v>22.375</v>
      </c>
      <c r="E671" s="27">
        <f t="shared" si="132"/>
        <v>0.44750000000000001</v>
      </c>
      <c r="F671" s="27">
        <f t="shared" si="133"/>
        <v>0.42</v>
      </c>
      <c r="G671">
        <f t="shared" si="134"/>
        <v>43.375</v>
      </c>
      <c r="H671">
        <f t="shared" si="135"/>
        <v>0</v>
      </c>
      <c r="I671">
        <f t="shared" si="136"/>
        <v>-8.2546888144135397E-2</v>
      </c>
      <c r="J671">
        <f t="shared" si="137"/>
        <v>-1.1334548241203661</v>
      </c>
      <c r="K671">
        <f t="shared" si="138"/>
        <v>1.0071102225337977E-3</v>
      </c>
      <c r="L671">
        <f t="shared" si="139"/>
        <v>-1.0076176987855376E-3</v>
      </c>
      <c r="M671">
        <f t="shared" si="140"/>
        <v>0.48414985590778098</v>
      </c>
      <c r="N671">
        <f t="shared" si="141"/>
        <v>0.51585014409221897</v>
      </c>
      <c r="P671">
        <f t="shared" si="142"/>
        <v>547</v>
      </c>
      <c r="Q671">
        <f t="shared" si="143"/>
        <v>967.5</v>
      </c>
    </row>
    <row r="672" spans="1:17" x14ac:dyDescent="0.35">
      <c r="A672">
        <v>2023</v>
      </c>
      <c r="B672" s="18">
        <v>191</v>
      </c>
      <c r="C672" s="20">
        <v>41</v>
      </c>
      <c r="D672" s="12">
        <f t="shared" si="131"/>
        <v>23.875</v>
      </c>
      <c r="E672" s="27">
        <f t="shared" si="132"/>
        <v>0.47749999999999998</v>
      </c>
      <c r="F672" s="27">
        <f t="shared" si="133"/>
        <v>0.82</v>
      </c>
      <c r="G672">
        <f t="shared" si="134"/>
        <v>64.875</v>
      </c>
      <c r="H672">
        <f t="shared" si="135"/>
        <v>1</v>
      </c>
      <c r="I672">
        <f t="shared" si="136"/>
        <v>0.34405941094590048</v>
      </c>
      <c r="J672">
        <f t="shared" si="137"/>
        <v>1.1773252774930798</v>
      </c>
      <c r="K672">
        <f t="shared" si="138"/>
        <v>0.99999986393102536</v>
      </c>
      <c r="L672">
        <f t="shared" si="139"/>
        <v>-1.3606898390062797E-7</v>
      </c>
      <c r="M672">
        <f t="shared" si="140"/>
        <v>0.63198458574181116</v>
      </c>
      <c r="N672">
        <f t="shared" si="141"/>
        <v>0.36801541425818884</v>
      </c>
      <c r="P672">
        <f t="shared" si="142"/>
        <v>327</v>
      </c>
      <c r="Q672">
        <f t="shared" si="143"/>
        <v>129.5</v>
      </c>
    </row>
    <row r="673" spans="1:17" x14ac:dyDescent="0.35">
      <c r="A673">
        <v>2023</v>
      </c>
      <c r="B673" s="18">
        <v>174</v>
      </c>
      <c r="C673" s="20">
        <v>44</v>
      </c>
      <c r="D673" s="12">
        <f t="shared" si="131"/>
        <v>21.75</v>
      </c>
      <c r="E673" s="27">
        <f t="shared" si="132"/>
        <v>0.435</v>
      </c>
      <c r="F673" s="27">
        <f t="shared" si="133"/>
        <v>0.88</v>
      </c>
      <c r="G673">
        <f t="shared" si="134"/>
        <v>65.75</v>
      </c>
      <c r="H673">
        <f t="shared" si="135"/>
        <v>1</v>
      </c>
      <c r="I673">
        <f t="shared" si="136"/>
        <v>-0.2602995127649837</v>
      </c>
      <c r="J673">
        <f t="shared" si="137"/>
        <v>1.5239422927350967</v>
      </c>
      <c r="K673">
        <f t="shared" si="138"/>
        <v>0.99999991602104932</v>
      </c>
      <c r="L673">
        <f t="shared" si="139"/>
        <v>-8.3978954208583007E-8</v>
      </c>
      <c r="M673">
        <f t="shared" si="140"/>
        <v>0.66920152091254748</v>
      </c>
      <c r="N673">
        <f t="shared" si="141"/>
        <v>0.33079847908745247</v>
      </c>
      <c r="P673">
        <f t="shared" si="142"/>
        <v>653</v>
      </c>
      <c r="Q673">
        <f t="shared" si="143"/>
        <v>26.5</v>
      </c>
    </row>
    <row r="674" spans="1:17" x14ac:dyDescent="0.35">
      <c r="A674">
        <v>2023</v>
      </c>
      <c r="B674" s="18">
        <v>181</v>
      </c>
      <c r="C674" s="20">
        <v>37</v>
      </c>
      <c r="D674" s="12">
        <f t="shared" si="131"/>
        <v>22.625</v>
      </c>
      <c r="E674" s="27">
        <f t="shared" si="132"/>
        <v>0.45250000000000001</v>
      </c>
      <c r="F674" s="27">
        <f t="shared" si="133"/>
        <v>0.74</v>
      </c>
      <c r="G674">
        <f t="shared" si="134"/>
        <v>59.625</v>
      </c>
      <c r="H674">
        <f t="shared" si="135"/>
        <v>1</v>
      </c>
      <c r="I674">
        <f t="shared" si="136"/>
        <v>-1.1445838295796084E-2</v>
      </c>
      <c r="J674">
        <f t="shared" si="137"/>
        <v>0.71516925717039059</v>
      </c>
      <c r="K674">
        <f t="shared" si="138"/>
        <v>0.99995834972108677</v>
      </c>
      <c r="L674">
        <f t="shared" si="139"/>
        <v>-4.1651146310181776E-5</v>
      </c>
      <c r="M674">
        <f t="shared" si="140"/>
        <v>0.6205450733752621</v>
      </c>
      <c r="N674">
        <f t="shared" si="141"/>
        <v>0.37945492662473795</v>
      </c>
      <c r="P674">
        <f t="shared" si="142"/>
        <v>505</v>
      </c>
      <c r="Q674">
        <f t="shared" si="143"/>
        <v>351</v>
      </c>
    </row>
    <row r="675" spans="1:17" x14ac:dyDescent="0.35">
      <c r="A675">
        <v>2023</v>
      </c>
      <c r="B675" s="18">
        <v>171</v>
      </c>
      <c r="C675" s="20">
        <v>38</v>
      </c>
      <c r="D675" s="12">
        <f t="shared" si="131"/>
        <v>21.375</v>
      </c>
      <c r="E675" s="27">
        <f t="shared" si="132"/>
        <v>0.42749999999999999</v>
      </c>
      <c r="F675" s="27">
        <f t="shared" si="133"/>
        <v>0.76</v>
      </c>
      <c r="G675">
        <f t="shared" si="134"/>
        <v>59.375</v>
      </c>
      <c r="H675">
        <f t="shared" si="135"/>
        <v>1</v>
      </c>
      <c r="I675">
        <f t="shared" si="136"/>
        <v>-0.36695108753749267</v>
      </c>
      <c r="J675">
        <f t="shared" si="137"/>
        <v>0.83070826225106287</v>
      </c>
      <c r="K675">
        <f t="shared" si="138"/>
        <v>0.99993042840608026</v>
      </c>
      <c r="L675">
        <f t="shared" si="139"/>
        <v>-6.9574014135330312E-5</v>
      </c>
      <c r="M675">
        <f t="shared" si="140"/>
        <v>0.64</v>
      </c>
      <c r="N675">
        <f t="shared" si="141"/>
        <v>0.36</v>
      </c>
      <c r="P675">
        <f t="shared" si="142"/>
        <v>700</v>
      </c>
      <c r="Q675">
        <f t="shared" si="143"/>
        <v>297.5</v>
      </c>
    </row>
    <row r="676" spans="1:17" x14ac:dyDescent="0.35">
      <c r="A676">
        <v>2023</v>
      </c>
      <c r="B676" s="18">
        <v>234</v>
      </c>
      <c r="C676" s="20">
        <v>42</v>
      </c>
      <c r="D676" s="12">
        <f t="shared" si="131"/>
        <v>29.25</v>
      </c>
      <c r="E676" s="27">
        <f t="shared" si="132"/>
        <v>0.58499999999999996</v>
      </c>
      <c r="F676" s="27">
        <f t="shared" si="133"/>
        <v>0.84</v>
      </c>
      <c r="G676">
        <f t="shared" si="134"/>
        <v>71.25</v>
      </c>
      <c r="H676">
        <f t="shared" si="135"/>
        <v>1</v>
      </c>
      <c r="I676">
        <f t="shared" si="136"/>
        <v>1.8727319826851958</v>
      </c>
      <c r="J676">
        <f t="shared" si="137"/>
        <v>1.2928642825737522</v>
      </c>
      <c r="K676">
        <f t="shared" si="138"/>
        <v>0.99999999994019007</v>
      </c>
      <c r="L676">
        <f t="shared" si="139"/>
        <v>-5.9809934784395043E-11</v>
      </c>
      <c r="M676">
        <f t="shared" si="140"/>
        <v>0.58947368421052626</v>
      </c>
      <c r="N676">
        <f t="shared" si="141"/>
        <v>0.41052631578947368</v>
      </c>
      <c r="P676">
        <f t="shared" si="142"/>
        <v>54</v>
      </c>
      <c r="Q676">
        <f t="shared" si="143"/>
        <v>90.5</v>
      </c>
    </row>
    <row r="677" spans="1:17" x14ac:dyDescent="0.35">
      <c r="A677">
        <v>2023</v>
      </c>
      <c r="B677" s="18">
        <v>209</v>
      </c>
      <c r="C677" s="20">
        <v>31</v>
      </c>
      <c r="D677" s="12">
        <f t="shared" si="131"/>
        <v>26.125</v>
      </c>
      <c r="E677" s="27">
        <f t="shared" si="132"/>
        <v>0.52249999999999996</v>
      </c>
      <c r="F677" s="27">
        <f t="shared" si="133"/>
        <v>0.62</v>
      </c>
      <c r="G677">
        <f t="shared" si="134"/>
        <v>57.125</v>
      </c>
      <c r="H677">
        <f t="shared" si="135"/>
        <v>1</v>
      </c>
      <c r="I677">
        <f t="shared" si="136"/>
        <v>0.98396885958095437</v>
      </c>
      <c r="J677">
        <f t="shared" si="137"/>
        <v>2.1935226686356796E-2</v>
      </c>
      <c r="K677">
        <f t="shared" si="138"/>
        <v>0.99972205783355006</v>
      </c>
      <c r="L677">
        <f t="shared" si="139"/>
        <v>-2.7798079953256016E-4</v>
      </c>
      <c r="M677">
        <f t="shared" si="140"/>
        <v>0.54266958424507661</v>
      </c>
      <c r="N677">
        <f t="shared" si="141"/>
        <v>0.45733041575492339</v>
      </c>
      <c r="P677">
        <f t="shared" si="142"/>
        <v>150.5</v>
      </c>
      <c r="Q677">
        <f t="shared" si="143"/>
        <v>605</v>
      </c>
    </row>
    <row r="678" spans="1:17" x14ac:dyDescent="0.35">
      <c r="A678">
        <v>2023</v>
      </c>
      <c r="B678" s="18">
        <v>133</v>
      </c>
      <c r="C678" s="20">
        <v>31</v>
      </c>
      <c r="D678" s="12">
        <f t="shared" si="131"/>
        <v>16.625</v>
      </c>
      <c r="E678" s="27">
        <f t="shared" si="132"/>
        <v>0.33250000000000002</v>
      </c>
      <c r="F678" s="27">
        <f t="shared" si="133"/>
        <v>0.62</v>
      </c>
      <c r="G678">
        <f t="shared" si="134"/>
        <v>47.625</v>
      </c>
      <c r="H678">
        <f t="shared" si="135"/>
        <v>0</v>
      </c>
      <c r="I678">
        <f t="shared" si="136"/>
        <v>-1.7178710346559396</v>
      </c>
      <c r="J678">
        <f t="shared" si="137"/>
        <v>2.1935226686356796E-2</v>
      </c>
      <c r="K678">
        <f t="shared" si="138"/>
        <v>2.577902210792719E-2</v>
      </c>
      <c r="L678">
        <f t="shared" si="139"/>
        <v>-2.6117124386318826E-2</v>
      </c>
      <c r="M678">
        <f t="shared" si="140"/>
        <v>0.65091863517060367</v>
      </c>
      <c r="N678">
        <f t="shared" si="141"/>
        <v>0.34908136482939633</v>
      </c>
      <c r="P678">
        <f t="shared" si="142"/>
        <v>1124.5</v>
      </c>
      <c r="Q678">
        <f t="shared" si="143"/>
        <v>605</v>
      </c>
    </row>
    <row r="679" spans="1:17" x14ac:dyDescent="0.35">
      <c r="A679">
        <v>2023</v>
      </c>
      <c r="B679" s="18">
        <v>224</v>
      </c>
      <c r="C679" s="20">
        <v>40</v>
      </c>
      <c r="D679" s="12">
        <f t="shared" si="131"/>
        <v>28</v>
      </c>
      <c r="E679" s="27">
        <f t="shared" si="132"/>
        <v>0.56000000000000005</v>
      </c>
      <c r="F679" s="27">
        <f t="shared" si="133"/>
        <v>0.8</v>
      </c>
      <c r="G679">
        <f t="shared" si="134"/>
        <v>68</v>
      </c>
      <c r="H679">
        <f t="shared" si="135"/>
        <v>1</v>
      </c>
      <c r="I679">
        <f t="shared" si="136"/>
        <v>1.5172267334434992</v>
      </c>
      <c r="J679">
        <f t="shared" si="137"/>
        <v>1.0617862724124074</v>
      </c>
      <c r="K679">
        <f t="shared" si="138"/>
        <v>0.99999999772265147</v>
      </c>
      <c r="L679">
        <f t="shared" si="139"/>
        <v>-2.2773485345691894E-9</v>
      </c>
      <c r="M679">
        <f t="shared" si="140"/>
        <v>0.58823529411764708</v>
      </c>
      <c r="N679">
        <f t="shared" si="141"/>
        <v>0.41176470588235292</v>
      </c>
      <c r="P679">
        <f t="shared" si="142"/>
        <v>75.5</v>
      </c>
      <c r="Q679">
        <f t="shared" si="143"/>
        <v>173</v>
      </c>
    </row>
    <row r="680" spans="1:17" x14ac:dyDescent="0.35">
      <c r="A680">
        <v>2023</v>
      </c>
      <c r="B680" s="18">
        <v>147</v>
      </c>
      <c r="C680" s="20">
        <v>40</v>
      </c>
      <c r="D680" s="12">
        <f t="shared" si="131"/>
        <v>18.375</v>
      </c>
      <c r="E680" s="27">
        <f t="shared" si="132"/>
        <v>0.36749999999999999</v>
      </c>
      <c r="F680" s="27">
        <f t="shared" si="133"/>
        <v>0.8</v>
      </c>
      <c r="G680">
        <f t="shared" si="134"/>
        <v>58.375</v>
      </c>
      <c r="H680">
        <f t="shared" si="135"/>
        <v>1</v>
      </c>
      <c r="I680">
        <f t="shared" si="136"/>
        <v>-1.2201636857175644</v>
      </c>
      <c r="J680">
        <f t="shared" si="137"/>
        <v>1.0617862724124074</v>
      </c>
      <c r="K680">
        <f t="shared" si="138"/>
        <v>0.99963848028457924</v>
      </c>
      <c r="L680">
        <f t="shared" si="139"/>
        <v>-3.6158507942713332E-4</v>
      </c>
      <c r="M680">
        <f t="shared" si="140"/>
        <v>0.68522483940042822</v>
      </c>
      <c r="N680">
        <f t="shared" si="141"/>
        <v>0.31477516059957172</v>
      </c>
      <c r="P680">
        <f t="shared" si="142"/>
        <v>1069.5</v>
      </c>
      <c r="Q680">
        <f t="shared" si="143"/>
        <v>173</v>
      </c>
    </row>
    <row r="681" spans="1:17" x14ac:dyDescent="0.35">
      <c r="A681">
        <v>2023</v>
      </c>
      <c r="B681" s="18">
        <v>183</v>
      </c>
      <c r="C681" s="20">
        <v>30</v>
      </c>
      <c r="D681" s="12">
        <f t="shared" si="131"/>
        <v>22.875</v>
      </c>
      <c r="E681" s="27">
        <f t="shared" si="132"/>
        <v>0.45750000000000002</v>
      </c>
      <c r="F681" s="27">
        <f t="shared" si="133"/>
        <v>0.6</v>
      </c>
      <c r="G681">
        <f t="shared" si="134"/>
        <v>52.875</v>
      </c>
      <c r="H681">
        <f t="shared" si="135"/>
        <v>1</v>
      </c>
      <c r="I681">
        <f t="shared" si="136"/>
        <v>5.9655211552543233E-2</v>
      </c>
      <c r="J681">
        <f t="shared" si="137"/>
        <v>-9.3603778394315509E-2</v>
      </c>
      <c r="K681">
        <f t="shared" si="138"/>
        <v>0.95697505797979832</v>
      </c>
      <c r="L681">
        <f t="shared" si="139"/>
        <v>-4.3977950585855456E-2</v>
      </c>
      <c r="M681">
        <f t="shared" si="140"/>
        <v>0.56737588652482274</v>
      </c>
      <c r="N681">
        <f t="shared" si="141"/>
        <v>0.43262411347517732</v>
      </c>
      <c r="P681">
        <f t="shared" si="142"/>
        <v>465</v>
      </c>
      <c r="Q681">
        <f t="shared" si="143"/>
        <v>639</v>
      </c>
    </row>
    <row r="682" spans="1:17" x14ac:dyDescent="0.35">
      <c r="A682">
        <v>2023</v>
      </c>
      <c r="B682" s="18">
        <v>171</v>
      </c>
      <c r="C682" s="20">
        <v>21</v>
      </c>
      <c r="D682" s="12">
        <f t="shared" si="131"/>
        <v>21.375</v>
      </c>
      <c r="E682" s="27">
        <f t="shared" si="132"/>
        <v>0.42749999999999999</v>
      </c>
      <c r="F682" s="27">
        <f t="shared" si="133"/>
        <v>0.42</v>
      </c>
      <c r="G682">
        <f t="shared" si="134"/>
        <v>42.375</v>
      </c>
      <c r="H682">
        <f t="shared" si="135"/>
        <v>0</v>
      </c>
      <c r="I682">
        <f t="shared" si="136"/>
        <v>-0.36695108753749267</v>
      </c>
      <c r="J682">
        <f t="shared" si="137"/>
        <v>-1.1334548241203661</v>
      </c>
      <c r="K682">
        <f t="shared" si="138"/>
        <v>2.9042862436923222E-4</v>
      </c>
      <c r="L682">
        <f t="shared" si="139"/>
        <v>-2.904708069297051E-4</v>
      </c>
      <c r="M682">
        <f t="shared" si="140"/>
        <v>0.49557522123893805</v>
      </c>
      <c r="N682">
        <f t="shared" si="141"/>
        <v>0.50442477876106195</v>
      </c>
      <c r="P682">
        <f t="shared" si="142"/>
        <v>700</v>
      </c>
      <c r="Q682">
        <f t="shared" si="143"/>
        <v>967.5</v>
      </c>
    </row>
    <row r="683" spans="1:17" x14ac:dyDescent="0.35">
      <c r="A683">
        <v>2023</v>
      </c>
      <c r="B683" s="18">
        <v>209</v>
      </c>
      <c r="C683" s="20">
        <v>36</v>
      </c>
      <c r="D683" s="12">
        <f t="shared" si="131"/>
        <v>26.125</v>
      </c>
      <c r="E683" s="27">
        <f t="shared" si="132"/>
        <v>0.52249999999999996</v>
      </c>
      <c r="F683" s="27">
        <f t="shared" si="133"/>
        <v>0.72</v>
      </c>
      <c r="G683">
        <f t="shared" si="134"/>
        <v>62.125</v>
      </c>
      <c r="H683">
        <f t="shared" si="135"/>
        <v>1</v>
      </c>
      <c r="I683">
        <f t="shared" si="136"/>
        <v>0.98396885958095437</v>
      </c>
      <c r="J683">
        <f t="shared" si="137"/>
        <v>0.59963025208971832</v>
      </c>
      <c r="K683">
        <f t="shared" si="138"/>
        <v>0.9999984828663564</v>
      </c>
      <c r="L683">
        <f t="shared" si="139"/>
        <v>-1.5171347944510299E-6</v>
      </c>
      <c r="M683">
        <f t="shared" si="140"/>
        <v>0.57947686116700203</v>
      </c>
      <c r="N683">
        <f t="shared" si="141"/>
        <v>0.42052313883299797</v>
      </c>
      <c r="P683">
        <f t="shared" si="142"/>
        <v>150.5</v>
      </c>
      <c r="Q683">
        <f t="shared" si="143"/>
        <v>403.5</v>
      </c>
    </row>
    <row r="684" spans="1:17" x14ac:dyDescent="0.35">
      <c r="A684">
        <v>2023</v>
      </c>
      <c r="B684" s="18">
        <v>165</v>
      </c>
      <c r="C684" s="20">
        <v>28</v>
      </c>
      <c r="D684" s="12">
        <f t="shared" si="131"/>
        <v>20.625</v>
      </c>
      <c r="E684" s="27">
        <f t="shared" si="132"/>
        <v>0.41249999999999998</v>
      </c>
      <c r="F684" s="27">
        <f t="shared" si="133"/>
        <v>0.56000000000000005</v>
      </c>
      <c r="G684">
        <f t="shared" si="134"/>
        <v>48.625</v>
      </c>
      <c r="H684">
        <f t="shared" si="135"/>
        <v>0</v>
      </c>
      <c r="I684">
        <f t="shared" si="136"/>
        <v>-0.58025423708251056</v>
      </c>
      <c r="J684">
        <f t="shared" si="137"/>
        <v>-0.3246817885556601</v>
      </c>
      <c r="K684">
        <f t="shared" si="138"/>
        <v>0.14408119114384343</v>
      </c>
      <c r="L684">
        <f t="shared" si="139"/>
        <v>-0.15557975680599692</v>
      </c>
      <c r="M684">
        <f t="shared" si="140"/>
        <v>0.5758354755784062</v>
      </c>
      <c r="N684">
        <f t="shared" si="141"/>
        <v>0.4241645244215938</v>
      </c>
      <c r="P684">
        <f t="shared" si="142"/>
        <v>826.5</v>
      </c>
      <c r="Q684">
        <f t="shared" si="143"/>
        <v>709.5</v>
      </c>
    </row>
    <row r="685" spans="1:17" x14ac:dyDescent="0.35">
      <c r="A685">
        <v>2023</v>
      </c>
      <c r="B685" s="18">
        <v>162</v>
      </c>
      <c r="C685" s="20">
        <v>39</v>
      </c>
      <c r="D685" s="12">
        <f t="shared" si="131"/>
        <v>20.25</v>
      </c>
      <c r="E685" s="27">
        <f t="shared" si="132"/>
        <v>0.40500000000000003</v>
      </c>
      <c r="F685" s="27">
        <f t="shared" si="133"/>
        <v>0.78</v>
      </c>
      <c r="G685">
        <f t="shared" si="134"/>
        <v>59.25</v>
      </c>
      <c r="H685">
        <f t="shared" si="135"/>
        <v>1</v>
      </c>
      <c r="I685">
        <f t="shared" si="136"/>
        <v>-0.68690581185501953</v>
      </c>
      <c r="J685">
        <f t="shared" si="137"/>
        <v>0.94624726733173525</v>
      </c>
      <c r="K685">
        <f t="shared" si="138"/>
        <v>0.99990052785048633</v>
      </c>
      <c r="L685">
        <f t="shared" si="139"/>
        <v>-9.9477097196040113E-5</v>
      </c>
      <c r="M685">
        <f t="shared" si="140"/>
        <v>0.65822784810126578</v>
      </c>
      <c r="N685">
        <f t="shared" si="141"/>
        <v>0.34177215189873417</v>
      </c>
      <c r="P685">
        <f t="shared" si="142"/>
        <v>876</v>
      </c>
      <c r="Q685">
        <f t="shared" si="143"/>
        <v>233</v>
      </c>
    </row>
    <row r="686" spans="1:17" x14ac:dyDescent="0.35">
      <c r="A686">
        <v>2023</v>
      </c>
      <c r="B686" s="18">
        <v>190</v>
      </c>
      <c r="C686" s="20">
        <v>40</v>
      </c>
      <c r="D686" s="12">
        <f t="shared" si="131"/>
        <v>23.75</v>
      </c>
      <c r="E686" s="27">
        <f t="shared" si="132"/>
        <v>0.47499999999999998</v>
      </c>
      <c r="F686" s="27">
        <f t="shared" si="133"/>
        <v>0.8</v>
      </c>
      <c r="G686">
        <f t="shared" si="134"/>
        <v>63.75</v>
      </c>
      <c r="H686">
        <f t="shared" si="135"/>
        <v>1</v>
      </c>
      <c r="I686">
        <f t="shared" si="136"/>
        <v>0.30850888602173082</v>
      </c>
      <c r="J686">
        <f t="shared" si="137"/>
        <v>1.0617862724124074</v>
      </c>
      <c r="K686">
        <f t="shared" si="138"/>
        <v>0.9999995492738678</v>
      </c>
      <c r="L686">
        <f t="shared" si="139"/>
        <v>-4.5072623377215424E-7</v>
      </c>
      <c r="M686">
        <f t="shared" si="140"/>
        <v>0.62745098039215685</v>
      </c>
      <c r="N686">
        <f t="shared" si="141"/>
        <v>0.37254901960784315</v>
      </c>
      <c r="P686">
        <f t="shared" si="142"/>
        <v>341</v>
      </c>
      <c r="Q686">
        <f t="shared" si="143"/>
        <v>173</v>
      </c>
    </row>
    <row r="687" spans="1:17" x14ac:dyDescent="0.35">
      <c r="A687">
        <v>2023</v>
      </c>
      <c r="B687" s="18">
        <v>157</v>
      </c>
      <c r="C687" s="20">
        <v>31</v>
      </c>
      <c r="D687" s="12">
        <f t="shared" si="131"/>
        <v>19.625</v>
      </c>
      <c r="E687" s="27">
        <f t="shared" si="132"/>
        <v>0.39250000000000002</v>
      </c>
      <c r="F687" s="27">
        <f t="shared" si="133"/>
        <v>0.62</v>
      </c>
      <c r="G687">
        <f t="shared" si="134"/>
        <v>50.625</v>
      </c>
      <c r="H687">
        <f t="shared" si="135"/>
        <v>1</v>
      </c>
      <c r="I687">
        <f t="shared" si="136"/>
        <v>-0.86465843647586782</v>
      </c>
      <c r="J687">
        <f t="shared" si="137"/>
        <v>2.1935226686356796E-2</v>
      </c>
      <c r="K687">
        <f t="shared" si="138"/>
        <v>0.5251093199990291</v>
      </c>
      <c r="L687">
        <f t="shared" si="139"/>
        <v>-0.64414880949749365</v>
      </c>
      <c r="M687">
        <f t="shared" si="140"/>
        <v>0.61234567901234571</v>
      </c>
      <c r="N687">
        <f t="shared" si="141"/>
        <v>0.38765432098765434</v>
      </c>
      <c r="P687">
        <f t="shared" si="142"/>
        <v>954</v>
      </c>
      <c r="Q687">
        <f t="shared" si="143"/>
        <v>605</v>
      </c>
    </row>
    <row r="688" spans="1:17" x14ac:dyDescent="0.35">
      <c r="A688">
        <v>2023</v>
      </c>
      <c r="B688" s="18">
        <v>184</v>
      </c>
      <c r="C688" s="21">
        <v>21</v>
      </c>
      <c r="D688" s="12">
        <f t="shared" si="131"/>
        <v>23</v>
      </c>
      <c r="E688" s="27">
        <f t="shared" si="132"/>
        <v>0.46</v>
      </c>
      <c r="F688" s="27">
        <f t="shared" si="133"/>
        <v>0.42</v>
      </c>
      <c r="G688">
        <f t="shared" si="134"/>
        <v>44</v>
      </c>
      <c r="H688">
        <f t="shared" si="135"/>
        <v>0</v>
      </c>
      <c r="I688">
        <f t="shared" si="136"/>
        <v>9.5205736476712891E-2</v>
      </c>
      <c r="J688">
        <f t="shared" si="137"/>
        <v>-1.1334548241203661</v>
      </c>
      <c r="K688">
        <f t="shared" si="138"/>
        <v>2.1891774540489495E-3</v>
      </c>
      <c r="L688">
        <f t="shared" si="139"/>
        <v>-2.1915772059731067E-3</v>
      </c>
      <c r="M688">
        <f t="shared" si="140"/>
        <v>0.47727272727272729</v>
      </c>
      <c r="N688">
        <f t="shared" si="141"/>
        <v>0.52272727272727271</v>
      </c>
      <c r="P688">
        <f t="shared" si="142"/>
        <v>445</v>
      </c>
      <c r="Q688">
        <f t="shared" si="143"/>
        <v>967.5</v>
      </c>
    </row>
    <row r="689" spans="1:17" x14ac:dyDescent="0.35">
      <c r="A689">
        <v>2023</v>
      </c>
      <c r="B689" s="18">
        <v>176</v>
      </c>
      <c r="C689" s="20">
        <v>27</v>
      </c>
      <c r="D689" s="12">
        <f t="shared" si="131"/>
        <v>22</v>
      </c>
      <c r="E689" s="27">
        <f t="shared" si="132"/>
        <v>0.44</v>
      </c>
      <c r="F689" s="27">
        <f t="shared" si="133"/>
        <v>0.54</v>
      </c>
      <c r="G689">
        <f t="shared" si="134"/>
        <v>49</v>
      </c>
      <c r="H689">
        <f t="shared" si="135"/>
        <v>0</v>
      </c>
      <c r="I689">
        <f t="shared" si="136"/>
        <v>-0.18919846291664436</v>
      </c>
      <c r="J689">
        <f t="shared" si="137"/>
        <v>-0.44022079363633243</v>
      </c>
      <c r="K689">
        <f t="shared" si="138"/>
        <v>0.24727527682873449</v>
      </c>
      <c r="L689">
        <f t="shared" si="139"/>
        <v>-0.28405569149825238</v>
      </c>
      <c r="M689">
        <f t="shared" si="140"/>
        <v>0.55102040816326525</v>
      </c>
      <c r="N689">
        <f t="shared" si="141"/>
        <v>0.44897959183673469</v>
      </c>
      <c r="P689">
        <f t="shared" si="142"/>
        <v>607.5</v>
      </c>
      <c r="Q689">
        <f t="shared" si="143"/>
        <v>752.5</v>
      </c>
    </row>
    <row r="690" spans="1:17" x14ac:dyDescent="0.35">
      <c r="A690">
        <v>2023</v>
      </c>
      <c r="B690" s="18">
        <v>143</v>
      </c>
      <c r="C690" s="20">
        <v>31</v>
      </c>
      <c r="D690" s="12">
        <f t="shared" si="131"/>
        <v>17.875</v>
      </c>
      <c r="E690" s="27">
        <f t="shared" si="132"/>
        <v>0.35749999999999998</v>
      </c>
      <c r="F690" s="27">
        <f t="shared" si="133"/>
        <v>0.62</v>
      </c>
      <c r="G690">
        <f t="shared" si="134"/>
        <v>48.875</v>
      </c>
      <c r="H690">
        <f t="shared" si="135"/>
        <v>0</v>
      </c>
      <c r="I690">
        <f t="shared" si="136"/>
        <v>-1.362365785414243</v>
      </c>
      <c r="J690">
        <f t="shared" si="137"/>
        <v>2.1935226686356796E-2</v>
      </c>
      <c r="K690">
        <f t="shared" si="138"/>
        <v>0.11136954706718226</v>
      </c>
      <c r="L690">
        <f t="shared" si="139"/>
        <v>-0.1180738183801622</v>
      </c>
      <c r="M690">
        <f t="shared" si="140"/>
        <v>0.63427109974424556</v>
      </c>
      <c r="N690">
        <f t="shared" si="141"/>
        <v>0.3657289002557545</v>
      </c>
      <c r="P690">
        <f t="shared" si="142"/>
        <v>1094</v>
      </c>
      <c r="Q690">
        <f t="shared" si="143"/>
        <v>605</v>
      </c>
    </row>
    <row r="691" spans="1:17" x14ac:dyDescent="0.35">
      <c r="A691">
        <v>2023</v>
      </c>
      <c r="B691" s="18">
        <v>156</v>
      </c>
      <c r="C691" s="20">
        <v>35</v>
      </c>
      <c r="D691" s="12">
        <f t="shared" si="131"/>
        <v>19.5</v>
      </c>
      <c r="E691" s="27">
        <f t="shared" si="132"/>
        <v>0.39</v>
      </c>
      <c r="F691" s="27">
        <f t="shared" si="133"/>
        <v>0.7</v>
      </c>
      <c r="G691">
        <f t="shared" si="134"/>
        <v>54.5</v>
      </c>
      <c r="H691">
        <f t="shared" si="135"/>
        <v>1</v>
      </c>
      <c r="I691">
        <f t="shared" si="136"/>
        <v>-0.90020896140003748</v>
      </c>
      <c r="J691">
        <f t="shared" si="137"/>
        <v>0.48409124700904599</v>
      </c>
      <c r="K691">
        <f t="shared" si="138"/>
        <v>0.98391560004866674</v>
      </c>
      <c r="L691">
        <f t="shared" si="139"/>
        <v>-1.6215157916803922E-2</v>
      </c>
      <c r="M691">
        <f t="shared" si="140"/>
        <v>0.64220183486238536</v>
      </c>
      <c r="N691">
        <f t="shared" si="141"/>
        <v>0.3577981651376147</v>
      </c>
      <c r="P691">
        <f t="shared" si="142"/>
        <v>968</v>
      </c>
      <c r="Q691">
        <f t="shared" si="143"/>
        <v>448.5</v>
      </c>
    </row>
    <row r="692" spans="1:17" x14ac:dyDescent="0.35">
      <c r="A692">
        <v>2023</v>
      </c>
      <c r="B692" s="18">
        <v>170</v>
      </c>
      <c r="C692" s="20">
        <v>25</v>
      </c>
      <c r="D692" s="12">
        <f t="shared" si="131"/>
        <v>21.25</v>
      </c>
      <c r="E692" s="27">
        <f t="shared" si="132"/>
        <v>0.42499999999999999</v>
      </c>
      <c r="F692" s="27">
        <f t="shared" si="133"/>
        <v>0.5</v>
      </c>
      <c r="G692">
        <f t="shared" si="134"/>
        <v>46.25</v>
      </c>
      <c r="H692">
        <f t="shared" si="135"/>
        <v>0</v>
      </c>
      <c r="I692">
        <f t="shared" si="136"/>
        <v>-0.40250161246166233</v>
      </c>
      <c r="J692">
        <f t="shared" si="137"/>
        <v>-0.67129880379767704</v>
      </c>
      <c r="K692">
        <f t="shared" si="138"/>
        <v>1.5817509521306845E-2</v>
      </c>
      <c r="L692">
        <f t="shared" si="139"/>
        <v>-1.5943941321506221E-2</v>
      </c>
      <c r="M692">
        <f t="shared" si="140"/>
        <v>0.54054054054054057</v>
      </c>
      <c r="N692">
        <f t="shared" si="141"/>
        <v>0.45945945945945948</v>
      </c>
      <c r="P692">
        <f t="shared" si="142"/>
        <v>720</v>
      </c>
      <c r="Q692">
        <f t="shared" si="143"/>
        <v>835</v>
      </c>
    </row>
    <row r="693" spans="1:17" x14ac:dyDescent="0.35">
      <c r="A693">
        <v>2023</v>
      </c>
      <c r="B693" s="18">
        <v>204</v>
      </c>
      <c r="C693" s="20">
        <v>39</v>
      </c>
      <c r="D693" s="12">
        <f t="shared" si="131"/>
        <v>25.5</v>
      </c>
      <c r="E693" s="27">
        <f t="shared" si="132"/>
        <v>0.51</v>
      </c>
      <c r="F693" s="27">
        <f t="shared" si="133"/>
        <v>0.78</v>
      </c>
      <c r="G693">
        <f t="shared" si="134"/>
        <v>64.5</v>
      </c>
      <c r="H693">
        <f t="shared" si="135"/>
        <v>1</v>
      </c>
      <c r="I693">
        <f t="shared" si="136"/>
        <v>0.80621623496010608</v>
      </c>
      <c r="J693">
        <f t="shared" si="137"/>
        <v>0.94624726733173525</v>
      </c>
      <c r="K693">
        <f t="shared" si="138"/>
        <v>0.99999985515210599</v>
      </c>
      <c r="L693">
        <f t="shared" si="139"/>
        <v>-1.4484790450293587E-7</v>
      </c>
      <c r="M693">
        <f t="shared" si="140"/>
        <v>0.60465116279069764</v>
      </c>
      <c r="N693">
        <f t="shared" si="141"/>
        <v>0.39534883720930231</v>
      </c>
      <c r="P693">
        <f t="shared" si="142"/>
        <v>193.5</v>
      </c>
      <c r="Q693">
        <f t="shared" si="143"/>
        <v>233</v>
      </c>
    </row>
    <row r="694" spans="1:17" x14ac:dyDescent="0.35">
      <c r="A694">
        <v>2023</v>
      </c>
      <c r="B694" s="18">
        <v>160</v>
      </c>
      <c r="C694" s="20">
        <v>42</v>
      </c>
      <c r="D694" s="12">
        <f t="shared" si="131"/>
        <v>20</v>
      </c>
      <c r="E694" s="27">
        <f t="shared" si="132"/>
        <v>0.4</v>
      </c>
      <c r="F694" s="27">
        <f t="shared" si="133"/>
        <v>0.84</v>
      </c>
      <c r="G694">
        <f t="shared" si="134"/>
        <v>62</v>
      </c>
      <c r="H694">
        <f t="shared" si="135"/>
        <v>1</v>
      </c>
      <c r="I694">
        <f t="shared" si="136"/>
        <v>-0.75800686170335885</v>
      </c>
      <c r="J694">
        <f t="shared" si="137"/>
        <v>1.2928642825737522</v>
      </c>
      <c r="K694">
        <f t="shared" si="138"/>
        <v>0.99999404339257314</v>
      </c>
      <c r="L694">
        <f t="shared" si="139"/>
        <v>-5.9566251675166852E-6</v>
      </c>
      <c r="M694">
        <f t="shared" si="140"/>
        <v>0.67741935483870963</v>
      </c>
      <c r="N694">
        <f t="shared" si="141"/>
        <v>0.32258064516129031</v>
      </c>
      <c r="P694">
        <f t="shared" si="142"/>
        <v>908</v>
      </c>
      <c r="Q694">
        <f t="shared" si="143"/>
        <v>90.5</v>
      </c>
    </row>
    <row r="695" spans="1:17" x14ac:dyDescent="0.35">
      <c r="A695">
        <v>2023</v>
      </c>
      <c r="B695" s="18">
        <v>151</v>
      </c>
      <c r="C695" s="20">
        <v>17</v>
      </c>
      <c r="D695" s="12">
        <f t="shared" si="131"/>
        <v>18.875</v>
      </c>
      <c r="E695" s="27">
        <f t="shared" si="132"/>
        <v>0.3775</v>
      </c>
      <c r="F695" s="27">
        <f t="shared" si="133"/>
        <v>0.34</v>
      </c>
      <c r="G695">
        <f t="shared" si="134"/>
        <v>35.875</v>
      </c>
      <c r="H695">
        <f t="shared" si="135"/>
        <v>0</v>
      </c>
      <c r="I695">
        <f t="shared" si="136"/>
        <v>-1.0779615860208858</v>
      </c>
      <c r="J695">
        <f t="shared" si="137"/>
        <v>-1.5956108444430555</v>
      </c>
      <c r="K695">
        <f t="shared" si="138"/>
        <v>2.0037906676589097E-7</v>
      </c>
      <c r="L695">
        <f t="shared" si="139"/>
        <v>-2.0037908685960585E-7</v>
      </c>
      <c r="M695">
        <f t="shared" si="140"/>
        <v>0.47386759581881532</v>
      </c>
      <c r="N695">
        <f t="shared" si="141"/>
        <v>0.52613240418118468</v>
      </c>
      <c r="P695">
        <f t="shared" si="142"/>
        <v>1029</v>
      </c>
      <c r="Q695">
        <f t="shared" si="143"/>
        <v>1063.5</v>
      </c>
    </row>
    <row r="696" spans="1:17" x14ac:dyDescent="0.35">
      <c r="A696">
        <v>2023</v>
      </c>
      <c r="B696" s="18">
        <v>177</v>
      </c>
      <c r="C696" s="20">
        <v>19</v>
      </c>
      <c r="D696" s="12">
        <f t="shared" si="131"/>
        <v>22.125</v>
      </c>
      <c r="E696" s="27">
        <f t="shared" si="132"/>
        <v>0.4425</v>
      </c>
      <c r="F696" s="27">
        <f t="shared" si="133"/>
        <v>0.38</v>
      </c>
      <c r="G696">
        <f t="shared" si="134"/>
        <v>41.125</v>
      </c>
      <c r="H696">
        <f t="shared" si="135"/>
        <v>0</v>
      </c>
      <c r="I696">
        <f t="shared" si="136"/>
        <v>-0.15364793799247473</v>
      </c>
      <c r="J696">
        <f t="shared" si="137"/>
        <v>-1.3645328342817109</v>
      </c>
      <c r="K696">
        <f t="shared" si="138"/>
        <v>9.1868617538108535E-5</v>
      </c>
      <c r="L696">
        <f t="shared" si="139"/>
        <v>-9.1872837717985411E-5</v>
      </c>
      <c r="M696">
        <f t="shared" si="140"/>
        <v>0.46200607902735563</v>
      </c>
      <c r="N696">
        <f t="shared" si="141"/>
        <v>0.53799392097264442</v>
      </c>
      <c r="P696">
        <f t="shared" si="142"/>
        <v>585</v>
      </c>
      <c r="Q696">
        <f t="shared" si="143"/>
        <v>1022</v>
      </c>
    </row>
    <row r="697" spans="1:17" x14ac:dyDescent="0.35">
      <c r="A697">
        <v>2023</v>
      </c>
      <c r="B697" s="18">
        <v>194</v>
      </c>
      <c r="C697" s="20">
        <v>33</v>
      </c>
      <c r="D697" s="12">
        <f t="shared" si="131"/>
        <v>24.25</v>
      </c>
      <c r="E697" s="27">
        <f t="shared" si="132"/>
        <v>0.48499999999999999</v>
      </c>
      <c r="F697" s="27">
        <f t="shared" si="133"/>
        <v>0.66</v>
      </c>
      <c r="G697">
        <f t="shared" si="134"/>
        <v>57.25</v>
      </c>
      <c r="H697">
        <f t="shared" si="135"/>
        <v>1</v>
      </c>
      <c r="I697">
        <f t="shared" si="136"/>
        <v>0.45071098571840945</v>
      </c>
      <c r="J697">
        <f t="shared" si="137"/>
        <v>0.25301323684770138</v>
      </c>
      <c r="K697">
        <f t="shared" si="138"/>
        <v>0.99964366821291484</v>
      </c>
      <c r="L697">
        <f t="shared" si="139"/>
        <v>-3.5639528834186489E-4</v>
      </c>
      <c r="M697">
        <f t="shared" si="140"/>
        <v>0.57641921397379914</v>
      </c>
      <c r="N697">
        <f t="shared" si="141"/>
        <v>0.42358078602620086</v>
      </c>
      <c r="P697">
        <f t="shared" si="142"/>
        <v>293.5</v>
      </c>
      <c r="Q697">
        <f t="shared" si="143"/>
        <v>523.5</v>
      </c>
    </row>
    <row r="698" spans="1:17" x14ac:dyDescent="0.35">
      <c r="A698">
        <v>2023</v>
      </c>
      <c r="B698" s="18">
        <v>164</v>
      </c>
      <c r="C698" s="20">
        <v>38</v>
      </c>
      <c r="D698" s="12">
        <f t="shared" si="131"/>
        <v>20.5</v>
      </c>
      <c r="E698" s="27">
        <f t="shared" si="132"/>
        <v>0.41</v>
      </c>
      <c r="F698" s="27">
        <f t="shared" si="133"/>
        <v>0.76</v>
      </c>
      <c r="G698">
        <f t="shared" si="134"/>
        <v>58.5</v>
      </c>
      <c r="H698">
        <f t="shared" si="135"/>
        <v>1</v>
      </c>
      <c r="I698">
        <f t="shared" si="136"/>
        <v>-0.61580476200668022</v>
      </c>
      <c r="J698">
        <f t="shared" si="137"/>
        <v>0.83070826225106287</v>
      </c>
      <c r="K698">
        <f t="shared" si="138"/>
        <v>0.99979337739428931</v>
      </c>
      <c r="L698">
        <f t="shared" si="139"/>
        <v>-2.0664395510218403E-4</v>
      </c>
      <c r="M698">
        <f t="shared" si="140"/>
        <v>0.6495726495726496</v>
      </c>
      <c r="N698">
        <f t="shared" si="141"/>
        <v>0.3504273504273504</v>
      </c>
      <c r="P698">
        <f t="shared" si="142"/>
        <v>844.5</v>
      </c>
      <c r="Q698">
        <f t="shared" si="143"/>
        <v>297.5</v>
      </c>
    </row>
    <row r="699" spans="1:17" x14ac:dyDescent="0.35">
      <c r="A699">
        <v>2023</v>
      </c>
      <c r="B699" s="18">
        <v>184</v>
      </c>
      <c r="C699" s="20">
        <v>36</v>
      </c>
      <c r="D699" s="12">
        <f t="shared" si="131"/>
        <v>23</v>
      </c>
      <c r="E699" s="27">
        <f t="shared" si="132"/>
        <v>0.46</v>
      </c>
      <c r="F699" s="27">
        <f t="shared" si="133"/>
        <v>0.72</v>
      </c>
      <c r="G699">
        <f t="shared" si="134"/>
        <v>59</v>
      </c>
      <c r="H699">
        <f t="shared" si="135"/>
        <v>1</v>
      </c>
      <c r="I699">
        <f t="shared" si="136"/>
        <v>9.5205736476712891E-2</v>
      </c>
      <c r="J699">
        <f t="shared" si="137"/>
        <v>0.59963025208971832</v>
      </c>
      <c r="K699">
        <f t="shared" si="138"/>
        <v>0.99992594010682767</v>
      </c>
      <c r="L699">
        <f t="shared" si="139"/>
        <v>-7.4062635741627863E-5</v>
      </c>
      <c r="M699">
        <f t="shared" si="140"/>
        <v>0.61016949152542377</v>
      </c>
      <c r="N699">
        <f t="shared" si="141"/>
        <v>0.38983050847457629</v>
      </c>
      <c r="P699">
        <f t="shared" si="142"/>
        <v>445</v>
      </c>
      <c r="Q699">
        <f t="shared" si="143"/>
        <v>403.5</v>
      </c>
    </row>
    <row r="700" spans="1:17" x14ac:dyDescent="0.35">
      <c r="A700">
        <v>2023</v>
      </c>
      <c r="B700" s="18">
        <v>209</v>
      </c>
      <c r="C700" s="20">
        <v>29</v>
      </c>
      <c r="D700" s="12">
        <f t="shared" si="131"/>
        <v>26.125</v>
      </c>
      <c r="E700" s="27">
        <f t="shared" si="132"/>
        <v>0.52249999999999996</v>
      </c>
      <c r="F700" s="27">
        <f t="shared" si="133"/>
        <v>0.57999999999999996</v>
      </c>
      <c r="G700">
        <f t="shared" si="134"/>
        <v>55.125</v>
      </c>
      <c r="H700">
        <f t="shared" si="135"/>
        <v>1</v>
      </c>
      <c r="I700">
        <f t="shared" si="136"/>
        <v>0.98396885958095437</v>
      </c>
      <c r="J700">
        <f t="shared" si="137"/>
        <v>-0.2091427834749878</v>
      </c>
      <c r="K700">
        <f t="shared" si="138"/>
        <v>0.99776989236195646</v>
      </c>
      <c r="L700">
        <f t="shared" si="139"/>
        <v>-2.2325980313344859E-3</v>
      </c>
      <c r="M700">
        <f t="shared" si="140"/>
        <v>0.52607709750566889</v>
      </c>
      <c r="N700">
        <f t="shared" si="141"/>
        <v>0.47392290249433106</v>
      </c>
      <c r="P700">
        <f t="shared" si="142"/>
        <v>150.5</v>
      </c>
      <c r="Q700">
        <f t="shared" si="143"/>
        <v>671</v>
      </c>
    </row>
    <row r="701" spans="1:17" x14ac:dyDescent="0.35">
      <c r="A701">
        <v>2023</v>
      </c>
      <c r="B701" s="18">
        <v>158</v>
      </c>
      <c r="C701" s="20">
        <v>33</v>
      </c>
      <c r="D701" s="12">
        <f t="shared" si="131"/>
        <v>19.75</v>
      </c>
      <c r="E701" s="27">
        <f t="shared" si="132"/>
        <v>0.39500000000000002</v>
      </c>
      <c r="F701" s="27">
        <f t="shared" si="133"/>
        <v>0.66</v>
      </c>
      <c r="G701">
        <f t="shared" si="134"/>
        <v>52.75</v>
      </c>
      <c r="H701">
        <f t="shared" si="135"/>
        <v>1</v>
      </c>
      <c r="I701">
        <f t="shared" si="136"/>
        <v>-0.82910791155169816</v>
      </c>
      <c r="J701">
        <f t="shared" si="137"/>
        <v>0.25301323684770138</v>
      </c>
      <c r="K701">
        <f t="shared" si="138"/>
        <v>0.91216761551478254</v>
      </c>
      <c r="L701">
        <f t="shared" si="139"/>
        <v>-9.1931516853276607E-2</v>
      </c>
      <c r="M701">
        <f t="shared" si="140"/>
        <v>0.62559241706161139</v>
      </c>
      <c r="N701">
        <f t="shared" si="141"/>
        <v>0.37440758293838861</v>
      </c>
      <c r="P701">
        <f t="shared" si="142"/>
        <v>940.5</v>
      </c>
      <c r="Q701">
        <f t="shared" si="143"/>
        <v>523.5</v>
      </c>
    </row>
    <row r="702" spans="1:17" x14ac:dyDescent="0.35">
      <c r="A702">
        <v>2023</v>
      </c>
      <c r="B702" s="18">
        <v>196</v>
      </c>
      <c r="C702" s="20">
        <v>20</v>
      </c>
      <c r="D702" s="12">
        <f t="shared" si="131"/>
        <v>24.5</v>
      </c>
      <c r="E702" s="27">
        <f t="shared" si="132"/>
        <v>0.49</v>
      </c>
      <c r="F702" s="27">
        <f t="shared" si="133"/>
        <v>0.4</v>
      </c>
      <c r="G702">
        <f t="shared" si="134"/>
        <v>44.5</v>
      </c>
      <c r="H702">
        <f t="shared" si="135"/>
        <v>0</v>
      </c>
      <c r="I702">
        <f t="shared" si="136"/>
        <v>0.52181203556674882</v>
      </c>
      <c r="J702">
        <f t="shared" si="137"/>
        <v>-1.2489938292010385</v>
      </c>
      <c r="K702">
        <f t="shared" si="138"/>
        <v>4.9771329764807352E-3</v>
      </c>
      <c r="L702">
        <f t="shared" si="139"/>
        <v>-4.9895601544396612E-3</v>
      </c>
      <c r="M702">
        <f t="shared" si="140"/>
        <v>0.449438202247191</v>
      </c>
      <c r="N702">
        <f t="shared" si="141"/>
        <v>0.550561797752809</v>
      </c>
      <c r="P702">
        <f t="shared" si="142"/>
        <v>270</v>
      </c>
      <c r="Q702">
        <f t="shared" si="143"/>
        <v>996</v>
      </c>
    </row>
    <row r="703" spans="1:17" x14ac:dyDescent="0.35">
      <c r="A703">
        <v>2023</v>
      </c>
      <c r="B703" s="18">
        <v>162</v>
      </c>
      <c r="C703" s="20">
        <v>21</v>
      </c>
      <c r="D703" s="12">
        <f t="shared" si="131"/>
        <v>20.25</v>
      </c>
      <c r="E703" s="27">
        <f t="shared" si="132"/>
        <v>0.40500000000000003</v>
      </c>
      <c r="F703" s="27">
        <f t="shared" si="133"/>
        <v>0.42</v>
      </c>
      <c r="G703">
        <f t="shared" si="134"/>
        <v>41.25</v>
      </c>
      <c r="H703">
        <f t="shared" si="135"/>
        <v>0</v>
      </c>
      <c r="I703">
        <f t="shared" si="136"/>
        <v>-0.68690581185501953</v>
      </c>
      <c r="J703">
        <f t="shared" si="137"/>
        <v>-1.1334548241203661</v>
      </c>
      <c r="K703">
        <f t="shared" si="138"/>
        <v>7.1654220890554656E-5</v>
      </c>
      <c r="L703">
        <f t="shared" si="139"/>
        <v>-7.1656788176829039E-5</v>
      </c>
      <c r="M703">
        <f t="shared" si="140"/>
        <v>0.50909090909090904</v>
      </c>
      <c r="N703">
        <f t="shared" si="141"/>
        <v>0.49090909090909091</v>
      </c>
      <c r="P703">
        <f t="shared" si="142"/>
        <v>876</v>
      </c>
      <c r="Q703">
        <f t="shared" si="143"/>
        <v>967.5</v>
      </c>
    </row>
    <row r="704" spans="1:17" x14ac:dyDescent="0.35">
      <c r="A704">
        <v>2023</v>
      </c>
      <c r="B704" s="18">
        <v>198</v>
      </c>
      <c r="C704" s="20">
        <v>40</v>
      </c>
      <c r="D704" s="12">
        <f t="shared" si="131"/>
        <v>24.75</v>
      </c>
      <c r="E704" s="27">
        <f t="shared" si="132"/>
        <v>0.495</v>
      </c>
      <c r="F704" s="27">
        <f t="shared" si="133"/>
        <v>0.8</v>
      </c>
      <c r="G704">
        <f t="shared" si="134"/>
        <v>64.75</v>
      </c>
      <c r="H704">
        <f t="shared" si="135"/>
        <v>1</v>
      </c>
      <c r="I704">
        <f t="shared" si="136"/>
        <v>0.59291308541508814</v>
      </c>
      <c r="J704">
        <f t="shared" si="137"/>
        <v>1.0617862724124074</v>
      </c>
      <c r="K704">
        <f t="shared" si="138"/>
        <v>0.99999987011355262</v>
      </c>
      <c r="L704">
        <f t="shared" si="139"/>
        <v>-1.2988645581057229E-7</v>
      </c>
      <c r="M704">
        <f t="shared" si="140"/>
        <v>0.61776061776061775</v>
      </c>
      <c r="N704">
        <f t="shared" si="141"/>
        <v>0.38223938223938225</v>
      </c>
      <c r="P704">
        <f t="shared" si="142"/>
        <v>251</v>
      </c>
      <c r="Q704">
        <f t="shared" si="143"/>
        <v>173</v>
      </c>
    </row>
    <row r="705" spans="1:17" x14ac:dyDescent="0.35">
      <c r="A705">
        <v>2023</v>
      </c>
      <c r="B705" s="18">
        <v>191</v>
      </c>
      <c r="C705" s="20">
        <v>22</v>
      </c>
      <c r="D705" s="12">
        <f t="shared" si="131"/>
        <v>23.875</v>
      </c>
      <c r="E705" s="27">
        <f t="shared" si="132"/>
        <v>0.47749999999999998</v>
      </c>
      <c r="F705" s="27">
        <f t="shared" si="133"/>
        <v>0.44</v>
      </c>
      <c r="G705">
        <f t="shared" si="134"/>
        <v>45.875</v>
      </c>
      <c r="H705">
        <f t="shared" si="135"/>
        <v>0</v>
      </c>
      <c r="I705">
        <f t="shared" si="136"/>
        <v>0.34405941094590048</v>
      </c>
      <c r="J705">
        <f t="shared" si="137"/>
        <v>-1.017915819039694</v>
      </c>
      <c r="K705">
        <f t="shared" si="138"/>
        <v>1.8142484798050723E-2</v>
      </c>
      <c r="L705">
        <f t="shared" si="139"/>
        <v>-1.8309077690885023E-2</v>
      </c>
      <c r="M705">
        <f t="shared" si="140"/>
        <v>0.47956403269754766</v>
      </c>
      <c r="N705">
        <f t="shared" si="141"/>
        <v>0.52043596730245234</v>
      </c>
      <c r="P705">
        <f t="shared" si="142"/>
        <v>327</v>
      </c>
      <c r="Q705">
        <f t="shared" si="143"/>
        <v>936.5</v>
      </c>
    </row>
    <row r="706" spans="1:17" x14ac:dyDescent="0.35">
      <c r="A706">
        <v>2023</v>
      </c>
      <c r="B706" s="18">
        <v>175</v>
      </c>
      <c r="C706" s="20">
        <v>33</v>
      </c>
      <c r="D706" s="12">
        <f t="shared" si="131"/>
        <v>21.875</v>
      </c>
      <c r="E706" s="27">
        <f t="shared" si="132"/>
        <v>0.4375</v>
      </c>
      <c r="F706" s="27">
        <f t="shared" si="133"/>
        <v>0.66</v>
      </c>
      <c r="G706">
        <f t="shared" si="134"/>
        <v>54.875</v>
      </c>
      <c r="H706">
        <f t="shared" si="135"/>
        <v>1</v>
      </c>
      <c r="I706">
        <f t="shared" si="136"/>
        <v>-0.22474898784081401</v>
      </c>
      <c r="J706">
        <f t="shared" si="137"/>
        <v>0.25301323684770138</v>
      </c>
      <c r="K706">
        <f t="shared" si="138"/>
        <v>0.99320208177202651</v>
      </c>
      <c r="L706">
        <f t="shared" si="139"/>
        <v>-6.8211293253256765E-3</v>
      </c>
      <c r="M706">
        <f t="shared" si="140"/>
        <v>0.60136674259681089</v>
      </c>
      <c r="N706">
        <f t="shared" si="141"/>
        <v>0.39863325740318906</v>
      </c>
      <c r="P706">
        <f t="shared" si="142"/>
        <v>631.5</v>
      </c>
      <c r="Q706">
        <f t="shared" si="143"/>
        <v>523.5</v>
      </c>
    </row>
    <row r="707" spans="1:17" x14ac:dyDescent="0.35">
      <c r="A707">
        <v>2023</v>
      </c>
      <c r="B707" s="18">
        <v>175</v>
      </c>
      <c r="C707" s="20">
        <v>32</v>
      </c>
      <c r="D707" s="12">
        <f t="shared" ref="D707:D770" si="144">B707/8</f>
        <v>21.875</v>
      </c>
      <c r="E707" s="27">
        <f t="shared" ref="E707:E770" si="145">B707/400</f>
        <v>0.4375</v>
      </c>
      <c r="F707" s="27">
        <f t="shared" ref="F707:F770" si="146">C707/50</f>
        <v>0.64</v>
      </c>
      <c r="G707">
        <f t="shared" ref="G707:G770" si="147">SUM(C707+D707)</f>
        <v>53.875</v>
      </c>
      <c r="H707">
        <f t="shared" ref="H707:H770" si="148">IF(G707&gt;=50,1,0)</f>
        <v>1</v>
      </c>
      <c r="I707">
        <f t="shared" ref="I707:I770" si="149" xml:space="preserve"> (D:D - AVERAGE(D:D)) / STDEV(D:D)</f>
        <v>-0.22474898784081401</v>
      </c>
      <c r="J707">
        <f t="shared" ref="J707:J770" si="150" xml:space="preserve"> (C:C - AVERAGE(C:C)) / STDEV(C:C)</f>
        <v>0.13747423176702911</v>
      </c>
      <c r="K707">
        <f t="shared" ref="K707:K770" si="151">1/(1+EXP(-($AD$25 +$AD$26 * I707 +$AD$27 * J707 )))</f>
        <v>0.98096288969770307</v>
      </c>
      <c r="L707">
        <f t="shared" ref="L707:L770" si="152">IF(K707=0, -1000, IF(K707=1, -1000, H707 * LN(K707) + (1 - H707) * LN(1 - K707)))</f>
        <v>-1.9220649186639877E-2</v>
      </c>
      <c r="M707">
        <f t="shared" ref="M707:M770" si="153">IF(G707=0, 0,  C707  / G707 )</f>
        <v>0.59396751740139209</v>
      </c>
      <c r="N707">
        <f t="shared" ref="N707:N770" si="154">IF(G707=0, 0,  D707  / G707 )</f>
        <v>0.40603248259860791</v>
      </c>
      <c r="P707">
        <f t="shared" ref="P707:P770" si="155">_xlfn.RANK.AVG(B707,$B$2:$B$1144)</f>
        <v>631.5</v>
      </c>
      <c r="Q707">
        <f t="shared" ref="Q707:Q770" si="156">_xlfn.RANK.AVG(C707,$C$2:$C$1144)</f>
        <v>564</v>
      </c>
    </row>
    <row r="708" spans="1:17" x14ac:dyDescent="0.35">
      <c r="A708">
        <v>2023</v>
      </c>
      <c r="B708" s="18">
        <v>160</v>
      </c>
      <c r="C708" s="20">
        <v>37</v>
      </c>
      <c r="D708" s="12">
        <f t="shared" si="144"/>
        <v>20</v>
      </c>
      <c r="E708" s="27">
        <f t="shared" si="145"/>
        <v>0.4</v>
      </c>
      <c r="F708" s="27">
        <f t="shared" si="146"/>
        <v>0.74</v>
      </c>
      <c r="G708">
        <f t="shared" si="147"/>
        <v>57</v>
      </c>
      <c r="H708">
        <f t="shared" si="148"/>
        <v>1</v>
      </c>
      <c r="I708">
        <f t="shared" si="149"/>
        <v>-0.75800686170335885</v>
      </c>
      <c r="J708">
        <f t="shared" si="150"/>
        <v>0.71516925717039059</v>
      </c>
      <c r="K708">
        <f t="shared" si="151"/>
        <v>0.99890961862080141</v>
      </c>
      <c r="L708">
        <f t="shared" si="152"/>
        <v>-1.0909762774579488E-3</v>
      </c>
      <c r="M708">
        <f t="shared" si="153"/>
        <v>0.64912280701754388</v>
      </c>
      <c r="N708">
        <f t="shared" si="154"/>
        <v>0.35087719298245612</v>
      </c>
      <c r="P708">
        <f t="shared" si="155"/>
        <v>908</v>
      </c>
      <c r="Q708">
        <f t="shared" si="156"/>
        <v>351</v>
      </c>
    </row>
    <row r="709" spans="1:17" x14ac:dyDescent="0.35">
      <c r="A709">
        <v>2023</v>
      </c>
      <c r="B709" s="18">
        <v>176</v>
      </c>
      <c r="C709" s="20">
        <v>29</v>
      </c>
      <c r="D709" s="12">
        <f t="shared" si="144"/>
        <v>22</v>
      </c>
      <c r="E709" s="27">
        <f t="shared" si="145"/>
        <v>0.44</v>
      </c>
      <c r="F709" s="27">
        <f t="shared" si="146"/>
        <v>0.57999999999999996</v>
      </c>
      <c r="G709">
        <f t="shared" si="147"/>
        <v>51</v>
      </c>
      <c r="H709">
        <f t="shared" si="148"/>
        <v>1</v>
      </c>
      <c r="I709">
        <f t="shared" si="149"/>
        <v>-0.18919846291664436</v>
      </c>
      <c r="J709">
        <f t="shared" si="150"/>
        <v>-0.2091427834749878</v>
      </c>
      <c r="K709">
        <f t="shared" si="151"/>
        <v>0.72534851851139515</v>
      </c>
      <c r="L709">
        <f t="shared" si="152"/>
        <v>-0.32110302444586142</v>
      </c>
      <c r="M709">
        <f t="shared" si="153"/>
        <v>0.56862745098039214</v>
      </c>
      <c r="N709">
        <f t="shared" si="154"/>
        <v>0.43137254901960786</v>
      </c>
      <c r="P709">
        <f t="shared" si="155"/>
        <v>607.5</v>
      </c>
      <c r="Q709">
        <f t="shared" si="156"/>
        <v>671</v>
      </c>
    </row>
    <row r="710" spans="1:17" x14ac:dyDescent="0.35">
      <c r="A710">
        <v>2023</v>
      </c>
      <c r="B710" s="18">
        <v>149</v>
      </c>
      <c r="C710" s="20">
        <v>26</v>
      </c>
      <c r="D710" s="12">
        <f t="shared" si="144"/>
        <v>18.625</v>
      </c>
      <c r="E710" s="27">
        <f t="shared" si="145"/>
        <v>0.3725</v>
      </c>
      <c r="F710" s="27">
        <f t="shared" si="146"/>
        <v>0.52</v>
      </c>
      <c r="G710">
        <f t="shared" si="147"/>
        <v>44.625</v>
      </c>
      <c r="H710">
        <f t="shared" si="148"/>
        <v>0</v>
      </c>
      <c r="I710">
        <f t="shared" si="149"/>
        <v>-1.1490626358692251</v>
      </c>
      <c r="J710">
        <f t="shared" si="150"/>
        <v>-0.55575979871700476</v>
      </c>
      <c r="K710">
        <f t="shared" si="151"/>
        <v>1.7358087284048344E-3</v>
      </c>
      <c r="L710">
        <f t="shared" si="152"/>
        <v>-1.7373169899974393E-3</v>
      </c>
      <c r="M710">
        <f t="shared" si="153"/>
        <v>0.58263305322128855</v>
      </c>
      <c r="N710">
        <f t="shared" si="154"/>
        <v>0.4173669467787115</v>
      </c>
      <c r="P710">
        <f t="shared" si="155"/>
        <v>1051.5</v>
      </c>
      <c r="Q710">
        <f t="shared" si="156"/>
        <v>796</v>
      </c>
    </row>
    <row r="711" spans="1:17" x14ac:dyDescent="0.35">
      <c r="A711">
        <v>2023</v>
      </c>
      <c r="B711" s="18">
        <v>211</v>
      </c>
      <c r="C711" s="20">
        <v>35</v>
      </c>
      <c r="D711" s="12">
        <f t="shared" si="144"/>
        <v>26.375</v>
      </c>
      <c r="E711" s="27">
        <f t="shared" si="145"/>
        <v>0.52749999999999997</v>
      </c>
      <c r="F711" s="27">
        <f t="shared" si="146"/>
        <v>0.7</v>
      </c>
      <c r="G711">
        <f t="shared" si="147"/>
        <v>61.375</v>
      </c>
      <c r="H711">
        <f t="shared" si="148"/>
        <v>1</v>
      </c>
      <c r="I711">
        <f t="shared" si="149"/>
        <v>1.0550699094292937</v>
      </c>
      <c r="J711">
        <f t="shared" si="150"/>
        <v>0.48409124700904599</v>
      </c>
      <c r="K711">
        <f t="shared" si="151"/>
        <v>0.99999684829179236</v>
      </c>
      <c r="L711">
        <f t="shared" si="152"/>
        <v>-3.1517131742809638E-6</v>
      </c>
      <c r="M711">
        <f t="shared" si="153"/>
        <v>0.570264765784114</v>
      </c>
      <c r="N711">
        <f t="shared" si="154"/>
        <v>0.42973523421588594</v>
      </c>
      <c r="P711">
        <f t="shared" si="155"/>
        <v>128.5</v>
      </c>
      <c r="Q711">
        <f t="shared" si="156"/>
        <v>448.5</v>
      </c>
    </row>
    <row r="712" spans="1:17" x14ac:dyDescent="0.35">
      <c r="A712">
        <v>2023</v>
      </c>
      <c r="B712" s="18">
        <v>159</v>
      </c>
      <c r="C712" s="21">
        <v>41</v>
      </c>
      <c r="D712" s="12">
        <f t="shared" si="144"/>
        <v>19.875</v>
      </c>
      <c r="E712" s="27">
        <f t="shared" si="145"/>
        <v>0.39750000000000002</v>
      </c>
      <c r="F712" s="27">
        <f t="shared" si="146"/>
        <v>0.82</v>
      </c>
      <c r="G712">
        <f t="shared" si="147"/>
        <v>60.875</v>
      </c>
      <c r="H712">
        <f t="shared" si="148"/>
        <v>1</v>
      </c>
      <c r="I712">
        <f t="shared" si="149"/>
        <v>-0.7935573866275285</v>
      </c>
      <c r="J712">
        <f t="shared" si="150"/>
        <v>1.1773252774930798</v>
      </c>
      <c r="K712">
        <f t="shared" si="151"/>
        <v>0.99998026910617666</v>
      </c>
      <c r="L712">
        <f t="shared" si="152"/>
        <v>-1.973108847999029E-5</v>
      </c>
      <c r="M712">
        <f t="shared" si="153"/>
        <v>0.67351129363449691</v>
      </c>
      <c r="N712">
        <f t="shared" si="154"/>
        <v>0.32648870636550309</v>
      </c>
      <c r="P712">
        <f t="shared" si="155"/>
        <v>923</v>
      </c>
      <c r="Q712">
        <f t="shared" si="156"/>
        <v>129.5</v>
      </c>
    </row>
    <row r="713" spans="1:17" x14ac:dyDescent="0.35">
      <c r="A713">
        <v>2023</v>
      </c>
      <c r="B713" s="18">
        <v>170</v>
      </c>
      <c r="C713" s="20">
        <v>39</v>
      </c>
      <c r="D713" s="12">
        <f t="shared" si="144"/>
        <v>21.25</v>
      </c>
      <c r="E713" s="27">
        <f t="shared" si="145"/>
        <v>0.42499999999999999</v>
      </c>
      <c r="F713" s="27">
        <f t="shared" si="146"/>
        <v>0.78</v>
      </c>
      <c r="G713">
        <f t="shared" si="147"/>
        <v>60.25</v>
      </c>
      <c r="H713">
        <f t="shared" si="148"/>
        <v>1</v>
      </c>
      <c r="I713">
        <f t="shared" si="149"/>
        <v>-0.40250161246166233</v>
      </c>
      <c r="J713">
        <f t="shared" si="150"/>
        <v>0.94624726733173525</v>
      </c>
      <c r="K713">
        <f t="shared" si="151"/>
        <v>0.99997133293602403</v>
      </c>
      <c r="L713">
        <f t="shared" si="152"/>
        <v>-2.8667474884104945E-5</v>
      </c>
      <c r="M713">
        <f t="shared" si="153"/>
        <v>0.64730290456431538</v>
      </c>
      <c r="N713">
        <f t="shared" si="154"/>
        <v>0.35269709543568467</v>
      </c>
      <c r="P713">
        <f t="shared" si="155"/>
        <v>720</v>
      </c>
      <c r="Q713">
        <f t="shared" si="156"/>
        <v>233</v>
      </c>
    </row>
    <row r="714" spans="1:17" x14ac:dyDescent="0.35">
      <c r="A714">
        <v>2023</v>
      </c>
      <c r="B714" s="18">
        <v>177</v>
      </c>
      <c r="C714" s="21">
        <v>21</v>
      </c>
      <c r="D714" s="12">
        <f t="shared" si="144"/>
        <v>22.125</v>
      </c>
      <c r="E714" s="27">
        <f t="shared" si="145"/>
        <v>0.4425</v>
      </c>
      <c r="F714" s="27">
        <f t="shared" si="146"/>
        <v>0.42</v>
      </c>
      <c r="G714">
        <f t="shared" si="147"/>
        <v>43.125</v>
      </c>
      <c r="H714">
        <f t="shared" si="148"/>
        <v>0</v>
      </c>
      <c r="I714">
        <f t="shared" si="149"/>
        <v>-0.15364793799247473</v>
      </c>
      <c r="J714">
        <f t="shared" si="150"/>
        <v>-1.1334548241203661</v>
      </c>
      <c r="K714">
        <f t="shared" si="151"/>
        <v>7.3808551506322924E-4</v>
      </c>
      <c r="L714">
        <f t="shared" si="152"/>
        <v>-7.383580342802845E-4</v>
      </c>
      <c r="M714">
        <f t="shared" si="153"/>
        <v>0.48695652173913045</v>
      </c>
      <c r="N714">
        <f t="shared" si="154"/>
        <v>0.5130434782608696</v>
      </c>
      <c r="P714">
        <f t="shared" si="155"/>
        <v>585</v>
      </c>
      <c r="Q714">
        <f t="shared" si="156"/>
        <v>967.5</v>
      </c>
    </row>
    <row r="715" spans="1:17" x14ac:dyDescent="0.35">
      <c r="A715">
        <v>2023</v>
      </c>
      <c r="B715" s="18">
        <v>152</v>
      </c>
      <c r="C715" s="20">
        <v>41</v>
      </c>
      <c r="D715" s="12">
        <f t="shared" si="144"/>
        <v>19</v>
      </c>
      <c r="E715" s="27">
        <f t="shared" si="145"/>
        <v>0.38</v>
      </c>
      <c r="F715" s="27">
        <f t="shared" si="146"/>
        <v>0.82</v>
      </c>
      <c r="G715">
        <f t="shared" si="147"/>
        <v>60</v>
      </c>
      <c r="H715">
        <f t="shared" si="148"/>
        <v>1</v>
      </c>
      <c r="I715">
        <f t="shared" si="149"/>
        <v>-1.0424110610967161</v>
      </c>
      <c r="J715">
        <f t="shared" si="150"/>
        <v>1.1773252774930798</v>
      </c>
      <c r="K715">
        <f t="shared" si="151"/>
        <v>0.99994139491698075</v>
      </c>
      <c r="L715">
        <f t="shared" si="152"/>
        <v>-5.8606800364222435E-5</v>
      </c>
      <c r="M715">
        <f t="shared" si="153"/>
        <v>0.68333333333333335</v>
      </c>
      <c r="N715">
        <f t="shared" si="154"/>
        <v>0.31666666666666665</v>
      </c>
      <c r="P715">
        <f t="shared" si="155"/>
        <v>1016</v>
      </c>
      <c r="Q715">
        <f t="shared" si="156"/>
        <v>129.5</v>
      </c>
    </row>
    <row r="716" spans="1:17" x14ac:dyDescent="0.35">
      <c r="A716">
        <v>2023</v>
      </c>
      <c r="B716" s="18">
        <v>204</v>
      </c>
      <c r="C716" s="20">
        <v>34</v>
      </c>
      <c r="D716" s="12">
        <f t="shared" si="144"/>
        <v>25.5</v>
      </c>
      <c r="E716" s="27">
        <f t="shared" si="145"/>
        <v>0.51</v>
      </c>
      <c r="F716" s="27">
        <f t="shared" si="146"/>
        <v>0.68</v>
      </c>
      <c r="G716">
        <f t="shared" si="147"/>
        <v>59.5</v>
      </c>
      <c r="H716">
        <f t="shared" si="148"/>
        <v>1</v>
      </c>
      <c r="I716">
        <f t="shared" si="149"/>
        <v>0.80621623496010608</v>
      </c>
      <c r="J716">
        <f t="shared" si="150"/>
        <v>0.36855224192837371</v>
      </c>
      <c r="K716">
        <f t="shared" si="151"/>
        <v>0.99997345691569794</v>
      </c>
      <c r="L716">
        <f t="shared" si="152"/>
        <v>-2.654343657595109E-5</v>
      </c>
      <c r="M716">
        <f t="shared" si="153"/>
        <v>0.5714285714285714</v>
      </c>
      <c r="N716">
        <f t="shared" si="154"/>
        <v>0.42857142857142855</v>
      </c>
      <c r="P716">
        <f t="shared" si="155"/>
        <v>193.5</v>
      </c>
      <c r="Q716">
        <f t="shared" si="156"/>
        <v>484.5</v>
      </c>
    </row>
    <row r="717" spans="1:17" x14ac:dyDescent="0.35">
      <c r="A717">
        <v>2023</v>
      </c>
      <c r="B717" s="18">
        <v>160</v>
      </c>
      <c r="C717" s="20">
        <v>38</v>
      </c>
      <c r="D717" s="12">
        <f t="shared" si="144"/>
        <v>20</v>
      </c>
      <c r="E717" s="27">
        <f t="shared" si="145"/>
        <v>0.4</v>
      </c>
      <c r="F717" s="27">
        <f t="shared" si="146"/>
        <v>0.76</v>
      </c>
      <c r="G717">
        <f t="shared" si="147"/>
        <v>58</v>
      </c>
      <c r="H717">
        <f t="shared" si="148"/>
        <v>1</v>
      </c>
      <c r="I717">
        <f t="shared" si="149"/>
        <v>-0.75800686170335885</v>
      </c>
      <c r="J717">
        <f t="shared" si="150"/>
        <v>0.83070826225106287</v>
      </c>
      <c r="K717">
        <f t="shared" si="151"/>
        <v>0.99961516467151212</v>
      </c>
      <c r="L717">
        <f t="shared" si="152"/>
        <v>-3.8490939660619733E-4</v>
      </c>
      <c r="M717">
        <f t="shared" si="153"/>
        <v>0.65517241379310343</v>
      </c>
      <c r="N717">
        <f t="shared" si="154"/>
        <v>0.34482758620689657</v>
      </c>
      <c r="P717">
        <f t="shared" si="155"/>
        <v>908</v>
      </c>
      <c r="Q717">
        <f t="shared" si="156"/>
        <v>297.5</v>
      </c>
    </row>
    <row r="718" spans="1:17" x14ac:dyDescent="0.35">
      <c r="A718">
        <v>2023</v>
      </c>
      <c r="B718" s="18">
        <v>237</v>
      </c>
      <c r="C718" s="20">
        <v>17</v>
      </c>
      <c r="D718" s="12">
        <f t="shared" si="144"/>
        <v>29.625</v>
      </c>
      <c r="E718" s="27">
        <f t="shared" si="145"/>
        <v>0.59250000000000003</v>
      </c>
      <c r="F718" s="27">
        <f t="shared" si="146"/>
        <v>0.34</v>
      </c>
      <c r="G718">
        <f t="shared" si="147"/>
        <v>46.625</v>
      </c>
      <c r="H718">
        <f t="shared" si="148"/>
        <v>0</v>
      </c>
      <c r="I718">
        <f t="shared" si="149"/>
        <v>1.9793835574577048</v>
      </c>
      <c r="J718">
        <f t="shared" si="150"/>
        <v>-1.5956108444430555</v>
      </c>
      <c r="K718">
        <f t="shared" si="151"/>
        <v>0.11426387961619071</v>
      </c>
      <c r="L718">
        <f t="shared" si="152"/>
        <v>-0.12133620526188779</v>
      </c>
      <c r="M718">
        <f t="shared" si="153"/>
        <v>0.36461126005361932</v>
      </c>
      <c r="N718">
        <f t="shared" si="154"/>
        <v>0.63538873994638068</v>
      </c>
      <c r="P718">
        <f t="shared" si="155"/>
        <v>49</v>
      </c>
      <c r="Q718">
        <f t="shared" si="156"/>
        <v>1063.5</v>
      </c>
    </row>
    <row r="719" spans="1:17" x14ac:dyDescent="0.35">
      <c r="A719">
        <v>2023</v>
      </c>
      <c r="B719" s="18">
        <v>166</v>
      </c>
      <c r="C719" s="20">
        <v>38</v>
      </c>
      <c r="D719" s="12">
        <f t="shared" si="144"/>
        <v>20.75</v>
      </c>
      <c r="E719" s="27">
        <f t="shared" si="145"/>
        <v>0.41499999999999998</v>
      </c>
      <c r="F719" s="27">
        <f t="shared" si="146"/>
        <v>0.76</v>
      </c>
      <c r="G719">
        <f t="shared" si="147"/>
        <v>58.75</v>
      </c>
      <c r="H719">
        <f t="shared" si="148"/>
        <v>1</v>
      </c>
      <c r="I719">
        <f t="shared" si="149"/>
        <v>-0.5447037121583409</v>
      </c>
      <c r="J719">
        <f t="shared" si="150"/>
        <v>0.83070826225106287</v>
      </c>
      <c r="K719">
        <f t="shared" si="151"/>
        <v>0.99984860394344544</v>
      </c>
      <c r="L719">
        <f t="shared" si="152"/>
        <v>-1.514075180943707E-4</v>
      </c>
      <c r="M719">
        <f t="shared" si="153"/>
        <v>0.64680851063829792</v>
      </c>
      <c r="N719">
        <f t="shared" si="154"/>
        <v>0.35319148936170214</v>
      </c>
      <c r="P719">
        <f t="shared" si="155"/>
        <v>809</v>
      </c>
      <c r="Q719">
        <f t="shared" si="156"/>
        <v>297.5</v>
      </c>
    </row>
    <row r="720" spans="1:17" x14ac:dyDescent="0.35">
      <c r="A720">
        <v>2023</v>
      </c>
      <c r="B720" s="18">
        <v>154</v>
      </c>
      <c r="C720" s="20">
        <v>32</v>
      </c>
      <c r="D720" s="12">
        <f t="shared" si="144"/>
        <v>19.25</v>
      </c>
      <c r="E720" s="27">
        <f t="shared" si="145"/>
        <v>0.38500000000000001</v>
      </c>
      <c r="F720" s="27">
        <f t="shared" si="146"/>
        <v>0.64</v>
      </c>
      <c r="G720">
        <f t="shared" si="147"/>
        <v>51.25</v>
      </c>
      <c r="H720">
        <f t="shared" si="148"/>
        <v>1</v>
      </c>
      <c r="I720">
        <f t="shared" si="149"/>
        <v>-0.97131001124837679</v>
      </c>
      <c r="J720">
        <f t="shared" si="150"/>
        <v>0.13747423176702911</v>
      </c>
      <c r="K720">
        <f t="shared" si="151"/>
        <v>0.66287224339170925</v>
      </c>
      <c r="L720">
        <f t="shared" si="152"/>
        <v>-0.41117300209776025</v>
      </c>
      <c r="M720">
        <f t="shared" si="153"/>
        <v>0.62439024390243902</v>
      </c>
      <c r="N720">
        <f t="shared" si="154"/>
        <v>0.37560975609756098</v>
      </c>
      <c r="P720">
        <f t="shared" si="155"/>
        <v>995.5</v>
      </c>
      <c r="Q720">
        <f t="shared" si="156"/>
        <v>564</v>
      </c>
    </row>
    <row r="721" spans="1:17" x14ac:dyDescent="0.35">
      <c r="A721">
        <v>2023</v>
      </c>
      <c r="B721" s="18">
        <v>146</v>
      </c>
      <c r="C721" s="20">
        <v>10</v>
      </c>
      <c r="D721" s="12">
        <f t="shared" si="144"/>
        <v>18.25</v>
      </c>
      <c r="E721" s="27">
        <f t="shared" si="145"/>
        <v>0.36499999999999999</v>
      </c>
      <c r="F721" s="27">
        <f t="shared" si="146"/>
        <v>0.2</v>
      </c>
      <c r="G721">
        <f t="shared" si="147"/>
        <v>28.25</v>
      </c>
      <c r="H721">
        <f t="shared" si="148"/>
        <v>0</v>
      </c>
      <c r="I721">
        <f t="shared" si="149"/>
        <v>-1.2557142106417341</v>
      </c>
      <c r="J721">
        <f t="shared" si="150"/>
        <v>-2.4043838800077615</v>
      </c>
      <c r="K721">
        <f t="shared" si="151"/>
        <v>6.249760214555608E-11</v>
      </c>
      <c r="L721">
        <f t="shared" si="152"/>
        <v>-6.2497562682571986E-11</v>
      </c>
      <c r="M721">
        <f t="shared" si="153"/>
        <v>0.35398230088495575</v>
      </c>
      <c r="N721">
        <f t="shared" si="154"/>
        <v>0.64601769911504425</v>
      </c>
      <c r="P721">
        <f t="shared" si="155"/>
        <v>1079</v>
      </c>
      <c r="Q721">
        <f t="shared" si="156"/>
        <v>1135</v>
      </c>
    </row>
    <row r="722" spans="1:17" x14ac:dyDescent="0.35">
      <c r="A722">
        <v>2023</v>
      </c>
      <c r="B722" s="18">
        <v>181</v>
      </c>
      <c r="C722" s="20">
        <v>15</v>
      </c>
      <c r="D722" s="12">
        <f t="shared" si="144"/>
        <v>22.625</v>
      </c>
      <c r="E722" s="27">
        <f t="shared" si="145"/>
        <v>0.45250000000000001</v>
      </c>
      <c r="F722" s="27">
        <f t="shared" si="146"/>
        <v>0.3</v>
      </c>
      <c r="G722">
        <f t="shared" si="147"/>
        <v>37.625</v>
      </c>
      <c r="H722">
        <f t="shared" si="148"/>
        <v>0</v>
      </c>
      <c r="I722">
        <f t="shared" si="149"/>
        <v>-1.1445838295796084E-2</v>
      </c>
      <c r="J722">
        <f t="shared" si="150"/>
        <v>-1.8266888546044</v>
      </c>
      <c r="K722">
        <f t="shared" si="151"/>
        <v>2.648133759976592E-6</v>
      </c>
      <c r="L722">
        <f t="shared" si="152"/>
        <v>-2.6481372662539464E-6</v>
      </c>
      <c r="M722">
        <f t="shared" si="153"/>
        <v>0.39867109634551495</v>
      </c>
      <c r="N722">
        <f t="shared" si="154"/>
        <v>0.6013289036544851</v>
      </c>
      <c r="P722">
        <f t="shared" si="155"/>
        <v>505</v>
      </c>
      <c r="Q722">
        <f t="shared" si="156"/>
        <v>1094</v>
      </c>
    </row>
    <row r="723" spans="1:17" x14ac:dyDescent="0.35">
      <c r="A723">
        <v>2023</v>
      </c>
      <c r="B723" s="18">
        <v>167</v>
      </c>
      <c r="C723" s="20">
        <v>36</v>
      </c>
      <c r="D723" s="12">
        <f t="shared" si="144"/>
        <v>20.875</v>
      </c>
      <c r="E723" s="27">
        <f t="shared" si="145"/>
        <v>0.41749999999999998</v>
      </c>
      <c r="F723" s="27">
        <f t="shared" si="146"/>
        <v>0.72</v>
      </c>
      <c r="G723">
        <f t="shared" si="147"/>
        <v>56.875</v>
      </c>
      <c r="H723">
        <f t="shared" si="148"/>
        <v>1</v>
      </c>
      <c r="I723">
        <f t="shared" si="149"/>
        <v>-0.50915318723417125</v>
      </c>
      <c r="J723">
        <f t="shared" si="150"/>
        <v>0.59963025208971832</v>
      </c>
      <c r="K723">
        <f t="shared" si="151"/>
        <v>0.99895911040577534</v>
      </c>
      <c r="L723">
        <f t="shared" si="152"/>
        <v>-1.0414316960097275E-3</v>
      </c>
      <c r="M723">
        <f t="shared" si="153"/>
        <v>0.63296703296703294</v>
      </c>
      <c r="N723">
        <f t="shared" si="154"/>
        <v>0.36703296703296701</v>
      </c>
      <c r="P723">
        <f t="shared" si="155"/>
        <v>789.5</v>
      </c>
      <c r="Q723">
        <f t="shared" si="156"/>
        <v>403.5</v>
      </c>
    </row>
    <row r="724" spans="1:17" x14ac:dyDescent="0.35">
      <c r="A724">
        <v>2023</v>
      </c>
      <c r="B724" s="18">
        <v>170</v>
      </c>
      <c r="C724" s="20">
        <v>9</v>
      </c>
      <c r="D724" s="12">
        <f t="shared" si="144"/>
        <v>21.25</v>
      </c>
      <c r="E724" s="27">
        <f t="shared" si="145"/>
        <v>0.42499999999999999</v>
      </c>
      <c r="F724" s="27">
        <f t="shared" si="146"/>
        <v>0.18</v>
      </c>
      <c r="G724">
        <f t="shared" si="147"/>
        <v>30.25</v>
      </c>
      <c r="H724">
        <f t="shared" si="148"/>
        <v>0</v>
      </c>
      <c r="I724">
        <f t="shared" si="149"/>
        <v>-0.40250161246166233</v>
      </c>
      <c r="J724">
        <f t="shared" si="150"/>
        <v>-2.5199228850884339</v>
      </c>
      <c r="K724">
        <f t="shared" si="151"/>
        <v>9.2108633584635836E-10</v>
      </c>
      <c r="L724">
        <f t="shared" si="152"/>
        <v>-9.2108631875263461E-10</v>
      </c>
      <c r="M724">
        <f t="shared" si="153"/>
        <v>0.2975206611570248</v>
      </c>
      <c r="N724">
        <f t="shared" si="154"/>
        <v>0.7024793388429752</v>
      </c>
      <c r="P724">
        <f t="shared" si="155"/>
        <v>720</v>
      </c>
      <c r="Q724">
        <f t="shared" si="156"/>
        <v>1139.5</v>
      </c>
    </row>
    <row r="725" spans="1:17" x14ac:dyDescent="0.35">
      <c r="A725">
        <v>2023</v>
      </c>
      <c r="B725" s="18">
        <v>177</v>
      </c>
      <c r="C725" s="20">
        <v>42</v>
      </c>
      <c r="D725" s="12">
        <f t="shared" si="144"/>
        <v>22.125</v>
      </c>
      <c r="E725" s="27">
        <f t="shared" si="145"/>
        <v>0.4425</v>
      </c>
      <c r="F725" s="27">
        <f t="shared" si="146"/>
        <v>0.84</v>
      </c>
      <c r="G725">
        <f t="shared" si="147"/>
        <v>64.125</v>
      </c>
      <c r="H725">
        <f t="shared" si="148"/>
        <v>1</v>
      </c>
      <c r="I725">
        <f t="shared" si="149"/>
        <v>-0.15364793799247473</v>
      </c>
      <c r="J725">
        <f t="shared" si="150"/>
        <v>1.2928642825737522</v>
      </c>
      <c r="K725">
        <f t="shared" si="151"/>
        <v>0.99999957659140193</v>
      </c>
      <c r="L725">
        <f t="shared" si="152"/>
        <v>-4.2340868770888548E-7</v>
      </c>
      <c r="M725">
        <f t="shared" si="153"/>
        <v>0.65497076023391809</v>
      </c>
      <c r="N725">
        <f t="shared" si="154"/>
        <v>0.34502923976608185</v>
      </c>
      <c r="P725">
        <f t="shared" si="155"/>
        <v>585</v>
      </c>
      <c r="Q725">
        <f t="shared" si="156"/>
        <v>90.5</v>
      </c>
    </row>
    <row r="726" spans="1:17" x14ac:dyDescent="0.35">
      <c r="A726">
        <v>2023</v>
      </c>
      <c r="B726" s="18">
        <v>155</v>
      </c>
      <c r="C726" s="20">
        <v>38</v>
      </c>
      <c r="D726" s="12">
        <f t="shared" si="144"/>
        <v>19.375</v>
      </c>
      <c r="E726" s="27">
        <f t="shared" si="145"/>
        <v>0.38750000000000001</v>
      </c>
      <c r="F726" s="27">
        <f t="shared" si="146"/>
        <v>0.76</v>
      </c>
      <c r="G726">
        <f t="shared" si="147"/>
        <v>57.375</v>
      </c>
      <c r="H726">
        <f t="shared" si="148"/>
        <v>1</v>
      </c>
      <c r="I726">
        <f t="shared" si="149"/>
        <v>-0.93575948632420713</v>
      </c>
      <c r="J726">
        <f t="shared" si="150"/>
        <v>0.83070826225106287</v>
      </c>
      <c r="K726">
        <f t="shared" si="151"/>
        <v>0.99916286301136448</v>
      </c>
      <c r="L726">
        <f t="shared" si="152"/>
        <v>-8.3748758348199236E-4</v>
      </c>
      <c r="M726">
        <f t="shared" si="153"/>
        <v>0.66230936819172115</v>
      </c>
      <c r="N726">
        <f t="shared" si="154"/>
        <v>0.33769063180827885</v>
      </c>
      <c r="P726">
        <f t="shared" si="155"/>
        <v>985</v>
      </c>
      <c r="Q726">
        <f t="shared" si="156"/>
        <v>297.5</v>
      </c>
    </row>
    <row r="727" spans="1:17" x14ac:dyDescent="0.35">
      <c r="A727">
        <v>2023</v>
      </c>
      <c r="B727" s="18">
        <v>190</v>
      </c>
      <c r="C727" s="20">
        <v>43</v>
      </c>
      <c r="D727" s="12">
        <f t="shared" si="144"/>
        <v>23.75</v>
      </c>
      <c r="E727" s="27">
        <f t="shared" si="145"/>
        <v>0.47499999999999998</v>
      </c>
      <c r="F727" s="27">
        <f t="shared" si="146"/>
        <v>0.86</v>
      </c>
      <c r="G727">
        <f t="shared" si="147"/>
        <v>66.75</v>
      </c>
      <c r="H727">
        <f t="shared" si="148"/>
        <v>1</v>
      </c>
      <c r="I727">
        <f t="shared" si="149"/>
        <v>0.30850888602173082</v>
      </c>
      <c r="J727">
        <f t="shared" si="150"/>
        <v>1.4084032876544244</v>
      </c>
      <c r="K727">
        <f t="shared" si="151"/>
        <v>0.99999998022654668</v>
      </c>
      <c r="L727">
        <f t="shared" si="152"/>
        <v>-1.9773453514655425E-8</v>
      </c>
      <c r="M727">
        <f t="shared" si="153"/>
        <v>0.64419475655430714</v>
      </c>
      <c r="N727">
        <f t="shared" si="154"/>
        <v>0.35580524344569286</v>
      </c>
      <c r="P727">
        <f t="shared" si="155"/>
        <v>341</v>
      </c>
      <c r="Q727">
        <f t="shared" si="156"/>
        <v>53.5</v>
      </c>
    </row>
    <row r="728" spans="1:17" x14ac:dyDescent="0.35">
      <c r="A728">
        <v>2023</v>
      </c>
      <c r="B728" s="18">
        <v>198</v>
      </c>
      <c r="C728" s="20">
        <v>25</v>
      </c>
      <c r="D728" s="12">
        <f t="shared" si="144"/>
        <v>24.75</v>
      </c>
      <c r="E728" s="27">
        <f t="shared" si="145"/>
        <v>0.495</v>
      </c>
      <c r="F728" s="27">
        <f t="shared" si="146"/>
        <v>0.5</v>
      </c>
      <c r="G728">
        <f t="shared" si="147"/>
        <v>49.75</v>
      </c>
      <c r="H728">
        <f t="shared" si="148"/>
        <v>0</v>
      </c>
      <c r="I728">
        <f t="shared" si="149"/>
        <v>0.59291308541508814</v>
      </c>
      <c r="J728">
        <f t="shared" si="150"/>
        <v>-0.67129880379767704</v>
      </c>
      <c r="K728">
        <f t="shared" si="151"/>
        <v>0.55576823323379265</v>
      </c>
      <c r="L728">
        <f t="shared" si="152"/>
        <v>-0.81140885552188113</v>
      </c>
      <c r="M728">
        <f t="shared" si="153"/>
        <v>0.50251256281407031</v>
      </c>
      <c r="N728">
        <f t="shared" si="154"/>
        <v>0.49748743718592964</v>
      </c>
      <c r="P728">
        <f t="shared" si="155"/>
        <v>251</v>
      </c>
      <c r="Q728">
        <f t="shared" si="156"/>
        <v>835</v>
      </c>
    </row>
    <row r="729" spans="1:17" x14ac:dyDescent="0.35">
      <c r="A729">
        <v>2023</v>
      </c>
      <c r="B729" s="18">
        <v>198</v>
      </c>
      <c r="C729" s="20">
        <v>18</v>
      </c>
      <c r="D729" s="12">
        <f t="shared" si="144"/>
        <v>24.75</v>
      </c>
      <c r="E729" s="27">
        <f t="shared" si="145"/>
        <v>0.495</v>
      </c>
      <c r="F729" s="27">
        <f t="shared" si="146"/>
        <v>0.36</v>
      </c>
      <c r="G729">
        <f t="shared" si="147"/>
        <v>42.75</v>
      </c>
      <c r="H729">
        <f t="shared" si="148"/>
        <v>0</v>
      </c>
      <c r="I729">
        <f t="shared" si="149"/>
        <v>0.59291308541508814</v>
      </c>
      <c r="J729">
        <f t="shared" si="150"/>
        <v>-1.4800718393623831</v>
      </c>
      <c r="K729">
        <f t="shared" si="151"/>
        <v>8.4848569957219331E-4</v>
      </c>
      <c r="L729">
        <f t="shared" si="152"/>
        <v>-8.4884586730923852E-4</v>
      </c>
      <c r="M729">
        <f t="shared" si="153"/>
        <v>0.42105263157894735</v>
      </c>
      <c r="N729">
        <f t="shared" si="154"/>
        <v>0.57894736842105265</v>
      </c>
      <c r="P729">
        <f t="shared" si="155"/>
        <v>251</v>
      </c>
      <c r="Q729">
        <f t="shared" si="156"/>
        <v>1044.5</v>
      </c>
    </row>
    <row r="730" spans="1:17" x14ac:dyDescent="0.35">
      <c r="A730">
        <v>2023</v>
      </c>
      <c r="B730" s="18">
        <v>165</v>
      </c>
      <c r="C730" s="20">
        <v>26</v>
      </c>
      <c r="D730" s="12">
        <f t="shared" si="144"/>
        <v>20.625</v>
      </c>
      <c r="E730" s="27">
        <f t="shared" si="145"/>
        <v>0.41249999999999998</v>
      </c>
      <c r="F730" s="27">
        <f t="shared" si="146"/>
        <v>0.52</v>
      </c>
      <c r="G730">
        <f t="shared" si="147"/>
        <v>46.625</v>
      </c>
      <c r="H730">
        <f t="shared" si="148"/>
        <v>0</v>
      </c>
      <c r="I730">
        <f t="shared" si="149"/>
        <v>-0.58025423708251056</v>
      </c>
      <c r="J730">
        <f t="shared" si="150"/>
        <v>-0.55575979871700476</v>
      </c>
      <c r="K730">
        <f t="shared" si="151"/>
        <v>2.0509481919362995E-2</v>
      </c>
      <c r="L730">
        <f t="shared" si="152"/>
        <v>-2.0722722011280757E-2</v>
      </c>
      <c r="M730">
        <f t="shared" si="153"/>
        <v>0.55764075067024133</v>
      </c>
      <c r="N730">
        <f t="shared" si="154"/>
        <v>0.44235924932975873</v>
      </c>
      <c r="P730">
        <f t="shared" si="155"/>
        <v>826.5</v>
      </c>
      <c r="Q730">
        <f t="shared" si="156"/>
        <v>796</v>
      </c>
    </row>
    <row r="731" spans="1:17" x14ac:dyDescent="0.35">
      <c r="A731">
        <v>2023</v>
      </c>
      <c r="B731" s="18">
        <v>168</v>
      </c>
      <c r="C731" s="20">
        <v>40</v>
      </c>
      <c r="D731" s="12">
        <f t="shared" si="144"/>
        <v>21</v>
      </c>
      <c r="E731" s="27">
        <f t="shared" si="145"/>
        <v>0.42</v>
      </c>
      <c r="F731" s="27">
        <f t="shared" si="146"/>
        <v>0.8</v>
      </c>
      <c r="G731">
        <f t="shared" si="147"/>
        <v>61</v>
      </c>
      <c r="H731">
        <f t="shared" si="148"/>
        <v>1</v>
      </c>
      <c r="I731">
        <f t="shared" si="149"/>
        <v>-0.47360266231000164</v>
      </c>
      <c r="J731">
        <f t="shared" si="150"/>
        <v>1.0617862724124074</v>
      </c>
      <c r="K731">
        <f t="shared" si="151"/>
        <v>0.99998620039042407</v>
      </c>
      <c r="L731">
        <f t="shared" si="152"/>
        <v>-1.3799704791414481E-5</v>
      </c>
      <c r="M731">
        <f t="shared" si="153"/>
        <v>0.65573770491803274</v>
      </c>
      <c r="N731">
        <f t="shared" si="154"/>
        <v>0.34426229508196721</v>
      </c>
      <c r="P731">
        <f t="shared" si="155"/>
        <v>767</v>
      </c>
      <c r="Q731">
        <f t="shared" si="156"/>
        <v>173</v>
      </c>
    </row>
    <row r="732" spans="1:17" x14ac:dyDescent="0.35">
      <c r="A732">
        <v>2023</v>
      </c>
      <c r="B732" s="18">
        <v>200</v>
      </c>
      <c r="C732" s="20">
        <v>38</v>
      </c>
      <c r="D732" s="12">
        <f t="shared" si="144"/>
        <v>25</v>
      </c>
      <c r="E732" s="27">
        <f t="shared" si="145"/>
        <v>0.5</v>
      </c>
      <c r="F732" s="27">
        <f t="shared" si="146"/>
        <v>0.76</v>
      </c>
      <c r="G732">
        <f t="shared" si="147"/>
        <v>63</v>
      </c>
      <c r="H732">
        <f t="shared" si="148"/>
        <v>1</v>
      </c>
      <c r="I732">
        <f t="shared" si="149"/>
        <v>0.66401413526342745</v>
      </c>
      <c r="J732">
        <f t="shared" si="150"/>
        <v>0.83070826225106287</v>
      </c>
      <c r="K732">
        <f t="shared" si="151"/>
        <v>0.99999923493811016</v>
      </c>
      <c r="L732">
        <f t="shared" si="152"/>
        <v>-7.6506218250026531E-7</v>
      </c>
      <c r="M732">
        <f t="shared" si="153"/>
        <v>0.60317460317460314</v>
      </c>
      <c r="N732">
        <f t="shared" si="154"/>
        <v>0.3968253968253968</v>
      </c>
      <c r="P732">
        <f t="shared" si="155"/>
        <v>229</v>
      </c>
      <c r="Q732">
        <f t="shared" si="156"/>
        <v>297.5</v>
      </c>
    </row>
    <row r="733" spans="1:17" x14ac:dyDescent="0.35">
      <c r="A733">
        <v>2023</v>
      </c>
      <c r="B733" s="18">
        <v>203</v>
      </c>
      <c r="C733" s="20">
        <v>23</v>
      </c>
      <c r="D733" s="12">
        <f t="shared" si="144"/>
        <v>25.375</v>
      </c>
      <c r="E733" s="27">
        <f t="shared" si="145"/>
        <v>0.50749999999999995</v>
      </c>
      <c r="F733" s="27">
        <f t="shared" si="146"/>
        <v>0.46</v>
      </c>
      <c r="G733">
        <f t="shared" si="147"/>
        <v>48.375</v>
      </c>
      <c r="H733">
        <f t="shared" si="148"/>
        <v>0</v>
      </c>
      <c r="I733">
        <f t="shared" si="149"/>
        <v>0.77066571003593642</v>
      </c>
      <c r="J733">
        <f t="shared" si="150"/>
        <v>-0.90237681395902158</v>
      </c>
      <c r="K733">
        <f t="shared" si="151"/>
        <v>0.25299219844061593</v>
      </c>
      <c r="L733">
        <f t="shared" si="152"/>
        <v>-0.29167965004925928</v>
      </c>
      <c r="M733">
        <f t="shared" si="153"/>
        <v>0.47545219638242892</v>
      </c>
      <c r="N733">
        <f t="shared" si="154"/>
        <v>0.52454780361757103</v>
      </c>
      <c r="P733">
        <f t="shared" si="155"/>
        <v>203</v>
      </c>
      <c r="Q733">
        <f t="shared" si="156"/>
        <v>904</v>
      </c>
    </row>
    <row r="734" spans="1:17" x14ac:dyDescent="0.35">
      <c r="A734">
        <v>2023</v>
      </c>
      <c r="B734" s="18">
        <v>193</v>
      </c>
      <c r="C734" s="20">
        <v>38</v>
      </c>
      <c r="D734" s="12">
        <f t="shared" si="144"/>
        <v>24.125</v>
      </c>
      <c r="E734" s="27">
        <f t="shared" si="145"/>
        <v>0.48249999999999998</v>
      </c>
      <c r="F734" s="27">
        <f t="shared" si="146"/>
        <v>0.76</v>
      </c>
      <c r="G734">
        <f t="shared" si="147"/>
        <v>62.125</v>
      </c>
      <c r="H734">
        <f t="shared" si="148"/>
        <v>1</v>
      </c>
      <c r="I734">
        <f t="shared" si="149"/>
        <v>0.41516046079423979</v>
      </c>
      <c r="J734">
        <f t="shared" si="150"/>
        <v>0.83070826225106287</v>
      </c>
      <c r="K734">
        <f t="shared" si="151"/>
        <v>0.99999772751343807</v>
      </c>
      <c r="L734">
        <f t="shared" si="152"/>
        <v>-2.2724891440287439E-6</v>
      </c>
      <c r="M734">
        <f t="shared" si="153"/>
        <v>0.61167002012072436</v>
      </c>
      <c r="N734">
        <f t="shared" si="154"/>
        <v>0.38832997987927564</v>
      </c>
      <c r="P734">
        <f t="shared" si="155"/>
        <v>307</v>
      </c>
      <c r="Q734">
        <f t="shared" si="156"/>
        <v>297.5</v>
      </c>
    </row>
    <row r="735" spans="1:17" x14ac:dyDescent="0.35">
      <c r="A735">
        <v>2023</v>
      </c>
      <c r="B735" s="18">
        <v>203</v>
      </c>
      <c r="C735" s="20">
        <v>42</v>
      </c>
      <c r="D735" s="12">
        <f t="shared" si="144"/>
        <v>25.375</v>
      </c>
      <c r="E735" s="27">
        <f t="shared" si="145"/>
        <v>0.50749999999999995</v>
      </c>
      <c r="F735" s="27">
        <f t="shared" si="146"/>
        <v>0.84</v>
      </c>
      <c r="G735">
        <f t="shared" si="147"/>
        <v>67.375</v>
      </c>
      <c r="H735">
        <f t="shared" si="148"/>
        <v>1</v>
      </c>
      <c r="I735">
        <f t="shared" si="149"/>
        <v>0.77066571003593642</v>
      </c>
      <c r="J735">
        <f t="shared" si="150"/>
        <v>1.2928642825737522</v>
      </c>
      <c r="K735">
        <f t="shared" si="151"/>
        <v>0.9999999925762133</v>
      </c>
      <c r="L735">
        <f t="shared" si="152"/>
        <v>-7.423786724048434E-9</v>
      </c>
      <c r="M735">
        <f t="shared" si="153"/>
        <v>0.62337662337662336</v>
      </c>
      <c r="N735">
        <f t="shared" si="154"/>
        <v>0.37662337662337664</v>
      </c>
      <c r="P735">
        <f t="shared" si="155"/>
        <v>203</v>
      </c>
      <c r="Q735">
        <f t="shared" si="156"/>
        <v>90.5</v>
      </c>
    </row>
    <row r="736" spans="1:17" x14ac:dyDescent="0.35">
      <c r="A736">
        <v>2023</v>
      </c>
      <c r="B736" s="18">
        <v>186</v>
      </c>
      <c r="C736" s="20">
        <v>27</v>
      </c>
      <c r="D736" s="12">
        <f t="shared" si="144"/>
        <v>23.25</v>
      </c>
      <c r="E736" s="27">
        <f t="shared" si="145"/>
        <v>0.46500000000000002</v>
      </c>
      <c r="F736" s="27">
        <f t="shared" si="146"/>
        <v>0.54</v>
      </c>
      <c r="G736">
        <f t="shared" si="147"/>
        <v>50.25</v>
      </c>
      <c r="H736">
        <f t="shared" si="148"/>
        <v>1</v>
      </c>
      <c r="I736">
        <f t="shared" si="149"/>
        <v>0.16630678632505219</v>
      </c>
      <c r="J736">
        <f t="shared" si="150"/>
        <v>-0.44022079363633243</v>
      </c>
      <c r="K736">
        <f t="shared" si="151"/>
        <v>0.60874791145382723</v>
      </c>
      <c r="L736">
        <f t="shared" si="152"/>
        <v>-0.49635103546789283</v>
      </c>
      <c r="M736">
        <f t="shared" si="153"/>
        <v>0.53731343283582089</v>
      </c>
      <c r="N736">
        <f t="shared" si="154"/>
        <v>0.46268656716417911</v>
      </c>
      <c r="P736">
        <f t="shared" si="155"/>
        <v>411.5</v>
      </c>
      <c r="Q736">
        <f t="shared" si="156"/>
        <v>752.5</v>
      </c>
    </row>
    <row r="737" spans="1:17" x14ac:dyDescent="0.35">
      <c r="A737">
        <v>2023</v>
      </c>
      <c r="B737" s="18">
        <v>174</v>
      </c>
      <c r="C737" s="20">
        <v>24</v>
      </c>
      <c r="D737" s="12">
        <f t="shared" si="144"/>
        <v>21.75</v>
      </c>
      <c r="E737" s="27">
        <f t="shared" si="145"/>
        <v>0.435</v>
      </c>
      <c r="F737" s="27">
        <f t="shared" si="146"/>
        <v>0.48</v>
      </c>
      <c r="G737">
        <f t="shared" si="147"/>
        <v>45.75</v>
      </c>
      <c r="H737">
        <f t="shared" si="148"/>
        <v>0</v>
      </c>
      <c r="I737">
        <f t="shared" si="149"/>
        <v>-0.2602995127649837</v>
      </c>
      <c r="J737">
        <f t="shared" si="150"/>
        <v>-0.78683780887834931</v>
      </c>
      <c r="K737">
        <f t="shared" si="151"/>
        <v>1.0448769292410735E-2</v>
      </c>
      <c r="L737">
        <f t="shared" si="152"/>
        <v>-1.050374094162174E-2</v>
      </c>
      <c r="M737">
        <f t="shared" si="153"/>
        <v>0.52459016393442626</v>
      </c>
      <c r="N737">
        <f t="shared" si="154"/>
        <v>0.47540983606557374</v>
      </c>
      <c r="P737">
        <f t="shared" si="155"/>
        <v>653</v>
      </c>
      <c r="Q737">
        <f t="shared" si="156"/>
        <v>870</v>
      </c>
    </row>
    <row r="738" spans="1:17" x14ac:dyDescent="0.35">
      <c r="A738">
        <v>2023</v>
      </c>
      <c r="B738" s="18">
        <v>198</v>
      </c>
      <c r="C738" s="20">
        <v>36</v>
      </c>
      <c r="D738" s="12">
        <f t="shared" si="144"/>
        <v>24.75</v>
      </c>
      <c r="E738" s="27">
        <f t="shared" si="145"/>
        <v>0.495</v>
      </c>
      <c r="F738" s="27">
        <f t="shared" si="146"/>
        <v>0.72</v>
      </c>
      <c r="G738">
        <f t="shared" si="147"/>
        <v>60.75</v>
      </c>
      <c r="H738">
        <f t="shared" si="148"/>
        <v>1</v>
      </c>
      <c r="I738">
        <f t="shared" si="149"/>
        <v>0.59291308541508814</v>
      </c>
      <c r="J738">
        <f t="shared" si="150"/>
        <v>0.59963025208971832</v>
      </c>
      <c r="K738">
        <f t="shared" si="151"/>
        <v>0.9999916053850274</v>
      </c>
      <c r="L738">
        <f t="shared" si="152"/>
        <v>-8.3946502075729854E-6</v>
      </c>
      <c r="M738">
        <f t="shared" si="153"/>
        <v>0.59259259259259256</v>
      </c>
      <c r="N738">
        <f t="shared" si="154"/>
        <v>0.40740740740740738</v>
      </c>
      <c r="P738">
        <f t="shared" si="155"/>
        <v>251</v>
      </c>
      <c r="Q738">
        <f t="shared" si="156"/>
        <v>403.5</v>
      </c>
    </row>
    <row r="739" spans="1:17" x14ac:dyDescent="0.35">
      <c r="A739">
        <v>2023</v>
      </c>
      <c r="B739" s="18">
        <v>153</v>
      </c>
      <c r="C739" s="20">
        <v>30</v>
      </c>
      <c r="D739" s="12">
        <f t="shared" si="144"/>
        <v>19.125</v>
      </c>
      <c r="E739" s="27">
        <f t="shared" si="145"/>
        <v>0.38250000000000001</v>
      </c>
      <c r="F739" s="27">
        <f t="shared" si="146"/>
        <v>0.6</v>
      </c>
      <c r="G739">
        <f t="shared" si="147"/>
        <v>49.125</v>
      </c>
      <c r="H739">
        <f t="shared" si="148"/>
        <v>0</v>
      </c>
      <c r="I739">
        <f t="shared" si="149"/>
        <v>-1.0068605361725464</v>
      </c>
      <c r="J739">
        <f t="shared" si="150"/>
        <v>-9.3603778394315509E-2</v>
      </c>
      <c r="K739">
        <f t="shared" si="151"/>
        <v>0.17310901474307486</v>
      </c>
      <c r="L739">
        <f t="shared" si="152"/>
        <v>-0.19008241216744437</v>
      </c>
      <c r="M739">
        <f t="shared" si="153"/>
        <v>0.61068702290076338</v>
      </c>
      <c r="N739">
        <f t="shared" si="154"/>
        <v>0.38931297709923662</v>
      </c>
      <c r="P739">
        <f t="shared" si="155"/>
        <v>1004.5</v>
      </c>
      <c r="Q739">
        <f t="shared" si="156"/>
        <v>639</v>
      </c>
    </row>
    <row r="740" spans="1:17" x14ac:dyDescent="0.35">
      <c r="A740">
        <v>2023</v>
      </c>
      <c r="B740" s="18">
        <v>202</v>
      </c>
      <c r="C740" s="20">
        <v>19</v>
      </c>
      <c r="D740" s="12">
        <f t="shared" si="144"/>
        <v>25.25</v>
      </c>
      <c r="E740" s="27">
        <f t="shared" si="145"/>
        <v>0.505</v>
      </c>
      <c r="F740" s="27">
        <f t="shared" si="146"/>
        <v>0.38</v>
      </c>
      <c r="G740">
        <f t="shared" si="147"/>
        <v>44.25</v>
      </c>
      <c r="H740">
        <f t="shared" si="148"/>
        <v>0</v>
      </c>
      <c r="I740">
        <f t="shared" si="149"/>
        <v>0.73511518511176677</v>
      </c>
      <c r="J740">
        <f t="shared" si="150"/>
        <v>-1.3645328342817109</v>
      </c>
      <c r="K740">
        <f t="shared" si="151"/>
        <v>4.4653367372662674E-3</v>
      </c>
      <c r="L740">
        <f t="shared" si="152"/>
        <v>-4.4753361315664391E-3</v>
      </c>
      <c r="M740">
        <f t="shared" si="153"/>
        <v>0.42937853107344631</v>
      </c>
      <c r="N740">
        <f t="shared" si="154"/>
        <v>0.57062146892655363</v>
      </c>
      <c r="P740">
        <f t="shared" si="155"/>
        <v>211</v>
      </c>
      <c r="Q740">
        <f t="shared" si="156"/>
        <v>1022</v>
      </c>
    </row>
    <row r="741" spans="1:17" x14ac:dyDescent="0.35">
      <c r="A741">
        <v>2023</v>
      </c>
      <c r="B741" s="18">
        <v>290</v>
      </c>
      <c r="C741" s="20">
        <v>40</v>
      </c>
      <c r="D741" s="12">
        <f t="shared" si="144"/>
        <v>36.25</v>
      </c>
      <c r="E741" s="27">
        <f t="shared" si="145"/>
        <v>0.72499999999999998</v>
      </c>
      <c r="F741" s="27">
        <f t="shared" si="146"/>
        <v>0.8</v>
      </c>
      <c r="G741">
        <f t="shared" si="147"/>
        <v>76.25</v>
      </c>
      <c r="H741">
        <f t="shared" si="148"/>
        <v>1</v>
      </c>
      <c r="I741">
        <f t="shared" si="149"/>
        <v>3.8635613784386966</v>
      </c>
      <c r="J741">
        <f t="shared" si="150"/>
        <v>1.0617862724124074</v>
      </c>
      <c r="K741">
        <f t="shared" si="151"/>
        <v>0.99999999999992073</v>
      </c>
      <c r="L741">
        <f t="shared" si="152"/>
        <v>-7.926992395823932E-14</v>
      </c>
      <c r="M741">
        <f t="shared" si="153"/>
        <v>0.52459016393442626</v>
      </c>
      <c r="N741">
        <f t="shared" si="154"/>
        <v>0.47540983606557374</v>
      </c>
      <c r="P741">
        <f t="shared" si="155"/>
        <v>7</v>
      </c>
      <c r="Q741">
        <f t="shared" si="156"/>
        <v>173</v>
      </c>
    </row>
    <row r="742" spans="1:17" x14ac:dyDescent="0.35">
      <c r="A742">
        <v>2023</v>
      </c>
      <c r="B742" s="18">
        <v>159</v>
      </c>
      <c r="C742" s="20">
        <v>22</v>
      </c>
      <c r="D742" s="12">
        <f t="shared" si="144"/>
        <v>19.875</v>
      </c>
      <c r="E742" s="27">
        <f t="shared" si="145"/>
        <v>0.39750000000000002</v>
      </c>
      <c r="F742" s="27">
        <f t="shared" si="146"/>
        <v>0.44</v>
      </c>
      <c r="G742">
        <f t="shared" si="147"/>
        <v>41.875</v>
      </c>
      <c r="H742">
        <f t="shared" si="148"/>
        <v>0</v>
      </c>
      <c r="I742">
        <f t="shared" si="149"/>
        <v>-0.7935573866275285</v>
      </c>
      <c r="J742">
        <f t="shared" si="150"/>
        <v>-1.017915819039694</v>
      </c>
      <c r="K742">
        <f t="shared" si="151"/>
        <v>1.2740803145076937E-4</v>
      </c>
      <c r="L742">
        <f t="shared" si="152"/>
        <v>-1.2741614854342803E-4</v>
      </c>
      <c r="M742">
        <f t="shared" si="153"/>
        <v>0.52537313432835819</v>
      </c>
      <c r="N742">
        <f t="shared" si="154"/>
        <v>0.47462686567164181</v>
      </c>
      <c r="P742">
        <f t="shared" si="155"/>
        <v>923</v>
      </c>
      <c r="Q742">
        <f t="shared" si="156"/>
        <v>936.5</v>
      </c>
    </row>
    <row r="743" spans="1:17" x14ac:dyDescent="0.35">
      <c r="A743">
        <v>2023</v>
      </c>
      <c r="B743" s="18">
        <v>155</v>
      </c>
      <c r="C743" s="20">
        <v>36</v>
      </c>
      <c r="D743" s="12">
        <f t="shared" si="144"/>
        <v>19.375</v>
      </c>
      <c r="E743" s="27">
        <f t="shared" si="145"/>
        <v>0.38750000000000001</v>
      </c>
      <c r="F743" s="27">
        <f t="shared" si="146"/>
        <v>0.72</v>
      </c>
      <c r="G743">
        <f t="shared" si="147"/>
        <v>55.375</v>
      </c>
      <c r="H743">
        <f t="shared" si="148"/>
        <v>1</v>
      </c>
      <c r="I743">
        <f t="shared" si="149"/>
        <v>-0.93575948632420713</v>
      </c>
      <c r="J743">
        <f t="shared" si="150"/>
        <v>0.59963025208971832</v>
      </c>
      <c r="K743">
        <f t="shared" si="151"/>
        <v>0.99330940010421476</v>
      </c>
      <c r="L743">
        <f t="shared" si="152"/>
        <v>-6.7130822958755502E-3</v>
      </c>
      <c r="M743">
        <f t="shared" si="153"/>
        <v>0.65011286681715574</v>
      </c>
      <c r="N743">
        <f t="shared" si="154"/>
        <v>0.34988713318284426</v>
      </c>
      <c r="P743">
        <f t="shared" si="155"/>
        <v>985</v>
      </c>
      <c r="Q743">
        <f t="shared" si="156"/>
        <v>403.5</v>
      </c>
    </row>
    <row r="744" spans="1:17" x14ac:dyDescent="0.35">
      <c r="A744">
        <v>2023</v>
      </c>
      <c r="B744" s="18">
        <v>186</v>
      </c>
      <c r="C744" s="21">
        <v>13</v>
      </c>
      <c r="D744" s="12">
        <f t="shared" si="144"/>
        <v>23.25</v>
      </c>
      <c r="E744" s="27">
        <f t="shared" si="145"/>
        <v>0.46500000000000002</v>
      </c>
      <c r="F744" s="27">
        <f t="shared" si="146"/>
        <v>0.26</v>
      </c>
      <c r="G744">
        <f t="shared" si="147"/>
        <v>36.25</v>
      </c>
      <c r="H744">
        <f t="shared" si="148"/>
        <v>0</v>
      </c>
      <c r="I744">
        <f t="shared" si="149"/>
        <v>0.16630678632505219</v>
      </c>
      <c r="J744">
        <f t="shared" si="150"/>
        <v>-2.0577668647657448</v>
      </c>
      <c r="K744">
        <f t="shared" si="151"/>
        <v>7.1686708480177237E-7</v>
      </c>
      <c r="L744">
        <f t="shared" si="152"/>
        <v>-7.168673417538936E-7</v>
      </c>
      <c r="M744">
        <f t="shared" si="153"/>
        <v>0.35862068965517241</v>
      </c>
      <c r="N744">
        <f t="shared" si="154"/>
        <v>0.64137931034482754</v>
      </c>
      <c r="P744">
        <f t="shared" si="155"/>
        <v>411.5</v>
      </c>
      <c r="Q744">
        <f t="shared" si="156"/>
        <v>1116.5</v>
      </c>
    </row>
    <row r="745" spans="1:17" x14ac:dyDescent="0.35">
      <c r="A745">
        <v>2023</v>
      </c>
      <c r="B745" s="18">
        <v>169</v>
      </c>
      <c r="C745" s="20">
        <v>26</v>
      </c>
      <c r="D745" s="12">
        <f t="shared" si="144"/>
        <v>21.125</v>
      </c>
      <c r="E745" s="27">
        <f t="shared" si="145"/>
        <v>0.42249999999999999</v>
      </c>
      <c r="F745" s="27">
        <f t="shared" si="146"/>
        <v>0.52</v>
      </c>
      <c r="G745">
        <f t="shared" si="147"/>
        <v>47.125</v>
      </c>
      <c r="H745">
        <f t="shared" si="148"/>
        <v>0</v>
      </c>
      <c r="I745">
        <f t="shared" si="149"/>
        <v>-0.43805213738583199</v>
      </c>
      <c r="J745">
        <f t="shared" si="150"/>
        <v>-0.55575979871700476</v>
      </c>
      <c r="K745">
        <f t="shared" si="151"/>
        <v>3.7541447140586742E-2</v>
      </c>
      <c r="L745">
        <f t="shared" si="152"/>
        <v>-3.8264275711636701E-2</v>
      </c>
      <c r="M745">
        <f t="shared" si="153"/>
        <v>0.55172413793103448</v>
      </c>
      <c r="N745">
        <f t="shared" si="154"/>
        <v>0.44827586206896552</v>
      </c>
      <c r="P745">
        <f t="shared" si="155"/>
        <v>744.5</v>
      </c>
      <c r="Q745">
        <f t="shared" si="156"/>
        <v>796</v>
      </c>
    </row>
    <row r="746" spans="1:17" x14ac:dyDescent="0.35">
      <c r="A746">
        <v>2024</v>
      </c>
      <c r="B746" s="7">
        <v>275</v>
      </c>
      <c r="C746" s="22">
        <v>47</v>
      </c>
      <c r="D746" s="12">
        <f t="shared" si="144"/>
        <v>34.375</v>
      </c>
      <c r="E746" s="27">
        <f t="shared" si="145"/>
        <v>0.6875</v>
      </c>
      <c r="F746" s="27">
        <f t="shared" si="146"/>
        <v>0.94</v>
      </c>
      <c r="G746">
        <f t="shared" si="147"/>
        <v>81.375</v>
      </c>
      <c r="H746">
        <f t="shared" si="148"/>
        <v>1</v>
      </c>
      <c r="I746">
        <f t="shared" si="149"/>
        <v>3.3303035045761518</v>
      </c>
      <c r="J746">
        <f t="shared" si="150"/>
        <v>1.8705593079771137</v>
      </c>
      <c r="K746">
        <f t="shared" si="151"/>
        <v>0.99999999999999933</v>
      </c>
      <c r="L746">
        <f t="shared" si="152"/>
        <v>-6.6613381477509412E-16</v>
      </c>
      <c r="M746">
        <f t="shared" si="153"/>
        <v>0.57757296466973884</v>
      </c>
      <c r="N746">
        <f t="shared" si="154"/>
        <v>0.42242703533026116</v>
      </c>
      <c r="P746">
        <f t="shared" si="155"/>
        <v>15</v>
      </c>
      <c r="Q746">
        <f t="shared" si="156"/>
        <v>1.5</v>
      </c>
    </row>
    <row r="747" spans="1:17" x14ac:dyDescent="0.35">
      <c r="A747">
        <v>2024</v>
      </c>
      <c r="B747" s="7">
        <v>286</v>
      </c>
      <c r="C747" s="22">
        <v>40</v>
      </c>
      <c r="D747" s="12">
        <f t="shared" si="144"/>
        <v>35.75</v>
      </c>
      <c r="E747" s="27">
        <f t="shared" si="145"/>
        <v>0.71499999999999997</v>
      </c>
      <c r="F747" s="27">
        <f t="shared" si="146"/>
        <v>0.8</v>
      </c>
      <c r="G747">
        <f t="shared" si="147"/>
        <v>75.75</v>
      </c>
      <c r="H747">
        <f t="shared" si="148"/>
        <v>1</v>
      </c>
      <c r="I747">
        <f t="shared" si="149"/>
        <v>3.721359278742018</v>
      </c>
      <c r="J747">
        <f t="shared" si="150"/>
        <v>1.0617862724124074</v>
      </c>
      <c r="K747">
        <f t="shared" si="151"/>
        <v>0.99999999999985212</v>
      </c>
      <c r="L747">
        <f t="shared" si="152"/>
        <v>-1.4788170688008178E-13</v>
      </c>
      <c r="M747">
        <f t="shared" si="153"/>
        <v>0.528052805280528</v>
      </c>
      <c r="N747">
        <f t="shared" si="154"/>
        <v>0.47194719471947194</v>
      </c>
      <c r="P747">
        <f t="shared" si="155"/>
        <v>8.5</v>
      </c>
      <c r="Q747">
        <f t="shared" si="156"/>
        <v>173</v>
      </c>
    </row>
    <row r="748" spans="1:17" x14ac:dyDescent="0.35">
      <c r="A748">
        <v>2024</v>
      </c>
      <c r="B748" s="7">
        <v>228</v>
      </c>
      <c r="C748" s="22">
        <v>45</v>
      </c>
      <c r="D748" s="12">
        <f t="shared" si="144"/>
        <v>28.5</v>
      </c>
      <c r="E748" s="27">
        <f t="shared" si="145"/>
        <v>0.56999999999999995</v>
      </c>
      <c r="F748" s="27">
        <f t="shared" si="146"/>
        <v>0.9</v>
      </c>
      <c r="G748">
        <f t="shared" si="147"/>
        <v>73.5</v>
      </c>
      <c r="H748">
        <f t="shared" si="148"/>
        <v>1</v>
      </c>
      <c r="I748">
        <f t="shared" si="149"/>
        <v>1.6594288331401779</v>
      </c>
      <c r="J748">
        <f t="shared" si="150"/>
        <v>1.6394812978157691</v>
      </c>
      <c r="K748">
        <f t="shared" si="151"/>
        <v>0.99999999999332889</v>
      </c>
      <c r="L748">
        <f t="shared" si="152"/>
        <v>-6.6711081103898921E-12</v>
      </c>
      <c r="M748">
        <f t="shared" si="153"/>
        <v>0.61224489795918369</v>
      </c>
      <c r="N748">
        <f t="shared" si="154"/>
        <v>0.38775510204081631</v>
      </c>
      <c r="P748">
        <f t="shared" si="155"/>
        <v>66.5</v>
      </c>
      <c r="Q748">
        <f t="shared" si="156"/>
        <v>10.5</v>
      </c>
    </row>
    <row r="749" spans="1:17" x14ac:dyDescent="0.35">
      <c r="A749">
        <v>2024</v>
      </c>
      <c r="B749" s="7">
        <v>198</v>
      </c>
      <c r="C749" s="22">
        <v>47</v>
      </c>
      <c r="D749" s="12">
        <f t="shared" si="144"/>
        <v>24.75</v>
      </c>
      <c r="E749" s="27">
        <f t="shared" si="145"/>
        <v>0.495</v>
      </c>
      <c r="F749" s="27">
        <f t="shared" si="146"/>
        <v>0.94</v>
      </c>
      <c r="G749">
        <f t="shared" si="147"/>
        <v>71.75</v>
      </c>
      <c r="H749">
        <f t="shared" si="148"/>
        <v>1</v>
      </c>
      <c r="I749">
        <f t="shared" si="149"/>
        <v>0.59291308541508814</v>
      </c>
      <c r="J749">
        <f t="shared" si="150"/>
        <v>1.8705593079771137</v>
      </c>
      <c r="K749">
        <f t="shared" si="151"/>
        <v>0.99999999991183564</v>
      </c>
      <c r="L749">
        <f t="shared" si="152"/>
        <v>-8.8164364701604638E-11</v>
      </c>
      <c r="M749">
        <f t="shared" si="153"/>
        <v>0.65505226480836232</v>
      </c>
      <c r="N749">
        <f t="shared" si="154"/>
        <v>0.34494773519163763</v>
      </c>
      <c r="P749">
        <f t="shared" si="155"/>
        <v>251</v>
      </c>
      <c r="Q749">
        <f t="shared" si="156"/>
        <v>1.5</v>
      </c>
    </row>
    <row r="750" spans="1:17" x14ac:dyDescent="0.35">
      <c r="A750">
        <v>2024</v>
      </c>
      <c r="B750" s="7">
        <v>210</v>
      </c>
      <c r="C750" s="22">
        <v>45</v>
      </c>
      <c r="D750" s="12">
        <f t="shared" si="144"/>
        <v>26.25</v>
      </c>
      <c r="E750" s="27">
        <f t="shared" si="145"/>
        <v>0.52500000000000002</v>
      </c>
      <c r="F750" s="27">
        <f t="shared" si="146"/>
        <v>0.9</v>
      </c>
      <c r="G750">
        <f t="shared" si="147"/>
        <v>71.25</v>
      </c>
      <c r="H750">
        <f t="shared" si="148"/>
        <v>1</v>
      </c>
      <c r="I750">
        <f t="shared" si="149"/>
        <v>1.019519384505124</v>
      </c>
      <c r="J750">
        <f t="shared" si="150"/>
        <v>1.6394812978157691</v>
      </c>
      <c r="K750">
        <f t="shared" si="151"/>
        <v>0.99999999989035482</v>
      </c>
      <c r="L750">
        <f t="shared" si="152"/>
        <v>-1.0964518182878164E-10</v>
      </c>
      <c r="M750">
        <f t="shared" si="153"/>
        <v>0.63157894736842102</v>
      </c>
      <c r="N750">
        <f t="shared" si="154"/>
        <v>0.36842105263157893</v>
      </c>
      <c r="P750">
        <f t="shared" si="155"/>
        <v>138.5</v>
      </c>
      <c r="Q750">
        <f t="shared" si="156"/>
        <v>10.5</v>
      </c>
    </row>
    <row r="751" spans="1:17" x14ac:dyDescent="0.35">
      <c r="A751">
        <v>2024</v>
      </c>
      <c r="B751" s="7">
        <v>209</v>
      </c>
      <c r="C751" s="22">
        <v>45</v>
      </c>
      <c r="D751" s="12">
        <f t="shared" si="144"/>
        <v>26.125</v>
      </c>
      <c r="E751" s="27">
        <f t="shared" si="145"/>
        <v>0.52249999999999996</v>
      </c>
      <c r="F751" s="27">
        <f t="shared" si="146"/>
        <v>0.9</v>
      </c>
      <c r="G751">
        <f t="shared" si="147"/>
        <v>71.125</v>
      </c>
      <c r="H751">
        <f t="shared" si="148"/>
        <v>1</v>
      </c>
      <c r="I751">
        <f t="shared" si="149"/>
        <v>0.98396885958095437</v>
      </c>
      <c r="J751">
        <f t="shared" si="150"/>
        <v>1.6394812978157691</v>
      </c>
      <c r="K751">
        <f t="shared" si="151"/>
        <v>0.99999999987190469</v>
      </c>
      <c r="L751">
        <f t="shared" si="152"/>
        <v>-1.2809531214340552E-10</v>
      </c>
      <c r="M751">
        <f t="shared" si="153"/>
        <v>0.63268892794376097</v>
      </c>
      <c r="N751">
        <f t="shared" si="154"/>
        <v>0.36731107205623903</v>
      </c>
      <c r="P751">
        <f t="shared" si="155"/>
        <v>150.5</v>
      </c>
      <c r="Q751">
        <f t="shared" si="156"/>
        <v>10.5</v>
      </c>
    </row>
    <row r="752" spans="1:17" x14ac:dyDescent="0.35">
      <c r="A752">
        <v>2024</v>
      </c>
      <c r="B752" s="7">
        <v>229</v>
      </c>
      <c r="C752" s="22">
        <v>42</v>
      </c>
      <c r="D752" s="12">
        <f t="shared" si="144"/>
        <v>28.625</v>
      </c>
      <c r="E752" s="27">
        <f t="shared" si="145"/>
        <v>0.57250000000000001</v>
      </c>
      <c r="F752" s="27">
        <f t="shared" si="146"/>
        <v>0.84</v>
      </c>
      <c r="G752">
        <f t="shared" si="147"/>
        <v>70.625</v>
      </c>
      <c r="H752">
        <f t="shared" si="148"/>
        <v>1</v>
      </c>
      <c r="I752">
        <f t="shared" si="149"/>
        <v>1.6949793580643475</v>
      </c>
      <c r="J752">
        <f t="shared" si="150"/>
        <v>1.2928642825737522</v>
      </c>
      <c r="K752">
        <f t="shared" si="151"/>
        <v>0.9999999998698359</v>
      </c>
      <c r="L752">
        <f t="shared" si="152"/>
        <v>-1.3016410172775917E-10</v>
      </c>
      <c r="M752">
        <f t="shared" si="153"/>
        <v>0.59469026548672566</v>
      </c>
      <c r="N752">
        <f t="shared" si="154"/>
        <v>0.40530973451327434</v>
      </c>
      <c r="P752">
        <f t="shared" si="155"/>
        <v>63.5</v>
      </c>
      <c r="Q752">
        <f t="shared" si="156"/>
        <v>90.5</v>
      </c>
    </row>
    <row r="753" spans="1:17" x14ac:dyDescent="0.35">
      <c r="A753">
        <v>2024</v>
      </c>
      <c r="B753" s="7">
        <v>205</v>
      </c>
      <c r="C753" s="22">
        <v>45</v>
      </c>
      <c r="D753" s="12">
        <f t="shared" si="144"/>
        <v>25.625</v>
      </c>
      <c r="E753" s="27">
        <f t="shared" si="145"/>
        <v>0.51249999999999996</v>
      </c>
      <c r="F753" s="27">
        <f t="shared" si="146"/>
        <v>0.9</v>
      </c>
      <c r="G753">
        <f t="shared" si="147"/>
        <v>70.625</v>
      </c>
      <c r="H753">
        <f t="shared" si="148"/>
        <v>1</v>
      </c>
      <c r="I753">
        <f t="shared" si="149"/>
        <v>0.84176675988427574</v>
      </c>
      <c r="J753">
        <f t="shared" si="150"/>
        <v>1.6394812978157691</v>
      </c>
      <c r="K753">
        <f t="shared" si="151"/>
        <v>0.99999999976137954</v>
      </c>
      <c r="L753">
        <f t="shared" si="152"/>
        <v>-2.3862045675575967E-10</v>
      </c>
      <c r="M753">
        <f t="shared" si="153"/>
        <v>0.63716814159292035</v>
      </c>
      <c r="N753">
        <f t="shared" si="154"/>
        <v>0.36283185840707965</v>
      </c>
      <c r="P753">
        <f t="shared" si="155"/>
        <v>186</v>
      </c>
      <c r="Q753">
        <f t="shared" si="156"/>
        <v>10.5</v>
      </c>
    </row>
    <row r="754" spans="1:17" x14ac:dyDescent="0.35">
      <c r="A754">
        <v>2024</v>
      </c>
      <c r="B754" s="7">
        <v>212</v>
      </c>
      <c r="C754" s="22">
        <v>44</v>
      </c>
      <c r="D754" s="12">
        <f t="shared" si="144"/>
        <v>26.5</v>
      </c>
      <c r="E754" s="27">
        <f t="shared" si="145"/>
        <v>0.53</v>
      </c>
      <c r="F754" s="27">
        <f t="shared" si="146"/>
        <v>0.88</v>
      </c>
      <c r="G754">
        <f t="shared" si="147"/>
        <v>70.5</v>
      </c>
      <c r="H754">
        <f t="shared" si="148"/>
        <v>1</v>
      </c>
      <c r="I754">
        <f t="shared" si="149"/>
        <v>1.0906204343534633</v>
      </c>
      <c r="J754">
        <f t="shared" si="150"/>
        <v>1.5239422927350967</v>
      </c>
      <c r="K754">
        <f t="shared" si="151"/>
        <v>0.99999999977222154</v>
      </c>
      <c r="L754">
        <f t="shared" si="152"/>
        <v>-2.2777846278395191E-10</v>
      </c>
      <c r="M754">
        <f t="shared" si="153"/>
        <v>0.62411347517730498</v>
      </c>
      <c r="N754">
        <f t="shared" si="154"/>
        <v>0.37588652482269502</v>
      </c>
      <c r="P754">
        <f t="shared" si="155"/>
        <v>121</v>
      </c>
      <c r="Q754">
        <f t="shared" si="156"/>
        <v>26.5</v>
      </c>
    </row>
    <row r="755" spans="1:17" x14ac:dyDescent="0.35">
      <c r="A755">
        <v>2024</v>
      </c>
      <c r="B755" s="7">
        <v>209</v>
      </c>
      <c r="C755" s="22">
        <v>44</v>
      </c>
      <c r="D755" s="12">
        <f t="shared" si="144"/>
        <v>26.125</v>
      </c>
      <c r="E755" s="27">
        <f t="shared" si="145"/>
        <v>0.52249999999999996</v>
      </c>
      <c r="F755" s="27">
        <f t="shared" si="146"/>
        <v>0.88</v>
      </c>
      <c r="G755">
        <f t="shared" si="147"/>
        <v>70.125</v>
      </c>
      <c r="H755">
        <f t="shared" si="148"/>
        <v>1</v>
      </c>
      <c r="I755">
        <f t="shared" si="149"/>
        <v>0.98396885958095437</v>
      </c>
      <c r="J755">
        <f t="shared" si="150"/>
        <v>1.5239422927350967</v>
      </c>
      <c r="K755">
        <f t="shared" si="151"/>
        <v>0.99999999963680208</v>
      </c>
      <c r="L755">
        <f t="shared" si="152"/>
        <v>-3.6319791625262024E-10</v>
      </c>
      <c r="M755">
        <f t="shared" si="153"/>
        <v>0.62745098039215685</v>
      </c>
      <c r="N755">
        <f t="shared" si="154"/>
        <v>0.37254901960784315</v>
      </c>
      <c r="P755">
        <f t="shared" si="155"/>
        <v>150.5</v>
      </c>
      <c r="Q755">
        <f t="shared" si="156"/>
        <v>26.5</v>
      </c>
    </row>
    <row r="756" spans="1:17" x14ac:dyDescent="0.35">
      <c r="A756">
        <v>2024</v>
      </c>
      <c r="B756" s="7">
        <v>209</v>
      </c>
      <c r="C756" s="22">
        <v>44</v>
      </c>
      <c r="D756" s="12">
        <f t="shared" si="144"/>
        <v>26.125</v>
      </c>
      <c r="E756" s="27">
        <f t="shared" si="145"/>
        <v>0.52249999999999996</v>
      </c>
      <c r="F756" s="27">
        <f t="shared" si="146"/>
        <v>0.88</v>
      </c>
      <c r="G756">
        <f t="shared" si="147"/>
        <v>70.125</v>
      </c>
      <c r="H756">
        <f t="shared" si="148"/>
        <v>1</v>
      </c>
      <c r="I756">
        <f t="shared" si="149"/>
        <v>0.98396885958095437</v>
      </c>
      <c r="J756">
        <f t="shared" si="150"/>
        <v>1.5239422927350967</v>
      </c>
      <c r="K756">
        <f t="shared" si="151"/>
        <v>0.99999999963680208</v>
      </c>
      <c r="L756">
        <f t="shared" si="152"/>
        <v>-3.6319791625262024E-10</v>
      </c>
      <c r="M756">
        <f t="shared" si="153"/>
        <v>0.62745098039215685</v>
      </c>
      <c r="N756">
        <f t="shared" si="154"/>
        <v>0.37254901960784315</v>
      </c>
      <c r="P756">
        <f t="shared" si="155"/>
        <v>150.5</v>
      </c>
      <c r="Q756">
        <f t="shared" si="156"/>
        <v>26.5</v>
      </c>
    </row>
    <row r="757" spans="1:17" x14ac:dyDescent="0.35">
      <c r="A757">
        <v>2024</v>
      </c>
      <c r="B757" s="8">
        <v>206</v>
      </c>
      <c r="C757" s="23">
        <v>44</v>
      </c>
      <c r="D757" s="12">
        <f t="shared" si="144"/>
        <v>25.75</v>
      </c>
      <c r="E757" s="27">
        <f t="shared" si="145"/>
        <v>0.51500000000000001</v>
      </c>
      <c r="F757" s="27">
        <f t="shared" si="146"/>
        <v>0.88</v>
      </c>
      <c r="G757">
        <f t="shared" si="147"/>
        <v>69.75</v>
      </c>
      <c r="H757">
        <f t="shared" si="148"/>
        <v>1</v>
      </c>
      <c r="I757">
        <f t="shared" si="149"/>
        <v>0.8773172848084454</v>
      </c>
      <c r="J757">
        <f t="shared" si="150"/>
        <v>1.5239422927350967</v>
      </c>
      <c r="K757">
        <f t="shared" si="151"/>
        <v>0.99999999942087237</v>
      </c>
      <c r="L757">
        <f t="shared" si="152"/>
        <v>-5.7912763490435916E-10</v>
      </c>
      <c r="M757">
        <f t="shared" si="153"/>
        <v>0.63082437275985659</v>
      </c>
      <c r="N757">
        <f t="shared" si="154"/>
        <v>0.36917562724014336</v>
      </c>
      <c r="P757">
        <f t="shared" si="155"/>
        <v>178</v>
      </c>
      <c r="Q757">
        <f t="shared" si="156"/>
        <v>26.5</v>
      </c>
    </row>
    <row r="758" spans="1:17" x14ac:dyDescent="0.35">
      <c r="A758">
        <v>2024</v>
      </c>
      <c r="B758" s="7">
        <v>230</v>
      </c>
      <c r="C758" s="22">
        <v>40</v>
      </c>
      <c r="D758" s="12">
        <f t="shared" si="144"/>
        <v>28.75</v>
      </c>
      <c r="E758" s="27">
        <f t="shared" si="145"/>
        <v>0.57499999999999996</v>
      </c>
      <c r="F758" s="27">
        <f t="shared" si="146"/>
        <v>0.8</v>
      </c>
      <c r="G758">
        <f t="shared" si="147"/>
        <v>68.75</v>
      </c>
      <c r="H758">
        <f t="shared" si="148"/>
        <v>1</v>
      </c>
      <c r="I758">
        <f t="shared" si="149"/>
        <v>1.7305298829885172</v>
      </c>
      <c r="J758">
        <f t="shared" si="150"/>
        <v>1.0617862724124074</v>
      </c>
      <c r="K758">
        <f t="shared" si="151"/>
        <v>0.99999999910428938</v>
      </c>
      <c r="L758">
        <f t="shared" si="152"/>
        <v>-8.9571061718954093E-10</v>
      </c>
      <c r="M758">
        <f t="shared" si="153"/>
        <v>0.58181818181818179</v>
      </c>
      <c r="N758">
        <f t="shared" si="154"/>
        <v>0.41818181818181815</v>
      </c>
      <c r="P758">
        <f t="shared" si="155"/>
        <v>60.5</v>
      </c>
      <c r="Q758">
        <f t="shared" si="156"/>
        <v>173</v>
      </c>
    </row>
    <row r="759" spans="1:17" x14ac:dyDescent="0.35">
      <c r="A759">
        <v>2024</v>
      </c>
      <c r="B759" s="7">
        <v>188</v>
      </c>
      <c r="C759" s="22">
        <v>45</v>
      </c>
      <c r="D759" s="12">
        <f t="shared" si="144"/>
        <v>23.5</v>
      </c>
      <c r="E759" s="27">
        <f t="shared" si="145"/>
        <v>0.47</v>
      </c>
      <c r="F759" s="27">
        <f t="shared" si="146"/>
        <v>0.9</v>
      </c>
      <c r="G759">
        <f t="shared" si="147"/>
        <v>68.5</v>
      </c>
      <c r="H759">
        <f t="shared" si="148"/>
        <v>1</v>
      </c>
      <c r="I759">
        <f t="shared" si="149"/>
        <v>0.23740783617339151</v>
      </c>
      <c r="J759">
        <f t="shared" si="150"/>
        <v>1.6394812978157691</v>
      </c>
      <c r="K759">
        <f t="shared" si="151"/>
        <v>0.99999999664301398</v>
      </c>
      <c r="L759">
        <f t="shared" si="152"/>
        <v>-3.3569860281304667E-9</v>
      </c>
      <c r="M759">
        <f t="shared" si="153"/>
        <v>0.65693430656934304</v>
      </c>
      <c r="N759">
        <f t="shared" si="154"/>
        <v>0.34306569343065696</v>
      </c>
      <c r="P759">
        <f t="shared" si="155"/>
        <v>374.5</v>
      </c>
      <c r="Q759">
        <f t="shared" si="156"/>
        <v>10.5</v>
      </c>
    </row>
    <row r="760" spans="1:17" x14ac:dyDescent="0.35">
      <c r="A760">
        <v>2024</v>
      </c>
      <c r="B760" s="7">
        <v>191</v>
      </c>
      <c r="C760" s="22">
        <v>44</v>
      </c>
      <c r="D760" s="12">
        <f t="shared" si="144"/>
        <v>23.875</v>
      </c>
      <c r="E760" s="27">
        <f t="shared" si="145"/>
        <v>0.47749999999999998</v>
      </c>
      <c r="F760" s="27">
        <f t="shared" si="146"/>
        <v>0.88</v>
      </c>
      <c r="G760">
        <f t="shared" si="147"/>
        <v>67.875</v>
      </c>
      <c r="H760">
        <f t="shared" si="148"/>
        <v>1</v>
      </c>
      <c r="I760">
        <f t="shared" si="149"/>
        <v>0.34405941094590048</v>
      </c>
      <c r="J760">
        <f t="shared" si="150"/>
        <v>1.5239422927350967</v>
      </c>
      <c r="K760">
        <f t="shared" si="151"/>
        <v>0.99999999403062634</v>
      </c>
      <c r="L760">
        <f t="shared" si="152"/>
        <v>-5.9693736798570225E-9</v>
      </c>
      <c r="M760">
        <f t="shared" si="153"/>
        <v>0.64825046040515655</v>
      </c>
      <c r="N760">
        <f t="shared" si="154"/>
        <v>0.35174953959484345</v>
      </c>
      <c r="P760">
        <f t="shared" si="155"/>
        <v>327</v>
      </c>
      <c r="Q760">
        <f t="shared" si="156"/>
        <v>26.5</v>
      </c>
    </row>
    <row r="761" spans="1:17" x14ac:dyDescent="0.35">
      <c r="A761">
        <v>2024</v>
      </c>
      <c r="B761" s="7">
        <v>172</v>
      </c>
      <c r="C761" s="22">
        <v>46</v>
      </c>
      <c r="D761" s="12">
        <f t="shared" si="144"/>
        <v>21.5</v>
      </c>
      <c r="E761" s="27">
        <f t="shared" si="145"/>
        <v>0.43</v>
      </c>
      <c r="F761" s="27">
        <f t="shared" si="146"/>
        <v>0.92</v>
      </c>
      <c r="G761">
        <f t="shared" si="147"/>
        <v>67.5</v>
      </c>
      <c r="H761">
        <f t="shared" si="148"/>
        <v>1</v>
      </c>
      <c r="I761">
        <f t="shared" si="149"/>
        <v>-0.33140056261332301</v>
      </c>
      <c r="J761">
        <f t="shared" si="150"/>
        <v>1.7550203028964413</v>
      </c>
      <c r="K761">
        <f t="shared" si="151"/>
        <v>0.99999998574269422</v>
      </c>
      <c r="L761">
        <f t="shared" si="152"/>
        <v>-1.4257305882053891E-8</v>
      </c>
      <c r="M761">
        <f t="shared" si="153"/>
        <v>0.68148148148148147</v>
      </c>
      <c r="N761">
        <f t="shared" si="154"/>
        <v>0.31851851851851853</v>
      </c>
      <c r="P761">
        <f t="shared" si="155"/>
        <v>684</v>
      </c>
      <c r="Q761">
        <f t="shared" si="156"/>
        <v>3.5</v>
      </c>
    </row>
    <row r="762" spans="1:17" x14ac:dyDescent="0.35">
      <c r="A762">
        <v>2024</v>
      </c>
      <c r="B762" s="7">
        <v>196</v>
      </c>
      <c r="C762" s="22">
        <v>43</v>
      </c>
      <c r="D762" s="12">
        <f t="shared" si="144"/>
        <v>24.5</v>
      </c>
      <c r="E762" s="27">
        <f t="shared" si="145"/>
        <v>0.49</v>
      </c>
      <c r="F762" s="27">
        <f t="shared" si="146"/>
        <v>0.86</v>
      </c>
      <c r="G762">
        <f t="shared" si="147"/>
        <v>67.5</v>
      </c>
      <c r="H762">
        <f t="shared" si="148"/>
        <v>1</v>
      </c>
      <c r="I762">
        <f t="shared" si="149"/>
        <v>0.52181203556674882</v>
      </c>
      <c r="J762">
        <f t="shared" si="150"/>
        <v>1.4084032876544244</v>
      </c>
      <c r="K762">
        <f t="shared" si="151"/>
        <v>0.99999999222284519</v>
      </c>
      <c r="L762">
        <f t="shared" si="152"/>
        <v>-7.7771548392831337E-9</v>
      </c>
      <c r="M762">
        <f t="shared" si="153"/>
        <v>0.63703703703703707</v>
      </c>
      <c r="N762">
        <f t="shared" si="154"/>
        <v>0.36296296296296299</v>
      </c>
      <c r="P762">
        <f t="shared" si="155"/>
        <v>270</v>
      </c>
      <c r="Q762">
        <f t="shared" si="156"/>
        <v>53.5</v>
      </c>
    </row>
    <row r="763" spans="1:17" x14ac:dyDescent="0.35">
      <c r="A763">
        <v>2024</v>
      </c>
      <c r="B763" s="7">
        <v>186</v>
      </c>
      <c r="C763" s="22">
        <v>44</v>
      </c>
      <c r="D763" s="12">
        <f t="shared" si="144"/>
        <v>23.25</v>
      </c>
      <c r="E763" s="27">
        <f t="shared" si="145"/>
        <v>0.46500000000000002</v>
      </c>
      <c r="F763" s="27">
        <f t="shared" si="146"/>
        <v>0.88</v>
      </c>
      <c r="G763">
        <f t="shared" si="147"/>
        <v>67.25</v>
      </c>
      <c r="H763">
        <f t="shared" si="148"/>
        <v>1</v>
      </c>
      <c r="I763">
        <f t="shared" si="149"/>
        <v>0.16630678632505219</v>
      </c>
      <c r="J763">
        <f t="shared" si="150"/>
        <v>1.5239422927350967</v>
      </c>
      <c r="K763">
        <f t="shared" si="151"/>
        <v>0.99999998700887049</v>
      </c>
      <c r="L763">
        <f t="shared" si="152"/>
        <v>-1.2991129589864373E-8</v>
      </c>
      <c r="M763">
        <f t="shared" si="153"/>
        <v>0.65427509293680297</v>
      </c>
      <c r="N763">
        <f t="shared" si="154"/>
        <v>0.34572490706319703</v>
      </c>
      <c r="P763">
        <f t="shared" si="155"/>
        <v>411.5</v>
      </c>
      <c r="Q763">
        <f t="shared" si="156"/>
        <v>26.5</v>
      </c>
    </row>
    <row r="764" spans="1:17" x14ac:dyDescent="0.35">
      <c r="A764">
        <v>2024</v>
      </c>
      <c r="B764" s="7">
        <v>169</v>
      </c>
      <c r="C764" s="22">
        <v>46</v>
      </c>
      <c r="D764" s="12">
        <f t="shared" si="144"/>
        <v>21.125</v>
      </c>
      <c r="E764" s="27">
        <f t="shared" si="145"/>
        <v>0.42249999999999999</v>
      </c>
      <c r="F764" s="27">
        <f t="shared" si="146"/>
        <v>0.92</v>
      </c>
      <c r="G764">
        <f t="shared" si="147"/>
        <v>67.125</v>
      </c>
      <c r="H764">
        <f t="shared" si="148"/>
        <v>1</v>
      </c>
      <c r="I764">
        <f t="shared" si="149"/>
        <v>-0.43805213738583199</v>
      </c>
      <c r="J764">
        <f t="shared" si="150"/>
        <v>1.7550203028964413</v>
      </c>
      <c r="K764">
        <f t="shared" si="151"/>
        <v>0.99999997726639267</v>
      </c>
      <c r="L764">
        <f t="shared" si="152"/>
        <v>-2.2733607588369557E-8</v>
      </c>
      <c r="M764">
        <f t="shared" si="153"/>
        <v>0.68528864059590322</v>
      </c>
      <c r="N764">
        <f t="shared" si="154"/>
        <v>0.31471135940409684</v>
      </c>
      <c r="P764">
        <f t="shared" si="155"/>
        <v>744.5</v>
      </c>
      <c r="Q764">
        <f t="shared" si="156"/>
        <v>3.5</v>
      </c>
    </row>
    <row r="765" spans="1:17" x14ac:dyDescent="0.35">
      <c r="A765">
        <v>2024</v>
      </c>
      <c r="B765" s="7">
        <v>233</v>
      </c>
      <c r="C765" s="22">
        <v>38</v>
      </c>
      <c r="D765" s="12">
        <f t="shared" si="144"/>
        <v>29.125</v>
      </c>
      <c r="E765" s="27">
        <f t="shared" si="145"/>
        <v>0.58250000000000002</v>
      </c>
      <c r="F765" s="27">
        <f t="shared" si="146"/>
        <v>0.76</v>
      </c>
      <c r="G765">
        <f t="shared" si="147"/>
        <v>67.125</v>
      </c>
      <c r="H765">
        <f t="shared" si="148"/>
        <v>1</v>
      </c>
      <c r="I765">
        <f t="shared" si="149"/>
        <v>1.8371814577610261</v>
      </c>
      <c r="J765">
        <f t="shared" si="150"/>
        <v>0.83070826225106287</v>
      </c>
      <c r="K765">
        <f t="shared" si="151"/>
        <v>0.9999999954839669</v>
      </c>
      <c r="L765">
        <f t="shared" si="152"/>
        <v>-4.5160331132275588E-9</v>
      </c>
      <c r="M765">
        <f t="shared" si="153"/>
        <v>0.56610800744878953</v>
      </c>
      <c r="N765">
        <f t="shared" si="154"/>
        <v>0.43389199255121041</v>
      </c>
      <c r="P765">
        <f t="shared" si="155"/>
        <v>55.5</v>
      </c>
      <c r="Q765">
        <f t="shared" si="156"/>
        <v>297.5</v>
      </c>
    </row>
    <row r="766" spans="1:17" x14ac:dyDescent="0.35">
      <c r="A766">
        <v>2024</v>
      </c>
      <c r="B766" s="7">
        <v>188</v>
      </c>
      <c r="C766" s="22">
        <v>43</v>
      </c>
      <c r="D766" s="12">
        <f t="shared" si="144"/>
        <v>23.5</v>
      </c>
      <c r="E766" s="27">
        <f t="shared" si="145"/>
        <v>0.47</v>
      </c>
      <c r="F766" s="27">
        <f t="shared" si="146"/>
        <v>0.86</v>
      </c>
      <c r="G766">
        <f t="shared" si="147"/>
        <v>66.5</v>
      </c>
      <c r="H766">
        <f t="shared" si="148"/>
        <v>1</v>
      </c>
      <c r="I766">
        <f t="shared" si="149"/>
        <v>0.23740783617339151</v>
      </c>
      <c r="J766">
        <f t="shared" si="150"/>
        <v>1.4084032876544244</v>
      </c>
      <c r="K766">
        <f t="shared" si="151"/>
        <v>0.99999997301205712</v>
      </c>
      <c r="L766">
        <f t="shared" si="152"/>
        <v>-2.6987943244648773E-8</v>
      </c>
      <c r="M766">
        <f t="shared" si="153"/>
        <v>0.64661654135338342</v>
      </c>
      <c r="N766">
        <f t="shared" si="154"/>
        <v>0.35338345864661652</v>
      </c>
      <c r="P766">
        <f t="shared" si="155"/>
        <v>374.5</v>
      </c>
      <c r="Q766">
        <f t="shared" si="156"/>
        <v>53.5</v>
      </c>
    </row>
    <row r="767" spans="1:17" x14ac:dyDescent="0.35">
      <c r="A767">
        <v>2024</v>
      </c>
      <c r="B767" s="7">
        <v>180</v>
      </c>
      <c r="C767" s="22">
        <v>44</v>
      </c>
      <c r="D767" s="12">
        <f t="shared" si="144"/>
        <v>22.5</v>
      </c>
      <c r="E767" s="27">
        <f t="shared" si="145"/>
        <v>0.45</v>
      </c>
      <c r="F767" s="27">
        <f t="shared" si="146"/>
        <v>0.88</v>
      </c>
      <c r="G767">
        <f t="shared" si="147"/>
        <v>66.5</v>
      </c>
      <c r="H767">
        <f t="shared" si="148"/>
        <v>1</v>
      </c>
      <c r="I767">
        <f t="shared" si="149"/>
        <v>-4.6996363219965739E-2</v>
      </c>
      <c r="J767">
        <f t="shared" si="150"/>
        <v>1.5239422927350967</v>
      </c>
      <c r="K767">
        <f t="shared" si="151"/>
        <v>0.99999996696999149</v>
      </c>
      <c r="L767">
        <f t="shared" si="152"/>
        <v>-3.3030009051564922E-8</v>
      </c>
      <c r="M767">
        <f t="shared" si="153"/>
        <v>0.66165413533834583</v>
      </c>
      <c r="N767">
        <f t="shared" si="154"/>
        <v>0.33834586466165412</v>
      </c>
      <c r="P767">
        <f t="shared" si="155"/>
        <v>528</v>
      </c>
      <c r="Q767">
        <f t="shared" si="156"/>
        <v>26.5</v>
      </c>
    </row>
    <row r="768" spans="1:17" x14ac:dyDescent="0.35">
      <c r="A768">
        <v>2024</v>
      </c>
      <c r="B768" s="7">
        <v>188</v>
      </c>
      <c r="C768" s="22">
        <v>43</v>
      </c>
      <c r="D768" s="12">
        <f t="shared" si="144"/>
        <v>23.5</v>
      </c>
      <c r="E768" s="27">
        <f t="shared" si="145"/>
        <v>0.47</v>
      </c>
      <c r="F768" s="27">
        <f t="shared" si="146"/>
        <v>0.86</v>
      </c>
      <c r="G768">
        <f t="shared" si="147"/>
        <v>66.5</v>
      </c>
      <c r="H768">
        <f t="shared" si="148"/>
        <v>1</v>
      </c>
      <c r="I768">
        <f t="shared" si="149"/>
        <v>0.23740783617339151</v>
      </c>
      <c r="J768">
        <f t="shared" si="150"/>
        <v>1.4084032876544244</v>
      </c>
      <c r="K768">
        <f t="shared" si="151"/>
        <v>0.99999997301205712</v>
      </c>
      <c r="L768">
        <f t="shared" si="152"/>
        <v>-2.6987943244648773E-8</v>
      </c>
      <c r="M768">
        <f t="shared" si="153"/>
        <v>0.64661654135338342</v>
      </c>
      <c r="N768">
        <f t="shared" si="154"/>
        <v>0.35338345864661652</v>
      </c>
      <c r="P768">
        <f t="shared" si="155"/>
        <v>374.5</v>
      </c>
      <c r="Q768">
        <f t="shared" si="156"/>
        <v>53.5</v>
      </c>
    </row>
    <row r="769" spans="1:17" x14ac:dyDescent="0.35">
      <c r="A769">
        <v>2024</v>
      </c>
      <c r="B769" s="7">
        <v>179</v>
      </c>
      <c r="C769" s="22">
        <v>44</v>
      </c>
      <c r="D769" s="12">
        <f t="shared" si="144"/>
        <v>22.375</v>
      </c>
      <c r="E769" s="27">
        <f t="shared" si="145"/>
        <v>0.44750000000000001</v>
      </c>
      <c r="F769" s="27">
        <f t="shared" si="146"/>
        <v>0.88</v>
      </c>
      <c r="G769">
        <f t="shared" si="147"/>
        <v>66.375</v>
      </c>
      <c r="H769">
        <f t="shared" si="148"/>
        <v>1</v>
      </c>
      <c r="I769">
        <f t="shared" si="149"/>
        <v>-8.2546888144135397E-2</v>
      </c>
      <c r="J769">
        <f t="shared" si="150"/>
        <v>1.5239422927350967</v>
      </c>
      <c r="K769">
        <f t="shared" si="151"/>
        <v>0.99999996141199599</v>
      </c>
      <c r="L769">
        <f t="shared" si="152"/>
        <v>-3.858800475886752E-8</v>
      </c>
      <c r="M769">
        <f t="shared" si="153"/>
        <v>0.66290018832391717</v>
      </c>
      <c r="N769">
        <f t="shared" si="154"/>
        <v>0.33709981167608288</v>
      </c>
      <c r="P769">
        <f t="shared" si="155"/>
        <v>547</v>
      </c>
      <c r="Q769">
        <f t="shared" si="156"/>
        <v>26.5</v>
      </c>
    </row>
    <row r="770" spans="1:17" x14ac:dyDescent="0.35">
      <c r="A770">
        <v>2024</v>
      </c>
      <c r="B770" s="7">
        <v>194</v>
      </c>
      <c r="C770" s="22">
        <v>42</v>
      </c>
      <c r="D770" s="12">
        <f t="shared" si="144"/>
        <v>24.25</v>
      </c>
      <c r="E770" s="27">
        <f t="shared" si="145"/>
        <v>0.48499999999999999</v>
      </c>
      <c r="F770" s="27">
        <f t="shared" si="146"/>
        <v>0.84</v>
      </c>
      <c r="G770">
        <f t="shared" si="147"/>
        <v>66.25</v>
      </c>
      <c r="H770">
        <f t="shared" si="148"/>
        <v>1</v>
      </c>
      <c r="I770">
        <f t="shared" si="149"/>
        <v>0.45071098571840945</v>
      </c>
      <c r="J770">
        <f t="shared" si="150"/>
        <v>1.2928642825737522</v>
      </c>
      <c r="K770">
        <f t="shared" si="151"/>
        <v>0.99999996990335149</v>
      </c>
      <c r="L770">
        <f t="shared" si="152"/>
        <v>-3.0096648959631911E-8</v>
      </c>
      <c r="M770">
        <f t="shared" si="153"/>
        <v>0.63396226415094337</v>
      </c>
      <c r="N770">
        <f t="shared" si="154"/>
        <v>0.36603773584905658</v>
      </c>
      <c r="P770">
        <f t="shared" si="155"/>
        <v>293.5</v>
      </c>
      <c r="Q770">
        <f t="shared" si="156"/>
        <v>90.5</v>
      </c>
    </row>
    <row r="771" spans="1:17" x14ac:dyDescent="0.35">
      <c r="A771">
        <v>2024</v>
      </c>
      <c r="B771" s="7">
        <v>177</v>
      </c>
      <c r="C771" s="22">
        <v>43</v>
      </c>
      <c r="D771" s="12">
        <f t="shared" ref="D771:D834" si="157">B771/8</f>
        <v>22.125</v>
      </c>
      <c r="E771" s="27">
        <f t="shared" ref="E771:E834" si="158">B771/400</f>
        <v>0.4425</v>
      </c>
      <c r="F771" s="27">
        <f t="shared" ref="F771:F834" si="159">C771/50</f>
        <v>0.86</v>
      </c>
      <c r="G771">
        <f t="shared" ref="G771:G834" si="160">SUM(C771+D771)</f>
        <v>65.125</v>
      </c>
      <c r="H771">
        <f t="shared" ref="H771:H834" si="161">IF(G771&gt;=50,1,0)</f>
        <v>1</v>
      </c>
      <c r="I771">
        <f t="shared" ref="I771:I834" si="162" xml:space="preserve"> (D:D - AVERAGE(D:D)) / STDEV(D:D)</f>
        <v>-0.15364793799247473</v>
      </c>
      <c r="J771">
        <f t="shared" ref="J771:J834" si="163" xml:space="preserve"> (C:C - AVERAGE(C:C)) / STDEV(C:C)</f>
        <v>1.4084032876544244</v>
      </c>
      <c r="K771">
        <f t="shared" ref="K771:K834" si="164">1/(1+EXP(-($AD$25 +$AD$26 * I771 +$AD$27 * J771 )))</f>
        <v>0.99999985066910824</v>
      </c>
      <c r="L771">
        <f t="shared" ref="L771:L834" si="165">IF(K771=0, -1000, IF(K771=1, -1000, H771 * LN(K771) + (1 - H771) * LN(1 - K771)))</f>
        <v>-1.4933090291313613E-7</v>
      </c>
      <c r="M771">
        <f t="shared" ref="M771:M834" si="166">IF(G771=0, 0,  C771  / G771 )</f>
        <v>0.66026871401151632</v>
      </c>
      <c r="N771">
        <f t="shared" ref="N771:N834" si="167">IF(G771=0, 0,  D771  / G771 )</f>
        <v>0.33973128598848368</v>
      </c>
      <c r="P771">
        <f t="shared" ref="P771:P834" si="168">_xlfn.RANK.AVG(B771,$B$2:$B$1144)</f>
        <v>585</v>
      </c>
      <c r="Q771">
        <f t="shared" ref="Q771:Q834" si="169">_xlfn.RANK.AVG(C771,$C$2:$C$1144)</f>
        <v>53.5</v>
      </c>
    </row>
    <row r="772" spans="1:17" x14ac:dyDescent="0.35">
      <c r="A772">
        <v>2024</v>
      </c>
      <c r="B772" s="7">
        <v>209</v>
      </c>
      <c r="C772" s="22">
        <v>40</v>
      </c>
      <c r="D772" s="12">
        <f t="shared" si="157"/>
        <v>26.125</v>
      </c>
      <c r="E772" s="27">
        <f t="shared" si="158"/>
        <v>0.52249999999999996</v>
      </c>
      <c r="F772" s="27">
        <f t="shared" si="159"/>
        <v>0.8</v>
      </c>
      <c r="G772">
        <f t="shared" si="160"/>
        <v>66.125</v>
      </c>
      <c r="H772">
        <f t="shared" si="161"/>
        <v>1</v>
      </c>
      <c r="I772">
        <f t="shared" si="162"/>
        <v>0.98396885958095437</v>
      </c>
      <c r="J772">
        <f t="shared" si="163"/>
        <v>1.0617862724124074</v>
      </c>
      <c r="K772">
        <f t="shared" si="164"/>
        <v>0.9999999765261699</v>
      </c>
      <c r="L772">
        <f t="shared" si="165"/>
        <v>-2.3473830377438071E-8</v>
      </c>
      <c r="M772">
        <f t="shared" si="166"/>
        <v>0.60491493383742911</v>
      </c>
      <c r="N772">
        <f t="shared" si="167"/>
        <v>0.39508506616257089</v>
      </c>
      <c r="P772">
        <f t="shared" si="168"/>
        <v>150.5</v>
      </c>
      <c r="Q772">
        <f t="shared" si="169"/>
        <v>173</v>
      </c>
    </row>
    <row r="773" spans="1:17" x14ac:dyDescent="0.35">
      <c r="A773">
        <v>2024</v>
      </c>
      <c r="B773" s="7">
        <v>176</v>
      </c>
      <c r="C773" s="22">
        <v>44</v>
      </c>
      <c r="D773" s="12">
        <f t="shared" si="157"/>
        <v>22</v>
      </c>
      <c r="E773" s="27">
        <f t="shared" si="158"/>
        <v>0.44</v>
      </c>
      <c r="F773" s="27">
        <f t="shared" si="159"/>
        <v>0.88</v>
      </c>
      <c r="G773">
        <f t="shared" si="160"/>
        <v>66</v>
      </c>
      <c r="H773">
        <f t="shared" si="161"/>
        <v>1</v>
      </c>
      <c r="I773">
        <f t="shared" si="162"/>
        <v>-0.18919846291664436</v>
      </c>
      <c r="J773">
        <f t="shared" si="163"/>
        <v>1.5239422927350967</v>
      </c>
      <c r="K773">
        <f t="shared" si="164"/>
        <v>0.99999993847052715</v>
      </c>
      <c r="L773">
        <f t="shared" si="165"/>
        <v>-6.1529474743035109E-8</v>
      </c>
      <c r="M773">
        <f t="shared" si="166"/>
        <v>0.66666666666666663</v>
      </c>
      <c r="N773">
        <f t="shared" si="167"/>
        <v>0.33333333333333331</v>
      </c>
      <c r="P773">
        <f t="shared" si="168"/>
        <v>607.5</v>
      </c>
      <c r="Q773">
        <f t="shared" si="169"/>
        <v>26.5</v>
      </c>
    </row>
    <row r="774" spans="1:17" x14ac:dyDescent="0.35">
      <c r="A774">
        <v>2024</v>
      </c>
      <c r="B774" s="7">
        <v>175</v>
      </c>
      <c r="C774" s="22">
        <v>44</v>
      </c>
      <c r="D774" s="12">
        <f t="shared" si="157"/>
        <v>21.875</v>
      </c>
      <c r="E774" s="27">
        <f t="shared" si="158"/>
        <v>0.4375</v>
      </c>
      <c r="F774" s="27">
        <f t="shared" si="159"/>
        <v>0.88</v>
      </c>
      <c r="G774">
        <f t="shared" si="160"/>
        <v>65.875</v>
      </c>
      <c r="H774">
        <f t="shared" si="161"/>
        <v>1</v>
      </c>
      <c r="I774">
        <f t="shared" si="162"/>
        <v>-0.22474898784081401</v>
      </c>
      <c r="J774">
        <f t="shared" si="163"/>
        <v>1.5239422927350967</v>
      </c>
      <c r="K774">
        <f t="shared" si="164"/>
        <v>0.99999992811689664</v>
      </c>
      <c r="L774">
        <f t="shared" si="165"/>
        <v>-7.1883105942184664E-8</v>
      </c>
      <c r="M774">
        <f t="shared" si="166"/>
        <v>0.66793168880455411</v>
      </c>
      <c r="N774">
        <f t="shared" si="167"/>
        <v>0.33206831119544594</v>
      </c>
      <c r="P774">
        <f t="shared" si="168"/>
        <v>631.5</v>
      </c>
      <c r="Q774">
        <f t="shared" si="169"/>
        <v>26.5</v>
      </c>
    </row>
    <row r="775" spans="1:17" x14ac:dyDescent="0.35">
      <c r="A775">
        <v>2024</v>
      </c>
      <c r="B775" s="7">
        <v>182</v>
      </c>
      <c r="C775" s="22">
        <v>43</v>
      </c>
      <c r="D775" s="12">
        <f t="shared" si="157"/>
        <v>22.75</v>
      </c>
      <c r="E775" s="27">
        <f t="shared" si="158"/>
        <v>0.45500000000000002</v>
      </c>
      <c r="F775" s="27">
        <f t="shared" si="159"/>
        <v>0.86</v>
      </c>
      <c r="G775">
        <f t="shared" si="160"/>
        <v>65.75</v>
      </c>
      <c r="H775">
        <f t="shared" si="161"/>
        <v>1</v>
      </c>
      <c r="I775">
        <f t="shared" si="162"/>
        <v>2.4104686628373572E-2</v>
      </c>
      <c r="J775">
        <f t="shared" si="163"/>
        <v>1.4084032876544244</v>
      </c>
      <c r="K775">
        <f t="shared" si="164"/>
        <v>0.99999993138302878</v>
      </c>
      <c r="L775">
        <f t="shared" si="165"/>
        <v>-6.8616973570217835E-8</v>
      </c>
      <c r="M775">
        <f t="shared" si="166"/>
        <v>0.6539923954372624</v>
      </c>
      <c r="N775">
        <f t="shared" si="167"/>
        <v>0.34600760456273766</v>
      </c>
      <c r="P775">
        <f t="shared" si="168"/>
        <v>484.5</v>
      </c>
      <c r="Q775">
        <f t="shared" si="169"/>
        <v>53.5</v>
      </c>
    </row>
    <row r="776" spans="1:17" x14ac:dyDescent="0.35">
      <c r="A776">
        <v>2024</v>
      </c>
      <c r="B776" s="7">
        <v>260</v>
      </c>
      <c r="C776" s="22">
        <v>33</v>
      </c>
      <c r="D776" s="12">
        <f t="shared" si="157"/>
        <v>32.5</v>
      </c>
      <c r="E776" s="27">
        <f t="shared" si="158"/>
        <v>0.65</v>
      </c>
      <c r="F776" s="27">
        <f t="shared" si="159"/>
        <v>0.66</v>
      </c>
      <c r="G776">
        <f t="shared" si="160"/>
        <v>65.5</v>
      </c>
      <c r="H776">
        <f t="shared" si="161"/>
        <v>1</v>
      </c>
      <c r="I776">
        <f t="shared" si="162"/>
        <v>2.7970456307136069</v>
      </c>
      <c r="J776">
        <f t="shared" si="163"/>
        <v>0.25301323684770138</v>
      </c>
      <c r="K776">
        <f t="shared" si="164"/>
        <v>0.99999998757976638</v>
      </c>
      <c r="L776">
        <f t="shared" si="165"/>
        <v>-1.2420233696490168E-8</v>
      </c>
      <c r="M776">
        <f t="shared" si="166"/>
        <v>0.50381679389312972</v>
      </c>
      <c r="N776">
        <f t="shared" si="167"/>
        <v>0.49618320610687022</v>
      </c>
      <c r="P776">
        <f t="shared" si="168"/>
        <v>25.5</v>
      </c>
      <c r="Q776">
        <f t="shared" si="169"/>
        <v>523.5</v>
      </c>
    </row>
    <row r="777" spans="1:17" x14ac:dyDescent="0.35">
      <c r="A777">
        <v>2024</v>
      </c>
      <c r="B777" s="7">
        <v>188</v>
      </c>
      <c r="C777" s="22">
        <v>42</v>
      </c>
      <c r="D777" s="12">
        <f t="shared" si="157"/>
        <v>23.5</v>
      </c>
      <c r="E777" s="27">
        <f t="shared" si="158"/>
        <v>0.47</v>
      </c>
      <c r="F777" s="27">
        <f t="shared" si="159"/>
        <v>0.84</v>
      </c>
      <c r="G777">
        <f t="shared" si="160"/>
        <v>65.5</v>
      </c>
      <c r="H777">
        <f t="shared" si="161"/>
        <v>1</v>
      </c>
      <c r="I777">
        <f t="shared" si="162"/>
        <v>0.23740783617339151</v>
      </c>
      <c r="J777">
        <f t="shared" si="163"/>
        <v>1.2928642825737522</v>
      </c>
      <c r="K777">
        <f t="shared" si="164"/>
        <v>0.99999992347913091</v>
      </c>
      <c r="L777">
        <f t="shared" si="165"/>
        <v>-7.6520872013327481E-8</v>
      </c>
      <c r="M777">
        <f t="shared" si="166"/>
        <v>0.64122137404580148</v>
      </c>
      <c r="N777">
        <f t="shared" si="167"/>
        <v>0.35877862595419846</v>
      </c>
      <c r="P777">
        <f t="shared" si="168"/>
        <v>374.5</v>
      </c>
      <c r="Q777">
        <f t="shared" si="169"/>
        <v>90.5</v>
      </c>
    </row>
    <row r="778" spans="1:17" x14ac:dyDescent="0.35">
      <c r="A778">
        <v>2024</v>
      </c>
      <c r="B778" s="7">
        <v>188</v>
      </c>
      <c r="C778" s="22">
        <v>42</v>
      </c>
      <c r="D778" s="12">
        <f t="shared" si="157"/>
        <v>23.5</v>
      </c>
      <c r="E778" s="27">
        <f t="shared" si="158"/>
        <v>0.47</v>
      </c>
      <c r="F778" s="27">
        <f t="shared" si="159"/>
        <v>0.84</v>
      </c>
      <c r="G778">
        <f t="shared" si="160"/>
        <v>65.5</v>
      </c>
      <c r="H778">
        <f t="shared" si="161"/>
        <v>1</v>
      </c>
      <c r="I778">
        <f t="shared" si="162"/>
        <v>0.23740783617339151</v>
      </c>
      <c r="J778">
        <f t="shared" si="163"/>
        <v>1.2928642825737522</v>
      </c>
      <c r="K778">
        <f t="shared" si="164"/>
        <v>0.99999992347913091</v>
      </c>
      <c r="L778">
        <f t="shared" si="165"/>
        <v>-7.6520872013327481E-8</v>
      </c>
      <c r="M778">
        <f t="shared" si="166"/>
        <v>0.64122137404580148</v>
      </c>
      <c r="N778">
        <f t="shared" si="167"/>
        <v>0.35877862595419846</v>
      </c>
      <c r="P778">
        <f t="shared" si="168"/>
        <v>374.5</v>
      </c>
      <c r="Q778">
        <f t="shared" si="169"/>
        <v>90.5</v>
      </c>
    </row>
    <row r="779" spans="1:17" x14ac:dyDescent="0.35">
      <c r="A779">
        <v>2024</v>
      </c>
      <c r="B779" s="7">
        <v>164</v>
      </c>
      <c r="C779" s="22">
        <v>45</v>
      </c>
      <c r="D779" s="12">
        <f t="shared" si="157"/>
        <v>20.5</v>
      </c>
      <c r="E779" s="27">
        <f t="shared" si="158"/>
        <v>0.41</v>
      </c>
      <c r="F779" s="27">
        <f t="shared" si="159"/>
        <v>0.9</v>
      </c>
      <c r="G779">
        <f t="shared" si="160"/>
        <v>65.5</v>
      </c>
      <c r="H779">
        <f t="shared" si="161"/>
        <v>1</v>
      </c>
      <c r="I779">
        <f t="shared" si="162"/>
        <v>-0.61580476200668022</v>
      </c>
      <c r="J779">
        <f t="shared" si="163"/>
        <v>1.6394812978157691</v>
      </c>
      <c r="K779">
        <f t="shared" si="164"/>
        <v>0.99999985971973249</v>
      </c>
      <c r="L779">
        <f t="shared" si="165"/>
        <v>-1.4028027735250407E-7</v>
      </c>
      <c r="M779">
        <f t="shared" si="166"/>
        <v>0.68702290076335881</v>
      </c>
      <c r="N779">
        <f t="shared" si="167"/>
        <v>0.31297709923664124</v>
      </c>
      <c r="P779">
        <f t="shared" si="168"/>
        <v>844.5</v>
      </c>
      <c r="Q779">
        <f t="shared" si="169"/>
        <v>10.5</v>
      </c>
    </row>
    <row r="780" spans="1:17" x14ac:dyDescent="0.35">
      <c r="A780">
        <v>2024</v>
      </c>
      <c r="B780" s="7">
        <v>193</v>
      </c>
      <c r="C780" s="22">
        <v>41</v>
      </c>
      <c r="D780" s="12">
        <f t="shared" si="157"/>
        <v>24.125</v>
      </c>
      <c r="E780" s="27">
        <f t="shared" si="158"/>
        <v>0.48249999999999998</v>
      </c>
      <c r="F780" s="27">
        <f t="shared" si="159"/>
        <v>0.82</v>
      </c>
      <c r="G780">
        <f t="shared" si="160"/>
        <v>65.125</v>
      </c>
      <c r="H780">
        <f t="shared" si="161"/>
        <v>1</v>
      </c>
      <c r="I780">
        <f t="shared" si="162"/>
        <v>0.41516046079423979</v>
      </c>
      <c r="J780">
        <f t="shared" si="163"/>
        <v>1.1773252774930798</v>
      </c>
      <c r="K780">
        <f t="shared" si="164"/>
        <v>0.99999990030534658</v>
      </c>
      <c r="L780">
        <f t="shared" si="165"/>
        <v>-9.9694658391034901E-8</v>
      </c>
      <c r="M780">
        <f t="shared" si="166"/>
        <v>0.62955854126679467</v>
      </c>
      <c r="N780">
        <f t="shared" si="167"/>
        <v>0.37044145873320539</v>
      </c>
      <c r="P780">
        <f t="shared" si="168"/>
        <v>307</v>
      </c>
      <c r="Q780">
        <f t="shared" si="169"/>
        <v>129.5</v>
      </c>
    </row>
    <row r="781" spans="1:17" x14ac:dyDescent="0.35">
      <c r="A781">
        <v>2024</v>
      </c>
      <c r="B781" s="7">
        <v>176</v>
      </c>
      <c r="C781" s="22">
        <v>43</v>
      </c>
      <c r="D781" s="12">
        <f t="shared" si="157"/>
        <v>22</v>
      </c>
      <c r="E781" s="27">
        <f t="shared" si="158"/>
        <v>0.44</v>
      </c>
      <c r="F781" s="27">
        <f t="shared" si="159"/>
        <v>0.86</v>
      </c>
      <c r="G781">
        <f t="shared" si="160"/>
        <v>65</v>
      </c>
      <c r="H781">
        <f t="shared" si="161"/>
        <v>1</v>
      </c>
      <c r="I781">
        <f t="shared" si="162"/>
        <v>-0.18919846291664436</v>
      </c>
      <c r="J781">
        <f t="shared" si="163"/>
        <v>1.4084032876544244</v>
      </c>
      <c r="K781">
        <f t="shared" si="164"/>
        <v>0.9999998255410405</v>
      </c>
      <c r="L781">
        <f t="shared" si="165"/>
        <v>-1.7445897471893316E-7</v>
      </c>
      <c r="M781">
        <f t="shared" si="166"/>
        <v>0.66153846153846152</v>
      </c>
      <c r="N781">
        <f t="shared" si="167"/>
        <v>0.33846153846153848</v>
      </c>
      <c r="P781">
        <f t="shared" si="168"/>
        <v>607.5</v>
      </c>
      <c r="Q781">
        <f t="shared" si="169"/>
        <v>53.5</v>
      </c>
    </row>
    <row r="782" spans="1:17" x14ac:dyDescent="0.35">
      <c r="A782">
        <v>2024</v>
      </c>
      <c r="B782" s="7">
        <v>184</v>
      </c>
      <c r="C782" s="22">
        <v>42</v>
      </c>
      <c r="D782" s="12">
        <f t="shared" si="157"/>
        <v>23</v>
      </c>
      <c r="E782" s="27">
        <f t="shared" si="158"/>
        <v>0.46</v>
      </c>
      <c r="F782" s="27">
        <f t="shared" si="159"/>
        <v>0.84</v>
      </c>
      <c r="G782">
        <f t="shared" si="160"/>
        <v>65</v>
      </c>
      <c r="H782">
        <f t="shared" si="161"/>
        <v>1</v>
      </c>
      <c r="I782">
        <f t="shared" si="162"/>
        <v>9.5205736476712891E-2</v>
      </c>
      <c r="J782">
        <f t="shared" si="163"/>
        <v>1.2928642825737522</v>
      </c>
      <c r="K782">
        <f t="shared" si="164"/>
        <v>0.99999985745421316</v>
      </c>
      <c r="L782">
        <f t="shared" si="165"/>
        <v>-1.4254579700057131E-7</v>
      </c>
      <c r="M782">
        <f t="shared" si="166"/>
        <v>0.64615384615384619</v>
      </c>
      <c r="N782">
        <f t="shared" si="167"/>
        <v>0.35384615384615387</v>
      </c>
      <c r="P782">
        <f t="shared" si="168"/>
        <v>445</v>
      </c>
      <c r="Q782">
        <f t="shared" si="169"/>
        <v>90.5</v>
      </c>
    </row>
    <row r="783" spans="1:17" x14ac:dyDescent="0.35">
      <c r="A783">
        <v>2024</v>
      </c>
      <c r="B783" s="7">
        <v>190</v>
      </c>
      <c r="C783" s="22">
        <v>41</v>
      </c>
      <c r="D783" s="12">
        <f t="shared" si="157"/>
        <v>23.75</v>
      </c>
      <c r="E783" s="27">
        <f t="shared" si="158"/>
        <v>0.47499999999999998</v>
      </c>
      <c r="F783" s="27">
        <f t="shared" si="159"/>
        <v>0.82</v>
      </c>
      <c r="G783">
        <f t="shared" si="160"/>
        <v>64.75</v>
      </c>
      <c r="H783">
        <f t="shared" si="161"/>
        <v>1</v>
      </c>
      <c r="I783">
        <f t="shared" si="162"/>
        <v>0.30850888602173082</v>
      </c>
      <c r="J783">
        <f t="shared" si="163"/>
        <v>1.1773252774930798</v>
      </c>
      <c r="K783">
        <f t="shared" si="164"/>
        <v>0.9999998410345543</v>
      </c>
      <c r="L783">
        <f t="shared" si="165"/>
        <v>-1.5896545833072128E-7</v>
      </c>
      <c r="M783">
        <f t="shared" si="166"/>
        <v>0.63320463320463316</v>
      </c>
      <c r="N783">
        <f t="shared" si="167"/>
        <v>0.36679536679536678</v>
      </c>
      <c r="P783">
        <f t="shared" si="168"/>
        <v>341</v>
      </c>
      <c r="Q783">
        <f t="shared" si="169"/>
        <v>129.5</v>
      </c>
    </row>
    <row r="784" spans="1:17" x14ac:dyDescent="0.35">
      <c r="A784">
        <v>2024</v>
      </c>
      <c r="B784" s="7">
        <v>210</v>
      </c>
      <c r="C784" s="22">
        <v>38</v>
      </c>
      <c r="D784" s="12">
        <f t="shared" si="157"/>
        <v>26.25</v>
      </c>
      <c r="E784" s="27">
        <f t="shared" si="158"/>
        <v>0.52500000000000002</v>
      </c>
      <c r="F784" s="27">
        <f t="shared" si="159"/>
        <v>0.76</v>
      </c>
      <c r="G784">
        <f t="shared" si="160"/>
        <v>64.25</v>
      </c>
      <c r="H784">
        <f t="shared" si="161"/>
        <v>1</v>
      </c>
      <c r="I784">
        <f t="shared" si="162"/>
        <v>1.019519384505124</v>
      </c>
      <c r="J784">
        <f t="shared" si="163"/>
        <v>0.83070826225106287</v>
      </c>
      <c r="K784">
        <f t="shared" si="164"/>
        <v>0.99999983846727047</v>
      </c>
      <c r="L784">
        <f t="shared" si="165"/>
        <v>-1.6153274257209464E-7</v>
      </c>
      <c r="M784">
        <f t="shared" si="166"/>
        <v>0.59143968871595332</v>
      </c>
      <c r="N784">
        <f t="shared" si="167"/>
        <v>0.40856031128404668</v>
      </c>
      <c r="P784">
        <f t="shared" si="168"/>
        <v>138.5</v>
      </c>
      <c r="Q784">
        <f t="shared" si="169"/>
        <v>297.5</v>
      </c>
    </row>
    <row r="785" spans="1:17" x14ac:dyDescent="0.35">
      <c r="A785">
        <v>2024</v>
      </c>
      <c r="B785" s="7">
        <v>167</v>
      </c>
      <c r="C785" s="22">
        <v>43</v>
      </c>
      <c r="D785" s="12">
        <f t="shared" si="157"/>
        <v>20.875</v>
      </c>
      <c r="E785" s="27">
        <f t="shared" si="158"/>
        <v>0.41749999999999998</v>
      </c>
      <c r="F785" s="27">
        <f t="shared" si="159"/>
        <v>0.86</v>
      </c>
      <c r="G785">
        <f t="shared" si="160"/>
        <v>63.875</v>
      </c>
      <c r="H785">
        <f t="shared" si="161"/>
        <v>1</v>
      </c>
      <c r="I785">
        <f t="shared" si="162"/>
        <v>-0.50915318723417125</v>
      </c>
      <c r="J785">
        <f t="shared" si="163"/>
        <v>1.4084032876544244</v>
      </c>
      <c r="K785">
        <f t="shared" si="164"/>
        <v>0.9999992927292205</v>
      </c>
      <c r="L785">
        <f t="shared" si="165"/>
        <v>-7.0727102961471005E-7</v>
      </c>
      <c r="M785">
        <f t="shared" si="166"/>
        <v>0.67318982387475534</v>
      </c>
      <c r="N785">
        <f t="shared" si="167"/>
        <v>0.3268101761252446</v>
      </c>
      <c r="P785">
        <f t="shared" si="168"/>
        <v>789.5</v>
      </c>
      <c r="Q785">
        <f t="shared" si="169"/>
        <v>53.5</v>
      </c>
    </row>
    <row r="786" spans="1:17" x14ac:dyDescent="0.35">
      <c r="A786">
        <v>2024</v>
      </c>
      <c r="B786" s="7">
        <v>172</v>
      </c>
      <c r="C786" s="22">
        <v>42</v>
      </c>
      <c r="D786" s="12">
        <f t="shared" si="157"/>
        <v>21.5</v>
      </c>
      <c r="E786" s="27">
        <f t="shared" si="158"/>
        <v>0.43</v>
      </c>
      <c r="F786" s="27">
        <f t="shared" si="159"/>
        <v>0.84</v>
      </c>
      <c r="G786">
        <f t="shared" si="160"/>
        <v>63.5</v>
      </c>
      <c r="H786">
        <f t="shared" si="161"/>
        <v>1</v>
      </c>
      <c r="I786">
        <f t="shared" si="162"/>
        <v>-0.33140056261332301</v>
      </c>
      <c r="J786">
        <f t="shared" si="163"/>
        <v>1.2928642825737522</v>
      </c>
      <c r="K786">
        <f t="shared" si="164"/>
        <v>0.99999907853762626</v>
      </c>
      <c r="L786">
        <f t="shared" si="165"/>
        <v>-9.2146279828418329E-7</v>
      </c>
      <c r="M786">
        <f t="shared" si="166"/>
        <v>0.66141732283464572</v>
      </c>
      <c r="N786">
        <f t="shared" si="167"/>
        <v>0.33858267716535434</v>
      </c>
      <c r="P786">
        <f t="shared" si="168"/>
        <v>684</v>
      </c>
      <c r="Q786">
        <f t="shared" si="169"/>
        <v>90.5</v>
      </c>
    </row>
    <row r="787" spans="1:17" x14ac:dyDescent="0.35">
      <c r="A787">
        <v>2024</v>
      </c>
      <c r="B787" s="7">
        <v>163</v>
      </c>
      <c r="C787" s="22">
        <v>43</v>
      </c>
      <c r="D787" s="12">
        <f t="shared" si="157"/>
        <v>20.375</v>
      </c>
      <c r="E787" s="27">
        <f t="shared" si="158"/>
        <v>0.40749999999999997</v>
      </c>
      <c r="F787" s="27">
        <f t="shared" si="159"/>
        <v>0.86</v>
      </c>
      <c r="G787">
        <f t="shared" si="160"/>
        <v>63.375</v>
      </c>
      <c r="H787">
        <f t="shared" si="161"/>
        <v>1</v>
      </c>
      <c r="I787">
        <f t="shared" si="162"/>
        <v>-0.65135528693084987</v>
      </c>
      <c r="J787">
        <f t="shared" si="163"/>
        <v>1.4084032876544244</v>
      </c>
      <c r="K787">
        <f t="shared" si="164"/>
        <v>0.99999868247164525</v>
      </c>
      <c r="L787">
        <f t="shared" si="165"/>
        <v>-1.3175292226907649E-6</v>
      </c>
      <c r="M787">
        <f t="shared" si="166"/>
        <v>0.67850098619329391</v>
      </c>
      <c r="N787">
        <f t="shared" si="167"/>
        <v>0.32149901380670609</v>
      </c>
      <c r="P787">
        <f t="shared" si="168"/>
        <v>860.5</v>
      </c>
      <c r="Q787">
        <f t="shared" si="169"/>
        <v>53.5</v>
      </c>
    </row>
    <row r="788" spans="1:17" x14ac:dyDescent="0.35">
      <c r="A788">
        <v>2024</v>
      </c>
      <c r="B788" s="7">
        <v>161</v>
      </c>
      <c r="C788" s="22">
        <v>43</v>
      </c>
      <c r="D788" s="12">
        <f t="shared" si="157"/>
        <v>20.125</v>
      </c>
      <c r="E788" s="27">
        <f t="shared" si="158"/>
        <v>0.40250000000000002</v>
      </c>
      <c r="F788" s="27">
        <f t="shared" si="159"/>
        <v>0.86</v>
      </c>
      <c r="G788">
        <f t="shared" si="160"/>
        <v>63.125</v>
      </c>
      <c r="H788">
        <f t="shared" si="161"/>
        <v>1</v>
      </c>
      <c r="I788">
        <f t="shared" si="162"/>
        <v>-0.72245633677918919</v>
      </c>
      <c r="J788">
        <f t="shared" si="163"/>
        <v>1.4084032876544244</v>
      </c>
      <c r="K788">
        <f t="shared" si="164"/>
        <v>0.99999820176261811</v>
      </c>
      <c r="L788">
        <f t="shared" si="165"/>
        <v>-1.7982389987200019E-6</v>
      </c>
      <c r="M788">
        <f t="shared" si="166"/>
        <v>0.68118811881188124</v>
      </c>
      <c r="N788">
        <f t="shared" si="167"/>
        <v>0.31881188118811882</v>
      </c>
      <c r="P788">
        <f t="shared" si="168"/>
        <v>892.5</v>
      </c>
      <c r="Q788">
        <f t="shared" si="169"/>
        <v>53.5</v>
      </c>
    </row>
    <row r="789" spans="1:17" x14ac:dyDescent="0.35">
      <c r="A789">
        <v>2024</v>
      </c>
      <c r="B789" s="7">
        <v>169</v>
      </c>
      <c r="C789" s="22">
        <v>42</v>
      </c>
      <c r="D789" s="12">
        <f t="shared" si="157"/>
        <v>21.125</v>
      </c>
      <c r="E789" s="27">
        <f t="shared" si="158"/>
        <v>0.42249999999999999</v>
      </c>
      <c r="F789" s="27">
        <f t="shared" si="159"/>
        <v>0.84</v>
      </c>
      <c r="G789">
        <f t="shared" si="160"/>
        <v>63.125</v>
      </c>
      <c r="H789">
        <f t="shared" si="161"/>
        <v>1</v>
      </c>
      <c r="I789">
        <f t="shared" si="162"/>
        <v>-0.43805213738583199</v>
      </c>
      <c r="J789">
        <f t="shared" si="163"/>
        <v>1.2928642825737522</v>
      </c>
      <c r="K789">
        <f t="shared" si="164"/>
        <v>0.99999853070751221</v>
      </c>
      <c r="L789">
        <f t="shared" si="165"/>
        <v>-1.4692935671991967E-6</v>
      </c>
      <c r="M789">
        <f t="shared" si="166"/>
        <v>0.66534653465346538</v>
      </c>
      <c r="N789">
        <f t="shared" si="167"/>
        <v>0.33465346534653467</v>
      </c>
      <c r="P789">
        <f t="shared" si="168"/>
        <v>744.5</v>
      </c>
      <c r="Q789">
        <f t="shared" si="169"/>
        <v>90.5</v>
      </c>
    </row>
    <row r="790" spans="1:17" x14ac:dyDescent="0.35">
      <c r="A790">
        <v>2024</v>
      </c>
      <c r="B790" s="7">
        <v>151</v>
      </c>
      <c r="C790" s="22">
        <v>44</v>
      </c>
      <c r="D790" s="12">
        <f t="shared" si="157"/>
        <v>18.875</v>
      </c>
      <c r="E790" s="27">
        <f t="shared" si="158"/>
        <v>0.3775</v>
      </c>
      <c r="F790" s="27">
        <f t="shared" si="159"/>
        <v>0.88</v>
      </c>
      <c r="G790">
        <f t="shared" si="160"/>
        <v>62.875</v>
      </c>
      <c r="H790">
        <f t="shared" si="161"/>
        <v>1</v>
      </c>
      <c r="I790">
        <f t="shared" si="162"/>
        <v>-1.0779615860208858</v>
      </c>
      <c r="J790">
        <f t="shared" si="163"/>
        <v>1.5239422927350967</v>
      </c>
      <c r="K790">
        <f t="shared" si="164"/>
        <v>0.99999699618858007</v>
      </c>
      <c r="L790">
        <f t="shared" si="165"/>
        <v>-3.0038159313832246E-6</v>
      </c>
      <c r="M790">
        <f t="shared" si="166"/>
        <v>0.6998011928429424</v>
      </c>
      <c r="N790">
        <f t="shared" si="167"/>
        <v>0.30019880715705766</v>
      </c>
      <c r="P790">
        <f t="shared" si="168"/>
        <v>1029</v>
      </c>
      <c r="Q790">
        <f t="shared" si="169"/>
        <v>26.5</v>
      </c>
    </row>
    <row r="791" spans="1:17" x14ac:dyDescent="0.35">
      <c r="A791">
        <v>2024</v>
      </c>
      <c r="B791" s="7">
        <v>191</v>
      </c>
      <c r="C791" s="22">
        <v>39</v>
      </c>
      <c r="D791" s="12">
        <f t="shared" si="157"/>
        <v>23.875</v>
      </c>
      <c r="E791" s="27">
        <f t="shared" si="158"/>
        <v>0.47749999999999998</v>
      </c>
      <c r="F791" s="27">
        <f t="shared" si="159"/>
        <v>0.78</v>
      </c>
      <c r="G791">
        <f t="shared" si="160"/>
        <v>62.875</v>
      </c>
      <c r="H791">
        <f t="shared" si="161"/>
        <v>1</v>
      </c>
      <c r="I791">
        <f t="shared" si="162"/>
        <v>0.34405941094590048</v>
      </c>
      <c r="J791">
        <f t="shared" si="163"/>
        <v>0.94624726733173525</v>
      </c>
      <c r="K791">
        <f t="shared" si="164"/>
        <v>0.99999890609662478</v>
      </c>
      <c r="L791">
        <f t="shared" si="165"/>
        <v>-1.093903973528266E-6</v>
      </c>
      <c r="M791">
        <f t="shared" si="166"/>
        <v>0.62027833001988075</v>
      </c>
      <c r="N791">
        <f t="shared" si="167"/>
        <v>0.3797216699801193</v>
      </c>
      <c r="P791">
        <f t="shared" si="168"/>
        <v>327</v>
      </c>
      <c r="Q791">
        <f t="shared" si="169"/>
        <v>233</v>
      </c>
    </row>
    <row r="792" spans="1:17" x14ac:dyDescent="0.35">
      <c r="A792">
        <v>2024</v>
      </c>
      <c r="B792" s="7">
        <v>183</v>
      </c>
      <c r="C792" s="22">
        <v>40</v>
      </c>
      <c r="D792" s="12">
        <f t="shared" si="157"/>
        <v>22.875</v>
      </c>
      <c r="E792" s="27">
        <f t="shared" si="158"/>
        <v>0.45750000000000002</v>
      </c>
      <c r="F792" s="27">
        <f t="shared" si="159"/>
        <v>0.8</v>
      </c>
      <c r="G792">
        <f t="shared" si="160"/>
        <v>62.875</v>
      </c>
      <c r="H792">
        <f t="shared" si="161"/>
        <v>1</v>
      </c>
      <c r="I792">
        <f t="shared" si="162"/>
        <v>5.9655211552543233E-2</v>
      </c>
      <c r="J792">
        <f t="shared" si="163"/>
        <v>1.0617862724124074</v>
      </c>
      <c r="K792">
        <f t="shared" si="164"/>
        <v>0.99999866119365433</v>
      </c>
      <c r="L792">
        <f t="shared" si="165"/>
        <v>-1.3388072418763082E-6</v>
      </c>
      <c r="M792">
        <f t="shared" si="166"/>
        <v>0.63618290258449306</v>
      </c>
      <c r="N792">
        <f t="shared" si="167"/>
        <v>0.36381709741550694</v>
      </c>
      <c r="P792">
        <f t="shared" si="168"/>
        <v>465</v>
      </c>
      <c r="Q792">
        <f t="shared" si="169"/>
        <v>173</v>
      </c>
    </row>
    <row r="793" spans="1:17" x14ac:dyDescent="0.35">
      <c r="A793">
        <v>2024</v>
      </c>
      <c r="B793" s="7">
        <v>167</v>
      </c>
      <c r="C793" s="22">
        <v>42</v>
      </c>
      <c r="D793" s="12">
        <f t="shared" si="157"/>
        <v>20.875</v>
      </c>
      <c r="E793" s="27">
        <f t="shared" si="158"/>
        <v>0.41749999999999998</v>
      </c>
      <c r="F793" s="27">
        <f t="shared" si="159"/>
        <v>0.84</v>
      </c>
      <c r="G793">
        <f t="shared" si="160"/>
        <v>62.875</v>
      </c>
      <c r="H793">
        <f t="shared" si="161"/>
        <v>1</v>
      </c>
      <c r="I793">
        <f t="shared" si="162"/>
        <v>-0.50915318723417125</v>
      </c>
      <c r="J793">
        <f t="shared" si="163"/>
        <v>1.2928642825737522</v>
      </c>
      <c r="K793">
        <f t="shared" si="164"/>
        <v>0.99999799462643757</v>
      </c>
      <c r="L793">
        <f t="shared" si="165"/>
        <v>-2.0053755731946076E-6</v>
      </c>
      <c r="M793">
        <f t="shared" si="166"/>
        <v>0.66799204771371767</v>
      </c>
      <c r="N793">
        <f t="shared" si="167"/>
        <v>0.33200795228628233</v>
      </c>
      <c r="P793">
        <f t="shared" si="168"/>
        <v>789.5</v>
      </c>
      <c r="Q793">
        <f t="shared" si="169"/>
        <v>90.5</v>
      </c>
    </row>
    <row r="794" spans="1:17" x14ac:dyDescent="0.35">
      <c r="A794">
        <v>2024</v>
      </c>
      <c r="B794" s="7">
        <v>155</v>
      </c>
      <c r="C794" s="22">
        <v>43</v>
      </c>
      <c r="D794" s="12">
        <f t="shared" si="157"/>
        <v>19.375</v>
      </c>
      <c r="E794" s="27">
        <f t="shared" si="158"/>
        <v>0.38750000000000001</v>
      </c>
      <c r="F794" s="27">
        <f t="shared" si="159"/>
        <v>0.86</v>
      </c>
      <c r="G794">
        <f t="shared" si="160"/>
        <v>62.375</v>
      </c>
      <c r="H794">
        <f t="shared" si="161"/>
        <v>1</v>
      </c>
      <c r="I794">
        <f t="shared" si="162"/>
        <v>-0.93575948632420713</v>
      </c>
      <c r="J794">
        <f t="shared" si="163"/>
        <v>1.4084032876544244</v>
      </c>
      <c r="K794">
        <f t="shared" si="164"/>
        <v>0.99999542798552754</v>
      </c>
      <c r="L794">
        <f t="shared" si="165"/>
        <v>-4.5720249241492766E-6</v>
      </c>
      <c r="M794">
        <f t="shared" si="166"/>
        <v>0.68937875751503008</v>
      </c>
      <c r="N794">
        <f t="shared" si="167"/>
        <v>0.31062124248496992</v>
      </c>
      <c r="P794">
        <f t="shared" si="168"/>
        <v>985</v>
      </c>
      <c r="Q794">
        <f t="shared" si="169"/>
        <v>53.5</v>
      </c>
    </row>
    <row r="795" spans="1:17" x14ac:dyDescent="0.35">
      <c r="A795">
        <v>2024</v>
      </c>
      <c r="B795" s="7">
        <v>163</v>
      </c>
      <c r="C795" s="22">
        <v>42</v>
      </c>
      <c r="D795" s="12">
        <f t="shared" si="157"/>
        <v>20.375</v>
      </c>
      <c r="E795" s="27">
        <f t="shared" si="158"/>
        <v>0.40749999999999997</v>
      </c>
      <c r="F795" s="27">
        <f t="shared" si="159"/>
        <v>0.84</v>
      </c>
      <c r="G795">
        <f t="shared" si="160"/>
        <v>62.375</v>
      </c>
      <c r="H795">
        <f t="shared" si="161"/>
        <v>1</v>
      </c>
      <c r="I795">
        <f t="shared" si="162"/>
        <v>-0.65135528693084987</v>
      </c>
      <c r="J795">
        <f t="shared" si="163"/>
        <v>1.2928642825737522</v>
      </c>
      <c r="K795">
        <f t="shared" si="164"/>
        <v>0.99999626432528022</v>
      </c>
      <c r="L795">
        <f t="shared" si="165"/>
        <v>-3.7356816974349375E-6</v>
      </c>
      <c r="M795">
        <f t="shared" si="166"/>
        <v>0.67334669338677355</v>
      </c>
      <c r="N795">
        <f t="shared" si="167"/>
        <v>0.32665330661322645</v>
      </c>
      <c r="P795">
        <f t="shared" si="168"/>
        <v>860.5</v>
      </c>
      <c r="Q795">
        <f t="shared" si="169"/>
        <v>90.5</v>
      </c>
    </row>
    <row r="796" spans="1:17" x14ac:dyDescent="0.35">
      <c r="A796">
        <v>2024</v>
      </c>
      <c r="B796" s="7">
        <v>162</v>
      </c>
      <c r="C796" s="22">
        <v>42</v>
      </c>
      <c r="D796" s="12">
        <f t="shared" si="157"/>
        <v>20.25</v>
      </c>
      <c r="E796" s="27">
        <f t="shared" si="158"/>
        <v>0.40500000000000003</v>
      </c>
      <c r="F796" s="27">
        <f t="shared" si="159"/>
        <v>0.84</v>
      </c>
      <c r="G796">
        <f t="shared" si="160"/>
        <v>62.25</v>
      </c>
      <c r="H796">
        <f t="shared" si="161"/>
        <v>1</v>
      </c>
      <c r="I796">
        <f t="shared" si="162"/>
        <v>-0.68690581185501953</v>
      </c>
      <c r="J796">
        <f t="shared" si="163"/>
        <v>1.2928642825737522</v>
      </c>
      <c r="K796">
        <f t="shared" si="164"/>
        <v>0.99999563572196526</v>
      </c>
      <c r="L796">
        <f t="shared" si="165"/>
        <v>-4.3642875582299117E-6</v>
      </c>
      <c r="M796">
        <f t="shared" si="166"/>
        <v>0.67469879518072284</v>
      </c>
      <c r="N796">
        <f t="shared" si="167"/>
        <v>0.3253012048192771</v>
      </c>
      <c r="P796">
        <f t="shared" si="168"/>
        <v>876</v>
      </c>
      <c r="Q796">
        <f t="shared" si="169"/>
        <v>90.5</v>
      </c>
    </row>
    <row r="797" spans="1:17" x14ac:dyDescent="0.35">
      <c r="A797">
        <v>2024</v>
      </c>
      <c r="B797" s="7">
        <v>185</v>
      </c>
      <c r="C797" s="22">
        <v>39</v>
      </c>
      <c r="D797" s="12">
        <f t="shared" si="157"/>
        <v>23.125</v>
      </c>
      <c r="E797" s="27">
        <f t="shared" si="158"/>
        <v>0.46250000000000002</v>
      </c>
      <c r="F797" s="27">
        <f t="shared" si="159"/>
        <v>0.78</v>
      </c>
      <c r="G797">
        <f t="shared" si="160"/>
        <v>62.125</v>
      </c>
      <c r="H797">
        <f t="shared" si="161"/>
        <v>1</v>
      </c>
      <c r="I797">
        <f t="shared" si="162"/>
        <v>0.13075626140088253</v>
      </c>
      <c r="J797">
        <f t="shared" si="163"/>
        <v>0.94624726733173525</v>
      </c>
      <c r="K797">
        <f t="shared" si="164"/>
        <v>0.9999972187501236</v>
      </c>
      <c r="L797">
        <f t="shared" si="165"/>
        <v>-2.78125374408721E-6</v>
      </c>
      <c r="M797">
        <f t="shared" si="166"/>
        <v>0.62776659959758552</v>
      </c>
      <c r="N797">
        <f t="shared" si="167"/>
        <v>0.37223340040241448</v>
      </c>
      <c r="P797">
        <f t="shared" si="168"/>
        <v>428.5</v>
      </c>
      <c r="Q797">
        <f t="shared" si="169"/>
        <v>233</v>
      </c>
    </row>
    <row r="798" spans="1:17" x14ac:dyDescent="0.35">
      <c r="A798">
        <v>2024</v>
      </c>
      <c r="B798" s="7">
        <v>160</v>
      </c>
      <c r="C798" s="22">
        <v>42</v>
      </c>
      <c r="D798" s="12">
        <f t="shared" si="157"/>
        <v>20</v>
      </c>
      <c r="E798" s="27">
        <f t="shared" si="158"/>
        <v>0.4</v>
      </c>
      <c r="F798" s="27">
        <f t="shared" si="159"/>
        <v>0.84</v>
      </c>
      <c r="G798">
        <f t="shared" si="160"/>
        <v>62</v>
      </c>
      <c r="H798">
        <f t="shared" si="161"/>
        <v>1</v>
      </c>
      <c r="I798">
        <f t="shared" si="162"/>
        <v>-0.75800686170335885</v>
      </c>
      <c r="J798">
        <f t="shared" si="163"/>
        <v>1.2928642825737522</v>
      </c>
      <c r="K798">
        <f t="shared" si="164"/>
        <v>0.99999404339257314</v>
      </c>
      <c r="L798">
        <f t="shared" si="165"/>
        <v>-5.9566251675166852E-6</v>
      </c>
      <c r="M798">
        <f t="shared" si="166"/>
        <v>0.67741935483870963</v>
      </c>
      <c r="N798">
        <f t="shared" si="167"/>
        <v>0.32258064516129031</v>
      </c>
      <c r="P798">
        <f t="shared" si="168"/>
        <v>908</v>
      </c>
      <c r="Q798">
        <f t="shared" si="169"/>
        <v>90.5</v>
      </c>
    </row>
    <row r="799" spans="1:17" x14ac:dyDescent="0.35">
      <c r="A799">
        <v>2024</v>
      </c>
      <c r="B799" s="7">
        <v>184</v>
      </c>
      <c r="C799" s="22">
        <v>39</v>
      </c>
      <c r="D799" s="12">
        <f t="shared" si="157"/>
        <v>23</v>
      </c>
      <c r="E799" s="27">
        <f t="shared" si="158"/>
        <v>0.46</v>
      </c>
      <c r="F799" s="27">
        <f t="shared" si="159"/>
        <v>0.78</v>
      </c>
      <c r="G799">
        <f t="shared" si="160"/>
        <v>62</v>
      </c>
      <c r="H799">
        <f t="shared" si="161"/>
        <v>1</v>
      </c>
      <c r="I799">
        <f t="shared" si="162"/>
        <v>9.5205736476712891E-2</v>
      </c>
      <c r="J799">
        <f t="shared" si="163"/>
        <v>0.94624726733173525</v>
      </c>
      <c r="K799">
        <f t="shared" si="164"/>
        <v>0.9999967507476949</v>
      </c>
      <c r="L799">
        <f t="shared" si="165"/>
        <v>-3.2492575839359057E-6</v>
      </c>
      <c r="M799">
        <f t="shared" si="166"/>
        <v>0.62903225806451613</v>
      </c>
      <c r="N799">
        <f t="shared" si="167"/>
        <v>0.37096774193548387</v>
      </c>
      <c r="P799">
        <f t="shared" si="168"/>
        <v>445</v>
      </c>
      <c r="Q799">
        <f t="shared" si="169"/>
        <v>233</v>
      </c>
    </row>
    <row r="800" spans="1:17" x14ac:dyDescent="0.35">
      <c r="A800">
        <v>2024</v>
      </c>
      <c r="B800" s="7">
        <v>176</v>
      </c>
      <c r="C800" s="22">
        <v>40</v>
      </c>
      <c r="D800" s="12">
        <f t="shared" si="157"/>
        <v>22</v>
      </c>
      <c r="E800" s="27">
        <f t="shared" si="158"/>
        <v>0.44</v>
      </c>
      <c r="F800" s="27">
        <f t="shared" si="159"/>
        <v>0.8</v>
      </c>
      <c r="G800">
        <f t="shared" si="160"/>
        <v>62</v>
      </c>
      <c r="H800">
        <f t="shared" si="161"/>
        <v>1</v>
      </c>
      <c r="I800">
        <f t="shared" si="162"/>
        <v>-0.18919846291664436</v>
      </c>
      <c r="J800">
        <f t="shared" si="163"/>
        <v>1.0617862724124074</v>
      </c>
      <c r="K800">
        <f t="shared" si="164"/>
        <v>0.99999602330735515</v>
      </c>
      <c r="L800">
        <f t="shared" si="165"/>
        <v>-3.9767005519101712E-6</v>
      </c>
      <c r="M800">
        <f t="shared" si="166"/>
        <v>0.64516129032258063</v>
      </c>
      <c r="N800">
        <f t="shared" si="167"/>
        <v>0.35483870967741937</v>
      </c>
      <c r="P800">
        <f t="shared" si="168"/>
        <v>607.5</v>
      </c>
      <c r="Q800">
        <f t="shared" si="169"/>
        <v>173</v>
      </c>
    </row>
    <row r="801" spans="1:17" x14ac:dyDescent="0.35">
      <c r="A801">
        <v>2024</v>
      </c>
      <c r="B801" s="7">
        <v>183</v>
      </c>
      <c r="C801" s="22">
        <v>39</v>
      </c>
      <c r="D801" s="12">
        <f t="shared" si="157"/>
        <v>22.875</v>
      </c>
      <c r="E801" s="27">
        <f t="shared" si="158"/>
        <v>0.45750000000000002</v>
      </c>
      <c r="F801" s="27">
        <f t="shared" si="159"/>
        <v>0.78</v>
      </c>
      <c r="G801">
        <f t="shared" si="160"/>
        <v>61.875</v>
      </c>
      <c r="H801">
        <f t="shared" si="161"/>
        <v>1</v>
      </c>
      <c r="I801">
        <f t="shared" si="162"/>
        <v>5.9655211552543233E-2</v>
      </c>
      <c r="J801">
        <f t="shared" si="163"/>
        <v>0.94624726733173525</v>
      </c>
      <c r="K801">
        <f t="shared" si="164"/>
        <v>0.99999620399454214</v>
      </c>
      <c r="L801">
        <f t="shared" si="165"/>
        <v>-3.7960126627036948E-6</v>
      </c>
      <c r="M801">
        <f t="shared" si="166"/>
        <v>0.63030303030303025</v>
      </c>
      <c r="N801">
        <f t="shared" si="167"/>
        <v>0.36969696969696969</v>
      </c>
      <c r="P801">
        <f t="shared" si="168"/>
        <v>465</v>
      </c>
      <c r="Q801">
        <f t="shared" si="169"/>
        <v>233</v>
      </c>
    </row>
    <row r="802" spans="1:17" x14ac:dyDescent="0.35">
      <c r="A802">
        <v>2024</v>
      </c>
      <c r="B802" s="7">
        <v>181</v>
      </c>
      <c r="C802" s="22">
        <v>39</v>
      </c>
      <c r="D802" s="12">
        <f t="shared" si="157"/>
        <v>22.625</v>
      </c>
      <c r="E802" s="27">
        <f t="shared" si="158"/>
        <v>0.45250000000000001</v>
      </c>
      <c r="F802" s="27">
        <f t="shared" si="159"/>
        <v>0.78</v>
      </c>
      <c r="G802">
        <f t="shared" si="160"/>
        <v>61.625</v>
      </c>
      <c r="H802">
        <f t="shared" si="161"/>
        <v>1</v>
      </c>
      <c r="I802">
        <f t="shared" si="162"/>
        <v>-1.1445838295796084E-2</v>
      </c>
      <c r="J802">
        <f t="shared" si="163"/>
        <v>0.94624726733173525</v>
      </c>
      <c r="K802">
        <f t="shared" si="164"/>
        <v>0.99999481900126164</v>
      </c>
      <c r="L802">
        <f t="shared" si="165"/>
        <v>-5.1810121597836281E-6</v>
      </c>
      <c r="M802">
        <f t="shared" si="166"/>
        <v>0.63286004056795131</v>
      </c>
      <c r="N802">
        <f t="shared" si="167"/>
        <v>0.36713995943204869</v>
      </c>
      <c r="P802">
        <f t="shared" si="168"/>
        <v>505</v>
      </c>
      <c r="Q802">
        <f t="shared" si="169"/>
        <v>233</v>
      </c>
    </row>
    <row r="803" spans="1:17" x14ac:dyDescent="0.35">
      <c r="A803">
        <v>2024</v>
      </c>
      <c r="B803" s="7">
        <v>196</v>
      </c>
      <c r="C803" s="22">
        <v>37</v>
      </c>
      <c r="D803" s="12">
        <f t="shared" si="157"/>
        <v>24.5</v>
      </c>
      <c r="E803" s="27">
        <f t="shared" si="158"/>
        <v>0.49</v>
      </c>
      <c r="F803" s="27">
        <f t="shared" si="159"/>
        <v>0.74</v>
      </c>
      <c r="G803">
        <f t="shared" si="160"/>
        <v>61.5</v>
      </c>
      <c r="H803">
        <f t="shared" si="161"/>
        <v>1</v>
      </c>
      <c r="I803">
        <f t="shared" si="162"/>
        <v>0.52181203556674882</v>
      </c>
      <c r="J803">
        <f t="shared" si="163"/>
        <v>0.71516925717039059</v>
      </c>
      <c r="K803">
        <f t="shared" si="164"/>
        <v>0.99999595908421968</v>
      </c>
      <c r="L803">
        <f t="shared" si="165"/>
        <v>-4.0409239448455618E-6</v>
      </c>
      <c r="M803">
        <f t="shared" si="166"/>
        <v>0.60162601626016265</v>
      </c>
      <c r="N803">
        <f t="shared" si="167"/>
        <v>0.3983739837398374</v>
      </c>
      <c r="P803">
        <f t="shared" si="168"/>
        <v>270</v>
      </c>
      <c r="Q803">
        <f t="shared" si="169"/>
        <v>351</v>
      </c>
    </row>
    <row r="804" spans="1:17" x14ac:dyDescent="0.35">
      <c r="A804">
        <v>2024</v>
      </c>
      <c r="B804" s="7">
        <v>172</v>
      </c>
      <c r="C804" s="22">
        <v>40</v>
      </c>
      <c r="D804" s="12">
        <f t="shared" si="157"/>
        <v>21.5</v>
      </c>
      <c r="E804" s="27">
        <f t="shared" si="158"/>
        <v>0.43</v>
      </c>
      <c r="F804" s="27">
        <f t="shared" si="159"/>
        <v>0.8</v>
      </c>
      <c r="G804">
        <f t="shared" si="160"/>
        <v>61.5</v>
      </c>
      <c r="H804">
        <f t="shared" si="161"/>
        <v>1</v>
      </c>
      <c r="I804">
        <f t="shared" si="162"/>
        <v>-0.33140056261332301</v>
      </c>
      <c r="J804">
        <f t="shared" si="163"/>
        <v>1.0617862724124074</v>
      </c>
      <c r="K804">
        <f t="shared" si="164"/>
        <v>0.99999259210094771</v>
      </c>
      <c r="L804">
        <f t="shared" si="165"/>
        <v>-7.4079264909115811E-6</v>
      </c>
      <c r="M804">
        <f t="shared" si="166"/>
        <v>0.65040650406504064</v>
      </c>
      <c r="N804">
        <f t="shared" si="167"/>
        <v>0.34959349593495936</v>
      </c>
      <c r="P804">
        <f t="shared" si="168"/>
        <v>684</v>
      </c>
      <c r="Q804">
        <f t="shared" si="169"/>
        <v>173</v>
      </c>
    </row>
    <row r="805" spans="1:17" x14ac:dyDescent="0.35">
      <c r="A805">
        <v>2024</v>
      </c>
      <c r="B805" s="7">
        <v>188</v>
      </c>
      <c r="C805" s="22">
        <v>38</v>
      </c>
      <c r="D805" s="12">
        <f t="shared" si="157"/>
        <v>23.5</v>
      </c>
      <c r="E805" s="27">
        <f t="shared" si="158"/>
        <v>0.47</v>
      </c>
      <c r="F805" s="27">
        <f t="shared" si="159"/>
        <v>0.76</v>
      </c>
      <c r="G805">
        <f t="shared" si="160"/>
        <v>61.5</v>
      </c>
      <c r="H805">
        <f t="shared" si="161"/>
        <v>1</v>
      </c>
      <c r="I805">
        <f t="shared" si="162"/>
        <v>0.23740783617339151</v>
      </c>
      <c r="J805">
        <f t="shared" si="163"/>
        <v>0.83070826225106287</v>
      </c>
      <c r="K805">
        <f t="shared" si="164"/>
        <v>0.99999505440768977</v>
      </c>
      <c r="L805">
        <f t="shared" si="165"/>
        <v>-4.9456045397168077E-6</v>
      </c>
      <c r="M805">
        <f t="shared" si="166"/>
        <v>0.61788617886178865</v>
      </c>
      <c r="N805">
        <f t="shared" si="167"/>
        <v>0.38211382113821141</v>
      </c>
      <c r="P805">
        <f t="shared" si="168"/>
        <v>374.5</v>
      </c>
      <c r="Q805">
        <f t="shared" si="169"/>
        <v>297.5</v>
      </c>
    </row>
    <row r="806" spans="1:17" x14ac:dyDescent="0.35">
      <c r="A806">
        <v>2024</v>
      </c>
      <c r="B806" s="7">
        <v>220</v>
      </c>
      <c r="C806" s="22">
        <v>34</v>
      </c>
      <c r="D806" s="12">
        <f t="shared" si="157"/>
        <v>27.5</v>
      </c>
      <c r="E806" s="27">
        <f t="shared" si="158"/>
        <v>0.55000000000000004</v>
      </c>
      <c r="F806" s="27">
        <f t="shared" si="159"/>
        <v>0.68</v>
      </c>
      <c r="G806">
        <f t="shared" si="160"/>
        <v>61.5</v>
      </c>
      <c r="H806">
        <f t="shared" si="161"/>
        <v>1</v>
      </c>
      <c r="I806">
        <f t="shared" si="162"/>
        <v>1.3750246337468206</v>
      </c>
      <c r="J806">
        <f t="shared" si="163"/>
        <v>0.36855224192837371</v>
      </c>
      <c r="K806">
        <f t="shared" si="164"/>
        <v>0.99999779573462866</v>
      </c>
      <c r="L806">
        <f t="shared" si="165"/>
        <v>-2.2042678007381463E-6</v>
      </c>
      <c r="M806">
        <f t="shared" si="166"/>
        <v>0.55284552845528456</v>
      </c>
      <c r="N806">
        <f t="shared" si="167"/>
        <v>0.44715447154471544</v>
      </c>
      <c r="P806">
        <f t="shared" si="168"/>
        <v>84</v>
      </c>
      <c r="Q806">
        <f t="shared" si="169"/>
        <v>484.5</v>
      </c>
    </row>
    <row r="807" spans="1:17" x14ac:dyDescent="0.35">
      <c r="A807">
        <v>2024</v>
      </c>
      <c r="B807" s="7">
        <v>187</v>
      </c>
      <c r="C807" s="22">
        <v>38</v>
      </c>
      <c r="D807" s="12">
        <f t="shared" si="157"/>
        <v>23.375</v>
      </c>
      <c r="E807" s="27">
        <f t="shared" si="158"/>
        <v>0.46750000000000003</v>
      </c>
      <c r="F807" s="27">
        <f t="shared" si="159"/>
        <v>0.76</v>
      </c>
      <c r="G807">
        <f t="shared" si="160"/>
        <v>61.375</v>
      </c>
      <c r="H807">
        <f t="shared" si="161"/>
        <v>1</v>
      </c>
      <c r="I807">
        <f t="shared" si="162"/>
        <v>0.20185731124922185</v>
      </c>
      <c r="J807">
        <f t="shared" si="163"/>
        <v>0.83070826225106287</v>
      </c>
      <c r="K807">
        <f t="shared" si="164"/>
        <v>0.99999422221228773</v>
      </c>
      <c r="L807">
        <f t="shared" si="165"/>
        <v>-5.7778044037486068E-6</v>
      </c>
      <c r="M807">
        <f t="shared" si="166"/>
        <v>0.61914460285132378</v>
      </c>
      <c r="N807">
        <f t="shared" si="167"/>
        <v>0.38085539714867617</v>
      </c>
      <c r="P807">
        <f t="shared" si="168"/>
        <v>393</v>
      </c>
      <c r="Q807">
        <f t="shared" si="169"/>
        <v>297.5</v>
      </c>
    </row>
    <row r="808" spans="1:17" x14ac:dyDescent="0.35">
      <c r="A808">
        <v>2024</v>
      </c>
      <c r="B808" s="7">
        <v>168</v>
      </c>
      <c r="C808" s="22">
        <v>40</v>
      </c>
      <c r="D808" s="12">
        <f t="shared" si="157"/>
        <v>21</v>
      </c>
      <c r="E808" s="27">
        <f t="shared" si="158"/>
        <v>0.42</v>
      </c>
      <c r="F808" s="27">
        <f t="shared" si="159"/>
        <v>0.8</v>
      </c>
      <c r="G808">
        <f t="shared" si="160"/>
        <v>61</v>
      </c>
      <c r="H808">
        <f t="shared" si="161"/>
        <v>1</v>
      </c>
      <c r="I808">
        <f t="shared" si="162"/>
        <v>-0.47360266231000164</v>
      </c>
      <c r="J808">
        <f t="shared" si="163"/>
        <v>1.0617862724124074</v>
      </c>
      <c r="K808">
        <f t="shared" si="164"/>
        <v>0.99998620039042407</v>
      </c>
      <c r="L808">
        <f t="shared" si="165"/>
        <v>-1.3799704791414481E-5</v>
      </c>
      <c r="M808">
        <f t="shared" si="166"/>
        <v>0.65573770491803274</v>
      </c>
      <c r="N808">
        <f t="shared" si="167"/>
        <v>0.34426229508196721</v>
      </c>
      <c r="P808">
        <f t="shared" si="168"/>
        <v>767</v>
      </c>
      <c r="Q808">
        <f t="shared" si="169"/>
        <v>173</v>
      </c>
    </row>
    <row r="809" spans="1:17" x14ac:dyDescent="0.35">
      <c r="A809">
        <v>2024</v>
      </c>
      <c r="B809" s="7">
        <v>184</v>
      </c>
      <c r="C809" s="22">
        <v>38</v>
      </c>
      <c r="D809" s="12">
        <f t="shared" si="157"/>
        <v>23</v>
      </c>
      <c r="E809" s="27">
        <f t="shared" si="158"/>
        <v>0.46</v>
      </c>
      <c r="F809" s="27">
        <f t="shared" si="159"/>
        <v>0.76</v>
      </c>
      <c r="G809">
        <f t="shared" si="160"/>
        <v>61</v>
      </c>
      <c r="H809">
        <f t="shared" si="161"/>
        <v>1</v>
      </c>
      <c r="I809">
        <f t="shared" si="162"/>
        <v>9.5205736476712891E-2</v>
      </c>
      <c r="J809">
        <f t="shared" si="163"/>
        <v>0.83070826225106287</v>
      </c>
      <c r="K809">
        <f t="shared" si="164"/>
        <v>0.99999078721409196</v>
      </c>
      <c r="L809">
        <f t="shared" si="165"/>
        <v>-9.2128283460142744E-6</v>
      </c>
      <c r="M809">
        <f t="shared" si="166"/>
        <v>0.62295081967213117</v>
      </c>
      <c r="N809">
        <f t="shared" si="167"/>
        <v>0.37704918032786883</v>
      </c>
      <c r="P809">
        <f t="shared" si="168"/>
        <v>445</v>
      </c>
      <c r="Q809">
        <f t="shared" si="169"/>
        <v>297.5</v>
      </c>
    </row>
    <row r="810" spans="1:17" x14ac:dyDescent="0.35">
      <c r="A810">
        <v>2024</v>
      </c>
      <c r="B810" s="7">
        <v>168</v>
      </c>
      <c r="C810" s="22">
        <v>40</v>
      </c>
      <c r="D810" s="12">
        <f t="shared" si="157"/>
        <v>21</v>
      </c>
      <c r="E810" s="27">
        <f t="shared" si="158"/>
        <v>0.42</v>
      </c>
      <c r="F810" s="27">
        <f t="shared" si="159"/>
        <v>0.8</v>
      </c>
      <c r="G810">
        <f t="shared" si="160"/>
        <v>61</v>
      </c>
      <c r="H810">
        <f t="shared" si="161"/>
        <v>1</v>
      </c>
      <c r="I810">
        <f t="shared" si="162"/>
        <v>-0.47360266231000164</v>
      </c>
      <c r="J810">
        <f t="shared" si="163"/>
        <v>1.0617862724124074</v>
      </c>
      <c r="K810">
        <f t="shared" si="164"/>
        <v>0.99998620039042407</v>
      </c>
      <c r="L810">
        <f t="shared" si="165"/>
        <v>-1.3799704791414481E-5</v>
      </c>
      <c r="M810">
        <f t="shared" si="166"/>
        <v>0.65573770491803274</v>
      </c>
      <c r="N810">
        <f t="shared" si="167"/>
        <v>0.34426229508196721</v>
      </c>
      <c r="P810">
        <f t="shared" si="168"/>
        <v>767</v>
      </c>
      <c r="Q810">
        <f t="shared" si="169"/>
        <v>173</v>
      </c>
    </row>
    <row r="811" spans="1:17" x14ac:dyDescent="0.35">
      <c r="A811">
        <v>2024</v>
      </c>
      <c r="B811" s="7">
        <v>172</v>
      </c>
      <c r="C811" s="22">
        <v>39</v>
      </c>
      <c r="D811" s="12">
        <f t="shared" si="157"/>
        <v>21.5</v>
      </c>
      <c r="E811" s="27">
        <f t="shared" si="158"/>
        <v>0.43</v>
      </c>
      <c r="F811" s="27">
        <f t="shared" si="159"/>
        <v>0.78</v>
      </c>
      <c r="G811">
        <f t="shared" si="160"/>
        <v>60.5</v>
      </c>
      <c r="H811">
        <f t="shared" si="161"/>
        <v>1</v>
      </c>
      <c r="I811">
        <f t="shared" si="162"/>
        <v>-0.33140056261332301</v>
      </c>
      <c r="J811">
        <f t="shared" si="163"/>
        <v>0.94624726733173525</v>
      </c>
      <c r="K811">
        <f t="shared" si="164"/>
        <v>0.99997899613182173</v>
      </c>
      <c r="L811">
        <f t="shared" si="165"/>
        <v>-2.1004088762598916E-5</v>
      </c>
      <c r="M811">
        <f t="shared" si="166"/>
        <v>0.64462809917355368</v>
      </c>
      <c r="N811">
        <f t="shared" si="167"/>
        <v>0.35537190082644626</v>
      </c>
      <c r="P811">
        <f t="shared" si="168"/>
        <v>684</v>
      </c>
      <c r="Q811">
        <f t="shared" si="169"/>
        <v>233</v>
      </c>
    </row>
    <row r="812" spans="1:17" x14ac:dyDescent="0.35">
      <c r="A812">
        <v>2024</v>
      </c>
      <c r="B812" s="7">
        <v>199</v>
      </c>
      <c r="C812" s="22">
        <v>35</v>
      </c>
      <c r="D812" s="12">
        <f t="shared" si="157"/>
        <v>24.875</v>
      </c>
      <c r="E812" s="27">
        <f t="shared" si="158"/>
        <v>0.4975</v>
      </c>
      <c r="F812" s="27">
        <f t="shared" si="159"/>
        <v>0.7</v>
      </c>
      <c r="G812">
        <f t="shared" si="160"/>
        <v>59.875</v>
      </c>
      <c r="H812">
        <f t="shared" si="161"/>
        <v>1</v>
      </c>
      <c r="I812">
        <f t="shared" si="162"/>
        <v>0.62846361033925779</v>
      </c>
      <c r="J812">
        <f t="shared" si="163"/>
        <v>0.48409124700904599</v>
      </c>
      <c r="K812">
        <f t="shared" si="164"/>
        <v>0.99997962666706142</v>
      </c>
      <c r="L812">
        <f t="shared" si="165"/>
        <v>-2.0373540477749927E-5</v>
      </c>
      <c r="M812">
        <f t="shared" si="166"/>
        <v>0.58455114822546972</v>
      </c>
      <c r="N812">
        <f t="shared" si="167"/>
        <v>0.41544885177453028</v>
      </c>
      <c r="P812">
        <f t="shared" si="168"/>
        <v>239</v>
      </c>
      <c r="Q812">
        <f t="shared" si="169"/>
        <v>448.5</v>
      </c>
    </row>
    <row r="813" spans="1:17" x14ac:dyDescent="0.35">
      <c r="A813">
        <v>2024</v>
      </c>
      <c r="B813" s="7">
        <v>142</v>
      </c>
      <c r="C813" s="22">
        <v>42</v>
      </c>
      <c r="D813" s="12">
        <f t="shared" si="157"/>
        <v>17.75</v>
      </c>
      <c r="E813" s="27">
        <f t="shared" si="158"/>
        <v>0.35499999999999998</v>
      </c>
      <c r="F813" s="27">
        <f t="shared" si="159"/>
        <v>0.84</v>
      </c>
      <c r="G813">
        <f t="shared" si="160"/>
        <v>59.75</v>
      </c>
      <c r="H813">
        <f t="shared" si="161"/>
        <v>1</v>
      </c>
      <c r="I813">
        <f t="shared" si="162"/>
        <v>-1.3979163103384127</v>
      </c>
      <c r="J813">
        <f t="shared" si="163"/>
        <v>1.2928642825737522</v>
      </c>
      <c r="K813">
        <f t="shared" si="164"/>
        <v>0.99990210863408135</v>
      </c>
      <c r="L813">
        <f t="shared" si="165"/>
        <v>-9.7896157591117509E-5</v>
      </c>
      <c r="M813">
        <f t="shared" si="166"/>
        <v>0.70292887029288698</v>
      </c>
      <c r="N813">
        <f t="shared" si="167"/>
        <v>0.29707112970711297</v>
      </c>
      <c r="P813">
        <f t="shared" si="168"/>
        <v>1098</v>
      </c>
      <c r="Q813">
        <f t="shared" si="169"/>
        <v>90.5</v>
      </c>
    </row>
    <row r="814" spans="1:17" x14ac:dyDescent="0.35">
      <c r="A814">
        <v>2024</v>
      </c>
      <c r="B814" s="7">
        <v>174</v>
      </c>
      <c r="C814" s="22">
        <v>38</v>
      </c>
      <c r="D814" s="12">
        <f t="shared" si="157"/>
        <v>21.75</v>
      </c>
      <c r="E814" s="27">
        <f t="shared" si="158"/>
        <v>0.435</v>
      </c>
      <c r="F814" s="27">
        <f t="shared" si="159"/>
        <v>0.76</v>
      </c>
      <c r="G814">
        <f t="shared" si="160"/>
        <v>59.75</v>
      </c>
      <c r="H814">
        <f t="shared" si="161"/>
        <v>1</v>
      </c>
      <c r="I814">
        <f t="shared" si="162"/>
        <v>-0.2602995127649837</v>
      </c>
      <c r="J814">
        <f t="shared" si="163"/>
        <v>0.83070826225106287</v>
      </c>
      <c r="K814">
        <f t="shared" si="164"/>
        <v>0.99995636727575676</v>
      </c>
      <c r="L814">
        <f t="shared" si="165"/>
        <v>-4.36336761782395E-5</v>
      </c>
      <c r="M814">
        <f t="shared" si="166"/>
        <v>0.63598326359832635</v>
      </c>
      <c r="N814">
        <f t="shared" si="167"/>
        <v>0.36401673640167365</v>
      </c>
      <c r="P814">
        <f t="shared" si="168"/>
        <v>653</v>
      </c>
      <c r="Q814">
        <f t="shared" si="169"/>
        <v>297.5</v>
      </c>
    </row>
    <row r="815" spans="1:17" x14ac:dyDescent="0.35">
      <c r="A815">
        <v>2024</v>
      </c>
      <c r="B815" s="7">
        <v>142</v>
      </c>
      <c r="C815" s="22">
        <v>42</v>
      </c>
      <c r="D815" s="12">
        <f t="shared" si="157"/>
        <v>17.75</v>
      </c>
      <c r="E815" s="27">
        <f t="shared" si="158"/>
        <v>0.35499999999999998</v>
      </c>
      <c r="F815" s="27">
        <f t="shared" si="159"/>
        <v>0.84</v>
      </c>
      <c r="G815">
        <f t="shared" si="160"/>
        <v>59.75</v>
      </c>
      <c r="H815">
        <f t="shared" si="161"/>
        <v>1</v>
      </c>
      <c r="I815">
        <f t="shared" si="162"/>
        <v>-1.3979163103384127</v>
      </c>
      <c r="J815">
        <f t="shared" si="163"/>
        <v>1.2928642825737522</v>
      </c>
      <c r="K815">
        <f t="shared" si="164"/>
        <v>0.99990210863408135</v>
      </c>
      <c r="L815">
        <f t="shared" si="165"/>
        <v>-9.7896157591117509E-5</v>
      </c>
      <c r="M815">
        <f t="shared" si="166"/>
        <v>0.70292887029288698</v>
      </c>
      <c r="N815">
        <f t="shared" si="167"/>
        <v>0.29707112970711297</v>
      </c>
      <c r="P815">
        <f t="shared" si="168"/>
        <v>1098</v>
      </c>
      <c r="Q815">
        <f t="shared" si="169"/>
        <v>90.5</v>
      </c>
    </row>
    <row r="816" spans="1:17" x14ac:dyDescent="0.35">
      <c r="A816">
        <v>2024</v>
      </c>
      <c r="B816" s="7">
        <v>158</v>
      </c>
      <c r="C816" s="22">
        <v>40</v>
      </c>
      <c r="D816" s="12">
        <f t="shared" si="157"/>
        <v>19.75</v>
      </c>
      <c r="E816" s="27">
        <f t="shared" si="158"/>
        <v>0.39500000000000002</v>
      </c>
      <c r="F816" s="27">
        <f t="shared" si="159"/>
        <v>0.8</v>
      </c>
      <c r="G816">
        <f t="shared" si="160"/>
        <v>59.75</v>
      </c>
      <c r="H816">
        <f t="shared" si="161"/>
        <v>1</v>
      </c>
      <c r="I816">
        <f t="shared" si="162"/>
        <v>-0.82910791155169816</v>
      </c>
      <c r="J816">
        <f t="shared" si="163"/>
        <v>1.0617862724124074</v>
      </c>
      <c r="K816">
        <f t="shared" si="164"/>
        <v>0.99993464471583027</v>
      </c>
      <c r="L816">
        <f t="shared" si="165"/>
        <v>-6.5357419919372445E-5</v>
      </c>
      <c r="M816">
        <f t="shared" si="166"/>
        <v>0.66945606694560666</v>
      </c>
      <c r="N816">
        <f t="shared" si="167"/>
        <v>0.33054393305439328</v>
      </c>
      <c r="P816">
        <f t="shared" si="168"/>
        <v>940.5</v>
      </c>
      <c r="Q816">
        <f t="shared" si="169"/>
        <v>173</v>
      </c>
    </row>
    <row r="817" spans="1:17" x14ac:dyDescent="0.35">
      <c r="A817">
        <v>2024</v>
      </c>
      <c r="B817" s="7">
        <v>187</v>
      </c>
      <c r="C817" s="22">
        <v>36</v>
      </c>
      <c r="D817" s="12">
        <f t="shared" si="157"/>
        <v>23.375</v>
      </c>
      <c r="E817" s="27">
        <f t="shared" si="158"/>
        <v>0.46750000000000003</v>
      </c>
      <c r="F817" s="27">
        <f t="shared" si="159"/>
        <v>0.72</v>
      </c>
      <c r="G817">
        <f t="shared" si="160"/>
        <v>59.375</v>
      </c>
      <c r="H817">
        <f t="shared" si="161"/>
        <v>1</v>
      </c>
      <c r="I817">
        <f t="shared" si="162"/>
        <v>0.20185731124922185</v>
      </c>
      <c r="J817">
        <f t="shared" si="163"/>
        <v>0.59963025208971832</v>
      </c>
      <c r="K817">
        <f t="shared" si="164"/>
        <v>0.99995355230314409</v>
      </c>
      <c r="L817">
        <f t="shared" si="165"/>
        <v>-4.6448775583586009E-5</v>
      </c>
      <c r="M817">
        <f t="shared" si="166"/>
        <v>0.60631578947368425</v>
      </c>
      <c r="N817">
        <f t="shared" si="167"/>
        <v>0.3936842105263158</v>
      </c>
      <c r="P817">
        <f t="shared" si="168"/>
        <v>393</v>
      </c>
      <c r="Q817">
        <f t="shared" si="169"/>
        <v>403.5</v>
      </c>
    </row>
    <row r="818" spans="1:17" x14ac:dyDescent="0.35">
      <c r="A818">
        <v>2024</v>
      </c>
      <c r="B818" s="7">
        <v>139</v>
      </c>
      <c r="C818" s="22">
        <v>42</v>
      </c>
      <c r="D818" s="12">
        <f t="shared" si="157"/>
        <v>17.375</v>
      </c>
      <c r="E818" s="27">
        <f t="shared" si="158"/>
        <v>0.34749999999999998</v>
      </c>
      <c r="F818" s="27">
        <f t="shared" si="159"/>
        <v>0.84</v>
      </c>
      <c r="G818">
        <f t="shared" si="160"/>
        <v>59.375</v>
      </c>
      <c r="H818">
        <f t="shared" si="161"/>
        <v>1</v>
      </c>
      <c r="I818">
        <f t="shared" si="162"/>
        <v>-1.5045678851109217</v>
      </c>
      <c r="J818">
        <f t="shared" si="163"/>
        <v>1.2928642825737522</v>
      </c>
      <c r="K818">
        <f t="shared" si="164"/>
        <v>0.9998439190126942</v>
      </c>
      <c r="L818">
        <f t="shared" si="165"/>
        <v>-1.5609316921068705E-4</v>
      </c>
      <c r="M818">
        <f t="shared" si="166"/>
        <v>0.70736842105263154</v>
      </c>
      <c r="N818">
        <f t="shared" si="167"/>
        <v>0.29263157894736841</v>
      </c>
      <c r="P818">
        <f t="shared" si="168"/>
        <v>1110.5</v>
      </c>
      <c r="Q818">
        <f t="shared" si="169"/>
        <v>90.5</v>
      </c>
    </row>
    <row r="819" spans="1:17" x14ac:dyDescent="0.35">
      <c r="A819">
        <v>2024</v>
      </c>
      <c r="B819" s="7">
        <v>161</v>
      </c>
      <c r="C819" s="22">
        <v>39</v>
      </c>
      <c r="D819" s="12">
        <f t="shared" si="157"/>
        <v>20.125</v>
      </c>
      <c r="E819" s="27">
        <f t="shared" si="158"/>
        <v>0.40250000000000002</v>
      </c>
      <c r="F819" s="27">
        <f t="shared" si="159"/>
        <v>0.78</v>
      </c>
      <c r="G819">
        <f t="shared" si="160"/>
        <v>59.125</v>
      </c>
      <c r="H819">
        <f t="shared" si="161"/>
        <v>1</v>
      </c>
      <c r="I819">
        <f t="shared" si="162"/>
        <v>-0.72245633677918919</v>
      </c>
      <c r="J819">
        <f t="shared" si="163"/>
        <v>0.94624726733173525</v>
      </c>
      <c r="K819">
        <f t="shared" si="164"/>
        <v>0.99988379150855833</v>
      </c>
      <c r="L819">
        <f t="shared" si="165"/>
        <v>-1.1621524417156801E-4</v>
      </c>
      <c r="M819">
        <f t="shared" si="166"/>
        <v>0.65961945031712477</v>
      </c>
      <c r="N819">
        <f t="shared" si="167"/>
        <v>0.34038054968287529</v>
      </c>
      <c r="P819">
        <f t="shared" si="168"/>
        <v>892.5</v>
      </c>
      <c r="Q819">
        <f t="shared" si="169"/>
        <v>233</v>
      </c>
    </row>
    <row r="820" spans="1:17" x14ac:dyDescent="0.35">
      <c r="A820">
        <v>2024</v>
      </c>
      <c r="B820" s="7">
        <v>161</v>
      </c>
      <c r="C820" s="22">
        <v>39</v>
      </c>
      <c r="D820" s="12">
        <f t="shared" si="157"/>
        <v>20.125</v>
      </c>
      <c r="E820" s="27">
        <f t="shared" si="158"/>
        <v>0.40250000000000002</v>
      </c>
      <c r="F820" s="27">
        <f t="shared" si="159"/>
        <v>0.78</v>
      </c>
      <c r="G820">
        <f t="shared" si="160"/>
        <v>59.125</v>
      </c>
      <c r="H820">
        <f t="shared" si="161"/>
        <v>1</v>
      </c>
      <c r="I820">
        <f t="shared" si="162"/>
        <v>-0.72245633677918919</v>
      </c>
      <c r="J820">
        <f t="shared" si="163"/>
        <v>0.94624726733173525</v>
      </c>
      <c r="K820">
        <f t="shared" si="164"/>
        <v>0.99988379150855833</v>
      </c>
      <c r="L820">
        <f t="shared" si="165"/>
        <v>-1.1621524417156801E-4</v>
      </c>
      <c r="M820">
        <f t="shared" si="166"/>
        <v>0.65961945031712477</v>
      </c>
      <c r="N820">
        <f t="shared" si="167"/>
        <v>0.34038054968287529</v>
      </c>
      <c r="P820">
        <f t="shared" si="168"/>
        <v>892.5</v>
      </c>
      <c r="Q820">
        <f t="shared" si="169"/>
        <v>233</v>
      </c>
    </row>
    <row r="821" spans="1:17" x14ac:dyDescent="0.35">
      <c r="A821">
        <v>2024</v>
      </c>
      <c r="B821" s="7">
        <v>208</v>
      </c>
      <c r="C821" s="22">
        <v>33</v>
      </c>
      <c r="D821" s="12">
        <f t="shared" si="157"/>
        <v>26</v>
      </c>
      <c r="E821" s="27">
        <f t="shared" si="158"/>
        <v>0.52</v>
      </c>
      <c r="F821" s="27">
        <f t="shared" si="159"/>
        <v>0.66</v>
      </c>
      <c r="G821">
        <f t="shared" si="160"/>
        <v>59</v>
      </c>
      <c r="H821">
        <f t="shared" si="161"/>
        <v>1</v>
      </c>
      <c r="I821">
        <f t="shared" si="162"/>
        <v>0.94841833465678471</v>
      </c>
      <c r="J821">
        <f t="shared" si="163"/>
        <v>0.25301323684770138</v>
      </c>
      <c r="K821">
        <f t="shared" si="164"/>
        <v>0.99995960003566786</v>
      </c>
      <c r="L821">
        <f t="shared" si="165"/>
        <v>-4.0400780432677819E-5</v>
      </c>
      <c r="M821">
        <f t="shared" si="166"/>
        <v>0.55932203389830504</v>
      </c>
      <c r="N821">
        <f t="shared" si="167"/>
        <v>0.44067796610169491</v>
      </c>
      <c r="P821">
        <f t="shared" si="168"/>
        <v>160</v>
      </c>
      <c r="Q821">
        <f t="shared" si="169"/>
        <v>523.5</v>
      </c>
    </row>
    <row r="822" spans="1:17" x14ac:dyDescent="0.35">
      <c r="A822">
        <v>2024</v>
      </c>
      <c r="B822" s="7">
        <v>168</v>
      </c>
      <c r="C822" s="22">
        <v>38</v>
      </c>
      <c r="D822" s="12">
        <f t="shared" si="157"/>
        <v>21</v>
      </c>
      <c r="E822" s="27">
        <f t="shared" si="158"/>
        <v>0.42</v>
      </c>
      <c r="F822" s="27">
        <f t="shared" si="159"/>
        <v>0.76</v>
      </c>
      <c r="G822">
        <f t="shared" si="160"/>
        <v>59</v>
      </c>
      <c r="H822">
        <f t="shared" si="161"/>
        <v>1</v>
      </c>
      <c r="I822">
        <f t="shared" si="162"/>
        <v>-0.47360266231000164</v>
      </c>
      <c r="J822">
        <f t="shared" si="163"/>
        <v>0.83070826225106287</v>
      </c>
      <c r="K822">
        <f t="shared" si="164"/>
        <v>0.99988907105560221</v>
      </c>
      <c r="L822">
        <f t="shared" si="165"/>
        <v>-1.1093509746818487E-4</v>
      </c>
      <c r="M822">
        <f t="shared" si="166"/>
        <v>0.64406779661016944</v>
      </c>
      <c r="N822">
        <f t="shared" si="167"/>
        <v>0.3559322033898305</v>
      </c>
      <c r="P822">
        <f t="shared" si="168"/>
        <v>767</v>
      </c>
      <c r="Q822">
        <f t="shared" si="169"/>
        <v>297.5</v>
      </c>
    </row>
    <row r="823" spans="1:17" x14ac:dyDescent="0.35">
      <c r="A823">
        <v>2024</v>
      </c>
      <c r="B823" s="7">
        <v>166</v>
      </c>
      <c r="C823" s="22">
        <v>38</v>
      </c>
      <c r="D823" s="12">
        <f t="shared" si="157"/>
        <v>20.75</v>
      </c>
      <c r="E823" s="27">
        <f t="shared" si="158"/>
        <v>0.41499999999999998</v>
      </c>
      <c r="F823" s="27">
        <f t="shared" si="159"/>
        <v>0.76</v>
      </c>
      <c r="G823">
        <f t="shared" si="160"/>
        <v>58.75</v>
      </c>
      <c r="H823">
        <f t="shared" si="161"/>
        <v>1</v>
      </c>
      <c r="I823">
        <f t="shared" si="162"/>
        <v>-0.5447037121583409</v>
      </c>
      <c r="J823">
        <f t="shared" si="163"/>
        <v>0.83070826225106287</v>
      </c>
      <c r="K823">
        <f t="shared" si="164"/>
        <v>0.99984860394344544</v>
      </c>
      <c r="L823">
        <f t="shared" si="165"/>
        <v>-1.514075180943707E-4</v>
      </c>
      <c r="M823">
        <f t="shared" si="166"/>
        <v>0.64680851063829792</v>
      </c>
      <c r="N823">
        <f t="shared" si="167"/>
        <v>0.35319148936170214</v>
      </c>
      <c r="P823">
        <f t="shared" si="168"/>
        <v>809</v>
      </c>
      <c r="Q823">
        <f t="shared" si="169"/>
        <v>297.5</v>
      </c>
    </row>
    <row r="824" spans="1:17" x14ac:dyDescent="0.35">
      <c r="A824">
        <v>2024</v>
      </c>
      <c r="B824" s="7">
        <v>181</v>
      </c>
      <c r="C824" s="22">
        <v>36</v>
      </c>
      <c r="D824" s="12">
        <f t="shared" si="157"/>
        <v>22.625</v>
      </c>
      <c r="E824" s="27">
        <f t="shared" si="158"/>
        <v>0.45250000000000001</v>
      </c>
      <c r="F824" s="27">
        <f t="shared" si="159"/>
        <v>0.72</v>
      </c>
      <c r="G824">
        <f t="shared" si="160"/>
        <v>58.625</v>
      </c>
      <c r="H824">
        <f t="shared" si="161"/>
        <v>1</v>
      </c>
      <c r="I824">
        <f t="shared" si="162"/>
        <v>-1.1445838295796084E-2</v>
      </c>
      <c r="J824">
        <f t="shared" si="163"/>
        <v>0.59963025208971832</v>
      </c>
      <c r="K824">
        <f t="shared" si="164"/>
        <v>0.99988191496862444</v>
      </c>
      <c r="L824">
        <f t="shared" si="165"/>
        <v>-1.1809200396178707E-4</v>
      </c>
      <c r="M824">
        <f t="shared" si="166"/>
        <v>0.61407249466950964</v>
      </c>
      <c r="N824">
        <f t="shared" si="167"/>
        <v>0.38592750533049042</v>
      </c>
      <c r="P824">
        <f t="shared" si="168"/>
        <v>505</v>
      </c>
      <c r="Q824">
        <f t="shared" si="169"/>
        <v>403.5</v>
      </c>
    </row>
    <row r="825" spans="1:17" x14ac:dyDescent="0.35">
      <c r="A825">
        <v>2024</v>
      </c>
      <c r="B825" s="7">
        <v>195</v>
      </c>
      <c r="C825" s="22">
        <v>34</v>
      </c>
      <c r="D825" s="12">
        <f t="shared" si="157"/>
        <v>24.375</v>
      </c>
      <c r="E825" s="27">
        <f t="shared" si="158"/>
        <v>0.48749999999999999</v>
      </c>
      <c r="F825" s="27">
        <f t="shared" si="159"/>
        <v>0.68</v>
      </c>
      <c r="G825">
        <f t="shared" si="160"/>
        <v>58.375</v>
      </c>
      <c r="H825">
        <f t="shared" si="161"/>
        <v>1</v>
      </c>
      <c r="I825">
        <f t="shared" si="162"/>
        <v>0.48626151064257911</v>
      </c>
      <c r="J825">
        <f t="shared" si="163"/>
        <v>0.36855224192837371</v>
      </c>
      <c r="K825">
        <f t="shared" si="164"/>
        <v>0.9998924008473743</v>
      </c>
      <c r="L825">
        <f t="shared" si="165"/>
        <v>-1.0760494182980587E-4</v>
      </c>
      <c r="M825">
        <f t="shared" si="166"/>
        <v>0.58244111349036398</v>
      </c>
      <c r="N825">
        <f t="shared" si="167"/>
        <v>0.41755888650963596</v>
      </c>
      <c r="P825">
        <f t="shared" si="168"/>
        <v>282.5</v>
      </c>
      <c r="Q825">
        <f t="shared" si="169"/>
        <v>484.5</v>
      </c>
    </row>
    <row r="826" spans="1:17" x14ac:dyDescent="0.35">
      <c r="A826">
        <v>2024</v>
      </c>
      <c r="B826" s="7">
        <v>171</v>
      </c>
      <c r="C826" s="22">
        <v>37</v>
      </c>
      <c r="D826" s="12">
        <f t="shared" si="157"/>
        <v>21.375</v>
      </c>
      <c r="E826" s="27">
        <f t="shared" si="158"/>
        <v>0.42749999999999999</v>
      </c>
      <c r="F826" s="27">
        <f t="shared" si="159"/>
        <v>0.74</v>
      </c>
      <c r="G826">
        <f t="shared" si="160"/>
        <v>58.375</v>
      </c>
      <c r="H826">
        <f t="shared" si="161"/>
        <v>1</v>
      </c>
      <c r="I826">
        <f t="shared" si="162"/>
        <v>-0.36695108753749267</v>
      </c>
      <c r="J826">
        <f t="shared" si="163"/>
        <v>0.71516925717039059</v>
      </c>
      <c r="K826">
        <f t="shared" si="164"/>
        <v>0.99980276379620281</v>
      </c>
      <c r="L826">
        <f t="shared" si="165"/>
        <v>-1.9725565741524894E-4</v>
      </c>
      <c r="M826">
        <f t="shared" si="166"/>
        <v>0.63383297644539616</v>
      </c>
      <c r="N826">
        <f t="shared" si="167"/>
        <v>0.36616702355460384</v>
      </c>
      <c r="P826">
        <f t="shared" si="168"/>
        <v>700</v>
      </c>
      <c r="Q826">
        <f t="shared" si="169"/>
        <v>351</v>
      </c>
    </row>
    <row r="827" spans="1:17" x14ac:dyDescent="0.35">
      <c r="A827">
        <v>2024</v>
      </c>
      <c r="B827" s="7">
        <v>207</v>
      </c>
      <c r="C827" s="22">
        <v>32</v>
      </c>
      <c r="D827" s="12">
        <f t="shared" si="157"/>
        <v>25.875</v>
      </c>
      <c r="E827" s="27">
        <f t="shared" si="158"/>
        <v>0.51749999999999996</v>
      </c>
      <c r="F827" s="27">
        <f t="shared" si="159"/>
        <v>0.64</v>
      </c>
      <c r="G827">
        <f t="shared" si="160"/>
        <v>57.875</v>
      </c>
      <c r="H827">
        <f t="shared" si="161"/>
        <v>1</v>
      </c>
      <c r="I827">
        <f t="shared" si="162"/>
        <v>0.91286780973261505</v>
      </c>
      <c r="J827">
        <f t="shared" si="163"/>
        <v>0.13747423176702911</v>
      </c>
      <c r="K827">
        <f t="shared" si="164"/>
        <v>0.99986618827387053</v>
      </c>
      <c r="L827">
        <f t="shared" si="165"/>
        <v>-1.3382067971723737E-4</v>
      </c>
      <c r="M827">
        <f t="shared" si="166"/>
        <v>0.55291576673866094</v>
      </c>
      <c r="N827">
        <f t="shared" si="167"/>
        <v>0.44708423326133911</v>
      </c>
      <c r="P827">
        <f t="shared" si="168"/>
        <v>168</v>
      </c>
      <c r="Q827">
        <f t="shared" si="169"/>
        <v>564</v>
      </c>
    </row>
    <row r="828" spans="1:17" x14ac:dyDescent="0.35">
      <c r="A828">
        <v>2024</v>
      </c>
      <c r="B828" s="9">
        <v>244</v>
      </c>
      <c r="C828" s="24">
        <v>27</v>
      </c>
      <c r="D828" s="12">
        <f t="shared" si="157"/>
        <v>30.5</v>
      </c>
      <c r="E828" s="27">
        <f t="shared" si="158"/>
        <v>0.61</v>
      </c>
      <c r="F828" s="27">
        <f t="shared" si="159"/>
        <v>0.54</v>
      </c>
      <c r="G828">
        <f t="shared" si="160"/>
        <v>57.5</v>
      </c>
      <c r="H828">
        <f t="shared" si="161"/>
        <v>1</v>
      </c>
      <c r="I828">
        <f t="shared" si="162"/>
        <v>2.2282372319268924</v>
      </c>
      <c r="J828">
        <f t="shared" si="163"/>
        <v>-0.44022079363633243</v>
      </c>
      <c r="K828">
        <f t="shared" si="164"/>
        <v>0.99992229393796062</v>
      </c>
      <c r="L828">
        <f t="shared" si="165"/>
        <v>-7.7709081311834718E-5</v>
      </c>
      <c r="M828">
        <f t="shared" si="166"/>
        <v>0.46956521739130436</v>
      </c>
      <c r="N828">
        <f t="shared" si="167"/>
        <v>0.5304347826086957</v>
      </c>
      <c r="P828">
        <f t="shared" si="168"/>
        <v>39.5</v>
      </c>
      <c r="Q828">
        <f t="shared" si="169"/>
        <v>752.5</v>
      </c>
    </row>
    <row r="829" spans="1:17" x14ac:dyDescent="0.35">
      <c r="A829">
        <v>2024</v>
      </c>
      <c r="B829" s="7">
        <v>172</v>
      </c>
      <c r="C829" s="22">
        <v>36</v>
      </c>
      <c r="D829" s="12">
        <f t="shared" si="157"/>
        <v>21.5</v>
      </c>
      <c r="E829" s="27">
        <f t="shared" si="158"/>
        <v>0.43</v>
      </c>
      <c r="F829" s="27">
        <f t="shared" si="159"/>
        <v>0.72</v>
      </c>
      <c r="G829">
        <f t="shared" si="160"/>
        <v>57.5</v>
      </c>
      <c r="H829">
        <f t="shared" si="161"/>
        <v>1</v>
      </c>
      <c r="I829">
        <f t="shared" si="162"/>
        <v>-0.33140056261332301</v>
      </c>
      <c r="J829">
        <f t="shared" si="163"/>
        <v>0.59963025208971832</v>
      </c>
      <c r="K829">
        <f t="shared" si="164"/>
        <v>0.9995214460312859</v>
      </c>
      <c r="L829">
        <f t="shared" si="165"/>
        <v>-4.7866851220954156E-4</v>
      </c>
      <c r="M829">
        <f t="shared" si="166"/>
        <v>0.62608695652173918</v>
      </c>
      <c r="N829">
        <f t="shared" si="167"/>
        <v>0.37391304347826088</v>
      </c>
      <c r="P829">
        <f t="shared" si="168"/>
        <v>684</v>
      </c>
      <c r="Q829">
        <f t="shared" si="169"/>
        <v>403.5</v>
      </c>
    </row>
    <row r="830" spans="1:17" x14ac:dyDescent="0.35">
      <c r="A830">
        <v>2024</v>
      </c>
      <c r="B830" s="7">
        <v>195</v>
      </c>
      <c r="C830" s="22">
        <v>33</v>
      </c>
      <c r="D830" s="12">
        <f t="shared" si="157"/>
        <v>24.375</v>
      </c>
      <c r="E830" s="27">
        <f t="shared" si="158"/>
        <v>0.48749999999999999</v>
      </c>
      <c r="F830" s="27">
        <f t="shared" si="159"/>
        <v>0.66</v>
      </c>
      <c r="G830">
        <f t="shared" si="160"/>
        <v>57.375</v>
      </c>
      <c r="H830">
        <f t="shared" si="161"/>
        <v>1</v>
      </c>
      <c r="I830">
        <f t="shared" si="162"/>
        <v>0.48626151064257911</v>
      </c>
      <c r="J830">
        <f t="shared" si="163"/>
        <v>0.25301323684770138</v>
      </c>
      <c r="K830">
        <f t="shared" si="164"/>
        <v>0.99969497655181727</v>
      </c>
      <c r="L830">
        <f t="shared" si="165"/>
        <v>-3.0506997729658685E-4</v>
      </c>
      <c r="M830">
        <f t="shared" si="166"/>
        <v>0.57516339869281041</v>
      </c>
      <c r="N830">
        <f t="shared" si="167"/>
        <v>0.42483660130718953</v>
      </c>
      <c r="P830">
        <f t="shared" si="168"/>
        <v>282.5</v>
      </c>
      <c r="Q830">
        <f t="shared" si="169"/>
        <v>523.5</v>
      </c>
    </row>
    <row r="831" spans="1:17" x14ac:dyDescent="0.35">
      <c r="A831">
        <v>2024</v>
      </c>
      <c r="B831" s="7">
        <v>200</v>
      </c>
      <c r="C831" s="22">
        <v>32</v>
      </c>
      <c r="D831" s="12">
        <f t="shared" si="157"/>
        <v>25</v>
      </c>
      <c r="E831" s="27">
        <f t="shared" si="158"/>
        <v>0.5</v>
      </c>
      <c r="F831" s="27">
        <f t="shared" si="159"/>
        <v>0.64</v>
      </c>
      <c r="G831">
        <f t="shared" si="160"/>
        <v>57</v>
      </c>
      <c r="H831">
        <f t="shared" si="161"/>
        <v>1</v>
      </c>
      <c r="I831">
        <f t="shared" si="162"/>
        <v>0.66401413526342745</v>
      </c>
      <c r="J831">
        <f t="shared" si="163"/>
        <v>0.13747423176702911</v>
      </c>
      <c r="K831">
        <f t="shared" si="164"/>
        <v>0.99960263913341763</v>
      </c>
      <c r="L831">
        <f t="shared" si="165"/>
        <v>-3.9743983533160686E-4</v>
      </c>
      <c r="M831">
        <f t="shared" si="166"/>
        <v>0.56140350877192979</v>
      </c>
      <c r="N831">
        <f t="shared" si="167"/>
        <v>0.43859649122807015</v>
      </c>
      <c r="P831">
        <f t="shared" si="168"/>
        <v>229</v>
      </c>
      <c r="Q831">
        <f t="shared" si="169"/>
        <v>564</v>
      </c>
    </row>
    <row r="832" spans="1:17" x14ac:dyDescent="0.35">
      <c r="A832">
        <v>2024</v>
      </c>
      <c r="B832" s="7">
        <v>198</v>
      </c>
      <c r="C832" s="22">
        <v>32</v>
      </c>
      <c r="D832" s="12">
        <f t="shared" si="157"/>
        <v>24.75</v>
      </c>
      <c r="E832" s="27">
        <f t="shared" si="158"/>
        <v>0.495</v>
      </c>
      <c r="F832" s="27">
        <f t="shared" si="159"/>
        <v>0.64</v>
      </c>
      <c r="G832">
        <f t="shared" si="160"/>
        <v>56.75</v>
      </c>
      <c r="H832">
        <f t="shared" si="161"/>
        <v>1</v>
      </c>
      <c r="I832">
        <f t="shared" si="162"/>
        <v>0.59291308541508814</v>
      </c>
      <c r="J832">
        <f t="shared" si="163"/>
        <v>0.13747423176702911</v>
      </c>
      <c r="K832">
        <f t="shared" si="164"/>
        <v>0.99945773772158875</v>
      </c>
      <c r="L832">
        <f t="shared" si="165"/>
        <v>-5.4240935577262131E-4</v>
      </c>
      <c r="M832">
        <f t="shared" si="166"/>
        <v>0.56387665198237891</v>
      </c>
      <c r="N832">
        <f t="shared" si="167"/>
        <v>0.43612334801762115</v>
      </c>
      <c r="P832">
        <f t="shared" si="168"/>
        <v>251</v>
      </c>
      <c r="Q832">
        <f t="shared" si="169"/>
        <v>564</v>
      </c>
    </row>
    <row r="833" spans="1:17" x14ac:dyDescent="0.35">
      <c r="A833">
        <v>2024</v>
      </c>
      <c r="B833" s="7">
        <v>174</v>
      </c>
      <c r="C833" s="22">
        <v>35</v>
      </c>
      <c r="D833" s="12">
        <f t="shared" si="157"/>
        <v>21.75</v>
      </c>
      <c r="E833" s="27">
        <f t="shared" si="158"/>
        <v>0.435</v>
      </c>
      <c r="F833" s="27">
        <f t="shared" si="159"/>
        <v>0.7</v>
      </c>
      <c r="G833">
        <f t="shared" si="160"/>
        <v>56.75</v>
      </c>
      <c r="H833">
        <f t="shared" si="161"/>
        <v>1</v>
      </c>
      <c r="I833">
        <f t="shared" si="162"/>
        <v>-0.2602995127649837</v>
      </c>
      <c r="J833">
        <f t="shared" si="163"/>
        <v>0.48409124700904599</v>
      </c>
      <c r="K833">
        <f t="shared" si="164"/>
        <v>0.99900635802159254</v>
      </c>
      <c r="L833">
        <f t="shared" si="165"/>
        <v>-9.9413596785762927E-4</v>
      </c>
      <c r="M833">
        <f t="shared" si="166"/>
        <v>0.61674008810572689</v>
      </c>
      <c r="N833">
        <f t="shared" si="167"/>
        <v>0.38325991189427311</v>
      </c>
      <c r="P833">
        <f t="shared" si="168"/>
        <v>653</v>
      </c>
      <c r="Q833">
        <f t="shared" si="169"/>
        <v>448.5</v>
      </c>
    </row>
    <row r="834" spans="1:17" x14ac:dyDescent="0.35">
      <c r="A834">
        <v>2024</v>
      </c>
      <c r="B834" s="7">
        <v>149</v>
      </c>
      <c r="C834" s="22">
        <v>38</v>
      </c>
      <c r="D834" s="12">
        <f t="shared" si="157"/>
        <v>18.625</v>
      </c>
      <c r="E834" s="27">
        <f t="shared" si="158"/>
        <v>0.3725</v>
      </c>
      <c r="F834" s="27">
        <f t="shared" si="159"/>
        <v>0.76</v>
      </c>
      <c r="G834">
        <f t="shared" si="160"/>
        <v>56.625</v>
      </c>
      <c r="H834">
        <f t="shared" si="161"/>
        <v>1</v>
      </c>
      <c r="I834">
        <f t="shared" si="162"/>
        <v>-1.1490626358692251</v>
      </c>
      <c r="J834">
        <f t="shared" si="163"/>
        <v>0.83070826225106287</v>
      </c>
      <c r="K834">
        <f t="shared" si="164"/>
        <v>0.99787432006235122</v>
      </c>
      <c r="L834">
        <f t="shared" si="165"/>
        <v>-2.1279424019994193E-3</v>
      </c>
      <c r="M834">
        <f t="shared" si="166"/>
        <v>0.67108167770419425</v>
      </c>
      <c r="N834">
        <f t="shared" si="167"/>
        <v>0.32891832229580575</v>
      </c>
      <c r="P834">
        <f t="shared" si="168"/>
        <v>1051.5</v>
      </c>
      <c r="Q834">
        <f t="shared" si="169"/>
        <v>297.5</v>
      </c>
    </row>
    <row r="835" spans="1:17" x14ac:dyDescent="0.35">
      <c r="A835">
        <v>2024</v>
      </c>
      <c r="B835" s="7">
        <v>178</v>
      </c>
      <c r="C835" s="22">
        <v>34</v>
      </c>
      <c r="D835" s="12">
        <f t="shared" ref="D835:D898" si="170">B835/8</f>
        <v>22.25</v>
      </c>
      <c r="E835" s="27">
        <f t="shared" ref="E835:E898" si="171">B835/400</f>
        <v>0.44500000000000001</v>
      </c>
      <c r="F835" s="27">
        <f t="shared" ref="F835:F898" si="172">C835/50</f>
        <v>0.68</v>
      </c>
      <c r="G835">
        <f t="shared" ref="G835:G898" si="173">SUM(C835+D835)</f>
        <v>56.25</v>
      </c>
      <c r="H835">
        <f t="shared" ref="H835:H898" si="174">IF(G835&gt;=50,1,0)</f>
        <v>1</v>
      </c>
      <c r="I835">
        <f t="shared" ref="I835:I898" si="175" xml:space="preserve"> (D:D - AVERAGE(D:D)) / STDEV(D:D)</f>
        <v>-0.11809741306830505</v>
      </c>
      <c r="J835">
        <f t="shared" ref="J835:J898" si="176" xml:space="preserve"> (C:C - AVERAGE(C:C)) / STDEV(C:C)</f>
        <v>0.36855224192837371</v>
      </c>
      <c r="K835">
        <f t="shared" ref="K835:K898" si="177">1/(1+EXP(-($AD$25 +$AD$26 * I835 +$AD$27 * J835 )))</f>
        <v>0.9984883880704607</v>
      </c>
      <c r="L835">
        <f t="shared" ref="L835:L898" si="178">IF(K835=0, -1000, IF(K835=1, -1000, H835 * LN(K835) + (1 - H835) * LN(1 - K835)))</f>
        <v>-1.5127555674885372E-3</v>
      </c>
      <c r="M835">
        <f t="shared" ref="M835:M898" si="179">IF(G835=0, 0,  C835  / G835 )</f>
        <v>0.60444444444444445</v>
      </c>
      <c r="N835">
        <f t="shared" ref="N835:N898" si="180">IF(G835=0, 0,  D835  / G835 )</f>
        <v>0.39555555555555555</v>
      </c>
      <c r="P835">
        <f t="shared" ref="P835:P898" si="181">_xlfn.RANK.AVG(B835,$B$2:$B$1144)</f>
        <v>564.5</v>
      </c>
      <c r="Q835">
        <f t="shared" ref="Q835:Q898" si="182">_xlfn.RANK.AVG(C835,$C$2:$C$1144)</f>
        <v>484.5</v>
      </c>
    </row>
    <row r="836" spans="1:17" x14ac:dyDescent="0.35">
      <c r="A836">
        <v>2024</v>
      </c>
      <c r="B836" s="7">
        <v>214</v>
      </c>
      <c r="C836" s="22">
        <v>29</v>
      </c>
      <c r="D836" s="12">
        <f t="shared" si="170"/>
        <v>26.75</v>
      </c>
      <c r="E836" s="27">
        <f t="shared" si="171"/>
        <v>0.53500000000000003</v>
      </c>
      <c r="F836" s="27">
        <f t="shared" si="172"/>
        <v>0.57999999999999996</v>
      </c>
      <c r="G836">
        <f t="shared" si="173"/>
        <v>55.75</v>
      </c>
      <c r="H836">
        <f t="shared" si="174"/>
        <v>1</v>
      </c>
      <c r="I836">
        <f t="shared" si="175"/>
        <v>1.1617214842018027</v>
      </c>
      <c r="J836">
        <f t="shared" si="176"/>
        <v>-0.2091427834749878</v>
      </c>
      <c r="K836">
        <f t="shared" si="177"/>
        <v>0.99897403751225</v>
      </c>
      <c r="L836">
        <f t="shared" si="178"/>
        <v>-1.0264891475160575E-3</v>
      </c>
      <c r="M836">
        <f t="shared" si="179"/>
        <v>0.52017937219730936</v>
      </c>
      <c r="N836">
        <f t="shared" si="180"/>
        <v>0.47982062780269058</v>
      </c>
      <c r="P836">
        <f t="shared" si="181"/>
        <v>112</v>
      </c>
      <c r="Q836">
        <f t="shared" si="182"/>
        <v>671</v>
      </c>
    </row>
    <row r="837" spans="1:17" x14ac:dyDescent="0.35">
      <c r="A837">
        <v>2024</v>
      </c>
      <c r="B837" s="7">
        <v>196</v>
      </c>
      <c r="C837" s="22">
        <v>31</v>
      </c>
      <c r="D837" s="12">
        <f t="shared" si="170"/>
        <v>24.5</v>
      </c>
      <c r="E837" s="27">
        <f t="shared" si="171"/>
        <v>0.49</v>
      </c>
      <c r="F837" s="27">
        <f t="shared" si="172"/>
        <v>0.62</v>
      </c>
      <c r="G837">
        <f t="shared" si="173"/>
        <v>55.5</v>
      </c>
      <c r="H837">
        <f t="shared" si="174"/>
        <v>1</v>
      </c>
      <c r="I837">
        <f t="shared" si="175"/>
        <v>0.52181203556674882</v>
      </c>
      <c r="J837">
        <f t="shared" si="176"/>
        <v>2.1935226686356796E-2</v>
      </c>
      <c r="K837">
        <f t="shared" si="177"/>
        <v>0.99790477121490773</v>
      </c>
      <c r="L837">
        <f t="shared" si="178"/>
        <v>-2.0974268477560037E-3</v>
      </c>
      <c r="M837">
        <f t="shared" si="179"/>
        <v>0.55855855855855852</v>
      </c>
      <c r="N837">
        <f t="shared" si="180"/>
        <v>0.44144144144144143</v>
      </c>
      <c r="P837">
        <f t="shared" si="181"/>
        <v>270</v>
      </c>
      <c r="Q837">
        <f t="shared" si="182"/>
        <v>605</v>
      </c>
    </row>
    <row r="838" spans="1:17" ht="16" thickBot="1" x14ac:dyDescent="0.4">
      <c r="A838">
        <v>2024</v>
      </c>
      <c r="B838" s="11">
        <v>211</v>
      </c>
      <c r="C838" s="25">
        <v>29</v>
      </c>
      <c r="D838" s="12">
        <f t="shared" si="170"/>
        <v>26.375</v>
      </c>
      <c r="E838" s="27">
        <f t="shared" si="171"/>
        <v>0.52749999999999997</v>
      </c>
      <c r="F838" s="27">
        <f t="shared" si="172"/>
        <v>0.57999999999999996</v>
      </c>
      <c r="G838">
        <f t="shared" si="173"/>
        <v>55.375</v>
      </c>
      <c r="H838">
        <f t="shared" si="174"/>
        <v>1</v>
      </c>
      <c r="I838">
        <f t="shared" si="175"/>
        <v>1.0550699094292937</v>
      </c>
      <c r="J838">
        <f t="shared" si="176"/>
        <v>-0.2091427834749878</v>
      </c>
      <c r="K838">
        <f t="shared" si="177"/>
        <v>0.99836507606903002</v>
      </c>
      <c r="L838">
        <f t="shared" si="178"/>
        <v>-1.6362618775928321E-3</v>
      </c>
      <c r="M838">
        <f t="shared" si="179"/>
        <v>0.52370203160270878</v>
      </c>
      <c r="N838">
        <f t="shared" si="180"/>
        <v>0.47629796839729122</v>
      </c>
      <c r="P838">
        <f t="shared" si="181"/>
        <v>128.5</v>
      </c>
      <c r="Q838">
        <f t="shared" si="182"/>
        <v>671</v>
      </c>
    </row>
    <row r="839" spans="1:17" x14ac:dyDescent="0.35">
      <c r="A839">
        <v>2024</v>
      </c>
      <c r="B839" s="10">
        <v>164</v>
      </c>
      <c r="C839" s="26">
        <v>34</v>
      </c>
      <c r="D839" s="12">
        <f t="shared" si="170"/>
        <v>20.5</v>
      </c>
      <c r="E839" s="27">
        <f t="shared" si="171"/>
        <v>0.41</v>
      </c>
      <c r="F839" s="27">
        <f t="shared" si="172"/>
        <v>0.68</v>
      </c>
      <c r="G839">
        <f t="shared" si="173"/>
        <v>54.5</v>
      </c>
      <c r="H839">
        <f t="shared" si="174"/>
        <v>1</v>
      </c>
      <c r="I839">
        <f t="shared" si="175"/>
        <v>-0.61580476200668022</v>
      </c>
      <c r="J839">
        <f t="shared" si="176"/>
        <v>0.36855224192837371</v>
      </c>
      <c r="K839">
        <f t="shared" si="177"/>
        <v>0.98681908225291159</v>
      </c>
      <c r="L839">
        <f t="shared" si="178"/>
        <v>-1.3268557005885192E-2</v>
      </c>
      <c r="M839">
        <f t="shared" si="179"/>
        <v>0.62385321100917435</v>
      </c>
      <c r="N839">
        <f t="shared" si="180"/>
        <v>0.37614678899082571</v>
      </c>
      <c r="P839">
        <f t="shared" si="181"/>
        <v>844.5</v>
      </c>
      <c r="Q839">
        <f t="shared" si="182"/>
        <v>484.5</v>
      </c>
    </row>
    <row r="840" spans="1:17" x14ac:dyDescent="0.35">
      <c r="A840">
        <v>2024</v>
      </c>
      <c r="B840" s="7">
        <v>153</v>
      </c>
      <c r="C840" s="22">
        <v>34</v>
      </c>
      <c r="D840" s="12">
        <f t="shared" si="170"/>
        <v>19.125</v>
      </c>
      <c r="E840" s="27">
        <f t="shared" si="171"/>
        <v>0.38250000000000001</v>
      </c>
      <c r="F840" s="27">
        <f t="shared" si="172"/>
        <v>0.68</v>
      </c>
      <c r="G840">
        <f t="shared" si="173"/>
        <v>53.125</v>
      </c>
      <c r="H840">
        <f t="shared" si="174"/>
        <v>1</v>
      </c>
      <c r="I840">
        <f t="shared" si="175"/>
        <v>-1.0068605361725464</v>
      </c>
      <c r="J840">
        <f t="shared" si="176"/>
        <v>0.36855224192837371</v>
      </c>
      <c r="K840">
        <f t="shared" si="177"/>
        <v>0.93117896539491674</v>
      </c>
      <c r="L840">
        <f t="shared" si="178"/>
        <v>-7.1303790968300362E-2</v>
      </c>
      <c r="M840">
        <f t="shared" si="179"/>
        <v>0.64</v>
      </c>
      <c r="N840">
        <f t="shared" si="180"/>
        <v>0.36</v>
      </c>
      <c r="P840">
        <f t="shared" si="181"/>
        <v>1004.5</v>
      </c>
      <c r="Q840">
        <f t="shared" si="182"/>
        <v>484.5</v>
      </c>
    </row>
    <row r="841" spans="1:17" x14ac:dyDescent="0.35">
      <c r="A841">
        <v>2024</v>
      </c>
      <c r="B841" s="7">
        <v>191</v>
      </c>
      <c r="C841" s="22">
        <v>29</v>
      </c>
      <c r="D841" s="12">
        <f t="shared" si="170"/>
        <v>23.875</v>
      </c>
      <c r="E841" s="27">
        <f t="shared" si="171"/>
        <v>0.47749999999999998</v>
      </c>
      <c r="F841" s="27">
        <f t="shared" si="172"/>
        <v>0.57999999999999996</v>
      </c>
      <c r="G841">
        <f t="shared" si="173"/>
        <v>52.875</v>
      </c>
      <c r="H841">
        <f t="shared" si="174"/>
        <v>1</v>
      </c>
      <c r="I841">
        <f t="shared" si="175"/>
        <v>0.34405941094590048</v>
      </c>
      <c r="J841">
        <f t="shared" si="176"/>
        <v>-0.2091427834749878</v>
      </c>
      <c r="K841">
        <f t="shared" si="177"/>
        <v>0.9645665872975957</v>
      </c>
      <c r="L841">
        <f t="shared" si="178"/>
        <v>-3.6076410867385424E-2</v>
      </c>
      <c r="M841">
        <f t="shared" si="179"/>
        <v>0.54846335697399529</v>
      </c>
      <c r="N841">
        <f t="shared" si="180"/>
        <v>0.45153664302600471</v>
      </c>
      <c r="P841">
        <f t="shared" si="181"/>
        <v>327</v>
      </c>
      <c r="Q841">
        <f t="shared" si="182"/>
        <v>671</v>
      </c>
    </row>
    <row r="842" spans="1:17" x14ac:dyDescent="0.35">
      <c r="A842">
        <v>2024</v>
      </c>
      <c r="B842" s="7">
        <v>199</v>
      </c>
      <c r="C842" s="22">
        <v>28</v>
      </c>
      <c r="D842" s="12">
        <f t="shared" si="170"/>
        <v>24.875</v>
      </c>
      <c r="E842" s="27">
        <f t="shared" si="171"/>
        <v>0.4975</v>
      </c>
      <c r="F842" s="27">
        <f t="shared" si="172"/>
        <v>0.56000000000000005</v>
      </c>
      <c r="G842">
        <f t="shared" si="173"/>
        <v>52.875</v>
      </c>
      <c r="H842">
        <f t="shared" si="174"/>
        <v>1</v>
      </c>
      <c r="I842">
        <f t="shared" si="175"/>
        <v>0.62846361033925779</v>
      </c>
      <c r="J842">
        <f t="shared" si="176"/>
        <v>-0.3246817885556601</v>
      </c>
      <c r="K842">
        <f t="shared" si="177"/>
        <v>0.97085941870797399</v>
      </c>
      <c r="L842">
        <f t="shared" si="178"/>
        <v>-2.9573601081833493E-2</v>
      </c>
      <c r="M842">
        <f t="shared" si="179"/>
        <v>0.52955082742316784</v>
      </c>
      <c r="N842">
        <f t="shared" si="180"/>
        <v>0.47044917257683216</v>
      </c>
      <c r="P842">
        <f t="shared" si="181"/>
        <v>239</v>
      </c>
      <c r="Q842">
        <f t="shared" si="182"/>
        <v>709.5</v>
      </c>
    </row>
    <row r="843" spans="1:17" x14ac:dyDescent="0.35">
      <c r="A843">
        <v>2024</v>
      </c>
      <c r="B843" s="7">
        <v>144</v>
      </c>
      <c r="C843" s="22">
        <v>34</v>
      </c>
      <c r="D843" s="12">
        <f t="shared" si="170"/>
        <v>18</v>
      </c>
      <c r="E843" s="27">
        <f t="shared" si="171"/>
        <v>0.36</v>
      </c>
      <c r="F843" s="27">
        <f t="shared" si="172"/>
        <v>0.68</v>
      </c>
      <c r="G843">
        <f t="shared" si="173"/>
        <v>52</v>
      </c>
      <c r="H843">
        <f t="shared" si="174"/>
        <v>1</v>
      </c>
      <c r="I843">
        <f t="shared" si="175"/>
        <v>-1.3268152604900734</v>
      </c>
      <c r="J843">
        <f t="shared" si="176"/>
        <v>0.36855224192837371</v>
      </c>
      <c r="K843">
        <f t="shared" si="177"/>
        <v>0.76945163923292093</v>
      </c>
      <c r="L843">
        <f t="shared" si="178"/>
        <v>-0.26207717467891117</v>
      </c>
      <c r="M843">
        <f t="shared" si="179"/>
        <v>0.65384615384615385</v>
      </c>
      <c r="N843">
        <f t="shared" si="180"/>
        <v>0.34615384615384615</v>
      </c>
      <c r="P843">
        <f t="shared" si="181"/>
        <v>1090</v>
      </c>
      <c r="Q843">
        <f t="shared" si="182"/>
        <v>484.5</v>
      </c>
    </row>
    <row r="844" spans="1:17" x14ac:dyDescent="0.35">
      <c r="A844">
        <v>2024</v>
      </c>
      <c r="B844" s="7">
        <v>181</v>
      </c>
      <c r="C844" s="22">
        <v>29</v>
      </c>
      <c r="D844" s="12">
        <f t="shared" si="170"/>
        <v>22.625</v>
      </c>
      <c r="E844" s="27">
        <f t="shared" si="171"/>
        <v>0.45250000000000001</v>
      </c>
      <c r="F844" s="27">
        <f t="shared" si="172"/>
        <v>0.57999999999999996</v>
      </c>
      <c r="G844">
        <f t="shared" si="173"/>
        <v>51.625</v>
      </c>
      <c r="H844">
        <f t="shared" si="174"/>
        <v>1</v>
      </c>
      <c r="I844">
        <f t="shared" si="175"/>
        <v>-1.1445838295796084E-2</v>
      </c>
      <c r="J844">
        <f t="shared" si="176"/>
        <v>-0.2091427834749878</v>
      </c>
      <c r="K844">
        <f t="shared" si="177"/>
        <v>0.85179811060162436</v>
      </c>
      <c r="L844">
        <f t="shared" si="178"/>
        <v>-0.16040573961989774</v>
      </c>
      <c r="M844">
        <f t="shared" si="179"/>
        <v>0.56174334140435833</v>
      </c>
      <c r="N844">
        <f t="shared" si="180"/>
        <v>0.43825665859564167</v>
      </c>
      <c r="P844">
        <f t="shared" si="181"/>
        <v>505</v>
      </c>
      <c r="Q844">
        <f t="shared" si="182"/>
        <v>671</v>
      </c>
    </row>
    <row r="845" spans="1:17" x14ac:dyDescent="0.35">
      <c r="A845">
        <v>2024</v>
      </c>
      <c r="B845" s="7">
        <v>225</v>
      </c>
      <c r="C845" s="22">
        <v>23</v>
      </c>
      <c r="D845" s="12">
        <f t="shared" si="170"/>
        <v>28.125</v>
      </c>
      <c r="E845" s="27">
        <f t="shared" si="171"/>
        <v>0.5625</v>
      </c>
      <c r="F845" s="27">
        <f t="shared" si="172"/>
        <v>0.46</v>
      </c>
      <c r="G845">
        <f t="shared" si="173"/>
        <v>51.125</v>
      </c>
      <c r="H845">
        <f t="shared" si="174"/>
        <v>1</v>
      </c>
      <c r="I845">
        <f t="shared" si="175"/>
        <v>1.5527772583676689</v>
      </c>
      <c r="J845">
        <f t="shared" si="176"/>
        <v>-0.90237681395902158</v>
      </c>
      <c r="K845">
        <f t="shared" si="177"/>
        <v>0.91204243542644903</v>
      </c>
      <c r="L845">
        <f t="shared" si="178"/>
        <v>-9.2068759917435156E-2</v>
      </c>
      <c r="M845">
        <f t="shared" si="179"/>
        <v>0.44987775061124696</v>
      </c>
      <c r="N845">
        <f t="shared" si="180"/>
        <v>0.55012224938875309</v>
      </c>
      <c r="P845">
        <f t="shared" si="181"/>
        <v>73.5</v>
      </c>
      <c r="Q845">
        <f t="shared" si="182"/>
        <v>904</v>
      </c>
    </row>
    <row r="846" spans="1:17" x14ac:dyDescent="0.35">
      <c r="A846">
        <v>2024</v>
      </c>
      <c r="B846" s="7">
        <v>191</v>
      </c>
      <c r="C846" s="22">
        <v>27</v>
      </c>
      <c r="D846" s="12">
        <f t="shared" si="170"/>
        <v>23.875</v>
      </c>
      <c r="E846" s="27">
        <f t="shared" si="171"/>
        <v>0.47749999999999998</v>
      </c>
      <c r="F846" s="27">
        <f t="shared" si="172"/>
        <v>0.54</v>
      </c>
      <c r="G846">
        <f t="shared" si="173"/>
        <v>50.875</v>
      </c>
      <c r="H846">
        <f t="shared" si="174"/>
        <v>1</v>
      </c>
      <c r="I846">
        <f t="shared" si="175"/>
        <v>0.34405941094590048</v>
      </c>
      <c r="J846">
        <f t="shared" si="176"/>
        <v>-0.44022079363633243</v>
      </c>
      <c r="K846">
        <f t="shared" si="177"/>
        <v>0.77200669195448257</v>
      </c>
      <c r="L846">
        <f t="shared" si="178"/>
        <v>-0.25876206066010871</v>
      </c>
      <c r="M846">
        <f t="shared" si="179"/>
        <v>0.53071253071253066</v>
      </c>
      <c r="N846">
        <f t="shared" si="180"/>
        <v>0.46928746928746928</v>
      </c>
      <c r="P846">
        <f t="shared" si="181"/>
        <v>327</v>
      </c>
      <c r="Q846">
        <f t="shared" si="182"/>
        <v>752.5</v>
      </c>
    </row>
    <row r="847" spans="1:17" x14ac:dyDescent="0.35">
      <c r="A847">
        <v>2024</v>
      </c>
      <c r="B847" s="7">
        <v>195</v>
      </c>
      <c r="C847" s="22">
        <v>26</v>
      </c>
      <c r="D847" s="12">
        <f t="shared" si="170"/>
        <v>24.375</v>
      </c>
      <c r="E847" s="27">
        <f t="shared" si="171"/>
        <v>0.48749999999999999</v>
      </c>
      <c r="F847" s="27">
        <f t="shared" si="172"/>
        <v>0.52</v>
      </c>
      <c r="G847">
        <f t="shared" si="173"/>
        <v>50.375</v>
      </c>
      <c r="H847">
        <f t="shared" si="174"/>
        <v>1</v>
      </c>
      <c r="I847">
        <f t="shared" si="175"/>
        <v>0.48626151064257911</v>
      </c>
      <c r="J847">
        <f t="shared" si="176"/>
        <v>-0.55575979871700476</v>
      </c>
      <c r="K847">
        <f t="shared" si="177"/>
        <v>0.6898896416858028</v>
      </c>
      <c r="L847">
        <f t="shared" si="178"/>
        <v>-0.37122363376832451</v>
      </c>
      <c r="M847">
        <f t="shared" si="179"/>
        <v>0.5161290322580645</v>
      </c>
      <c r="N847">
        <f t="shared" si="180"/>
        <v>0.4838709677419355</v>
      </c>
      <c r="P847">
        <f t="shared" si="181"/>
        <v>282.5</v>
      </c>
      <c r="Q847">
        <f t="shared" si="182"/>
        <v>796</v>
      </c>
    </row>
    <row r="848" spans="1:17" x14ac:dyDescent="0.35">
      <c r="A848">
        <v>2024</v>
      </c>
      <c r="B848" s="7">
        <v>195</v>
      </c>
      <c r="C848" s="22">
        <v>26</v>
      </c>
      <c r="D848" s="12">
        <f t="shared" si="170"/>
        <v>24.375</v>
      </c>
      <c r="E848" s="27">
        <f t="shared" si="171"/>
        <v>0.48749999999999999</v>
      </c>
      <c r="F848" s="27">
        <f t="shared" si="172"/>
        <v>0.52</v>
      </c>
      <c r="G848">
        <f t="shared" si="173"/>
        <v>50.375</v>
      </c>
      <c r="H848">
        <f t="shared" si="174"/>
        <v>1</v>
      </c>
      <c r="I848">
        <f t="shared" si="175"/>
        <v>0.48626151064257911</v>
      </c>
      <c r="J848">
        <f t="shared" si="176"/>
        <v>-0.55575979871700476</v>
      </c>
      <c r="K848">
        <f t="shared" si="177"/>
        <v>0.6898896416858028</v>
      </c>
      <c r="L848">
        <f t="shared" si="178"/>
        <v>-0.37122363376832451</v>
      </c>
      <c r="M848">
        <f t="shared" si="179"/>
        <v>0.5161290322580645</v>
      </c>
      <c r="N848">
        <f t="shared" si="180"/>
        <v>0.4838709677419355</v>
      </c>
      <c r="P848">
        <f t="shared" si="181"/>
        <v>282.5</v>
      </c>
      <c r="Q848">
        <f t="shared" si="182"/>
        <v>796</v>
      </c>
    </row>
    <row r="849" spans="1:17" x14ac:dyDescent="0.35">
      <c r="A849">
        <v>2024</v>
      </c>
      <c r="B849" s="7">
        <v>201</v>
      </c>
      <c r="C849" s="22">
        <v>25</v>
      </c>
      <c r="D849" s="12">
        <f t="shared" si="170"/>
        <v>25.125</v>
      </c>
      <c r="E849" s="27">
        <f t="shared" si="171"/>
        <v>0.50249999999999995</v>
      </c>
      <c r="F849" s="27">
        <f t="shared" si="172"/>
        <v>0.5</v>
      </c>
      <c r="G849">
        <f t="shared" si="173"/>
        <v>50.125</v>
      </c>
      <c r="H849">
        <f t="shared" si="174"/>
        <v>1</v>
      </c>
      <c r="I849">
        <f t="shared" si="175"/>
        <v>0.69956466018759711</v>
      </c>
      <c r="J849">
        <f t="shared" si="176"/>
        <v>-0.67129880379767704</v>
      </c>
      <c r="K849">
        <f t="shared" si="177"/>
        <v>0.66609589447941964</v>
      </c>
      <c r="L849">
        <f t="shared" si="178"/>
        <v>-0.40632163310186031</v>
      </c>
      <c r="M849">
        <f t="shared" si="179"/>
        <v>0.49875311720698257</v>
      </c>
      <c r="N849">
        <f t="shared" si="180"/>
        <v>0.50124688279301743</v>
      </c>
      <c r="P849">
        <f t="shared" si="181"/>
        <v>219.5</v>
      </c>
      <c r="Q849">
        <f t="shared" si="182"/>
        <v>835</v>
      </c>
    </row>
    <row r="850" spans="1:17" x14ac:dyDescent="0.35">
      <c r="A850">
        <v>2024</v>
      </c>
      <c r="B850" s="7">
        <v>182</v>
      </c>
      <c r="C850" s="22">
        <v>27</v>
      </c>
      <c r="D850" s="12">
        <f t="shared" si="170"/>
        <v>22.75</v>
      </c>
      <c r="E850" s="27">
        <f t="shared" si="171"/>
        <v>0.45500000000000002</v>
      </c>
      <c r="F850" s="27">
        <f t="shared" si="172"/>
        <v>0.54</v>
      </c>
      <c r="G850">
        <f t="shared" si="173"/>
        <v>49.75</v>
      </c>
      <c r="H850">
        <f t="shared" si="174"/>
        <v>0</v>
      </c>
      <c r="I850">
        <f t="shared" si="175"/>
        <v>2.4104686628373572E-2</v>
      </c>
      <c r="J850">
        <f t="shared" si="176"/>
        <v>-0.44022079363633243</v>
      </c>
      <c r="K850">
        <f t="shared" si="177"/>
        <v>0.45510928913686971</v>
      </c>
      <c r="L850">
        <f t="shared" si="178"/>
        <v>-0.60717003495419386</v>
      </c>
      <c r="M850">
        <f t="shared" si="179"/>
        <v>0.542713567839196</v>
      </c>
      <c r="N850">
        <f t="shared" si="180"/>
        <v>0.457286432160804</v>
      </c>
      <c r="P850">
        <f t="shared" si="181"/>
        <v>484.5</v>
      </c>
      <c r="Q850">
        <f t="shared" si="182"/>
        <v>752.5</v>
      </c>
    </row>
    <row r="851" spans="1:17" x14ac:dyDescent="0.35">
      <c r="A851">
        <v>2024</v>
      </c>
      <c r="B851" s="7">
        <v>173</v>
      </c>
      <c r="C851" s="22">
        <v>28</v>
      </c>
      <c r="D851" s="12">
        <f t="shared" si="170"/>
        <v>21.625</v>
      </c>
      <c r="E851" s="27">
        <f t="shared" si="171"/>
        <v>0.4325</v>
      </c>
      <c r="F851" s="27">
        <f t="shared" si="172"/>
        <v>0.56000000000000005</v>
      </c>
      <c r="G851">
        <f t="shared" si="173"/>
        <v>49.625</v>
      </c>
      <c r="H851">
        <f t="shared" si="174"/>
        <v>0</v>
      </c>
      <c r="I851">
        <f t="shared" si="175"/>
        <v>-0.29585003768915336</v>
      </c>
      <c r="J851">
        <f t="shared" si="176"/>
        <v>-0.3246817885556601</v>
      </c>
      <c r="K851">
        <f t="shared" si="177"/>
        <v>0.36874631332672786</v>
      </c>
      <c r="L851">
        <f t="shared" si="178"/>
        <v>-0.46004745813513137</v>
      </c>
      <c r="M851">
        <f t="shared" si="179"/>
        <v>0.5642317380352645</v>
      </c>
      <c r="N851">
        <f t="shared" si="180"/>
        <v>0.4357682619647355</v>
      </c>
      <c r="P851">
        <f t="shared" si="181"/>
        <v>669</v>
      </c>
      <c r="Q851">
        <f t="shared" si="182"/>
        <v>709.5</v>
      </c>
    </row>
    <row r="852" spans="1:17" x14ac:dyDescent="0.35">
      <c r="A852">
        <v>2024</v>
      </c>
      <c r="B852" s="7">
        <v>186</v>
      </c>
      <c r="C852" s="22">
        <v>25</v>
      </c>
      <c r="D852" s="12">
        <f t="shared" si="170"/>
        <v>23.25</v>
      </c>
      <c r="E852" s="27">
        <f t="shared" si="171"/>
        <v>0.46500000000000002</v>
      </c>
      <c r="F852" s="27">
        <f t="shared" si="172"/>
        <v>0.5</v>
      </c>
      <c r="G852">
        <f t="shared" si="173"/>
        <v>48.25</v>
      </c>
      <c r="H852">
        <f t="shared" si="174"/>
        <v>0</v>
      </c>
      <c r="I852">
        <f t="shared" si="175"/>
        <v>0.16630678632505219</v>
      </c>
      <c r="J852">
        <f t="shared" si="176"/>
        <v>-0.67129880379767704</v>
      </c>
      <c r="K852">
        <f t="shared" si="177"/>
        <v>0.16215308760320724</v>
      </c>
      <c r="L852">
        <f t="shared" si="178"/>
        <v>-0.17691987729252798</v>
      </c>
      <c r="M852">
        <f t="shared" si="179"/>
        <v>0.51813471502590669</v>
      </c>
      <c r="N852">
        <f t="shared" si="180"/>
        <v>0.48186528497409326</v>
      </c>
      <c r="P852">
        <f t="shared" si="181"/>
        <v>411.5</v>
      </c>
      <c r="Q852">
        <f t="shared" si="182"/>
        <v>835</v>
      </c>
    </row>
    <row r="853" spans="1:17" x14ac:dyDescent="0.35">
      <c r="A853">
        <v>2024</v>
      </c>
      <c r="B853" s="7">
        <v>185</v>
      </c>
      <c r="C853" s="22">
        <v>24</v>
      </c>
      <c r="D853" s="12">
        <f t="shared" si="170"/>
        <v>23.125</v>
      </c>
      <c r="E853" s="27">
        <f t="shared" si="171"/>
        <v>0.46250000000000002</v>
      </c>
      <c r="F853" s="27">
        <f t="shared" si="172"/>
        <v>0.48</v>
      </c>
      <c r="G853">
        <f t="shared" si="173"/>
        <v>47.125</v>
      </c>
      <c r="H853">
        <f t="shared" si="174"/>
        <v>0</v>
      </c>
      <c r="I853">
        <f t="shared" si="175"/>
        <v>0.13075626140088253</v>
      </c>
      <c r="J853">
        <f t="shared" si="176"/>
        <v>-0.78683780887834931</v>
      </c>
      <c r="K853">
        <f t="shared" si="177"/>
        <v>5.5200911809772546E-2</v>
      </c>
      <c r="L853">
        <f t="shared" si="178"/>
        <v>-5.6782979181766551E-2</v>
      </c>
      <c r="M853">
        <f t="shared" si="179"/>
        <v>0.50928381962864722</v>
      </c>
      <c r="N853">
        <f t="shared" si="180"/>
        <v>0.49071618037135278</v>
      </c>
      <c r="P853">
        <f t="shared" si="181"/>
        <v>428.5</v>
      </c>
      <c r="Q853">
        <f t="shared" si="182"/>
        <v>870</v>
      </c>
    </row>
    <row r="854" spans="1:17" x14ac:dyDescent="0.35">
      <c r="A854">
        <v>2024</v>
      </c>
      <c r="B854" s="7">
        <v>184</v>
      </c>
      <c r="C854" s="22">
        <v>24</v>
      </c>
      <c r="D854" s="12">
        <f t="shared" si="170"/>
        <v>23</v>
      </c>
      <c r="E854" s="27">
        <f t="shared" si="171"/>
        <v>0.46</v>
      </c>
      <c r="F854" s="27">
        <f t="shared" si="172"/>
        <v>0.48</v>
      </c>
      <c r="G854">
        <f t="shared" si="173"/>
        <v>47</v>
      </c>
      <c r="H854">
        <f t="shared" si="174"/>
        <v>0</v>
      </c>
      <c r="I854">
        <f t="shared" si="175"/>
        <v>9.5205736476712891E-2</v>
      </c>
      <c r="J854">
        <f t="shared" si="176"/>
        <v>-0.78683780887834931</v>
      </c>
      <c r="K854">
        <f t="shared" si="177"/>
        <v>4.7628775991783119E-2</v>
      </c>
      <c r="L854">
        <f t="shared" si="178"/>
        <v>-4.8800379012975667E-2</v>
      </c>
      <c r="M854">
        <f t="shared" si="179"/>
        <v>0.51063829787234039</v>
      </c>
      <c r="N854">
        <f t="shared" si="180"/>
        <v>0.48936170212765956</v>
      </c>
      <c r="P854">
        <f t="shared" si="181"/>
        <v>445</v>
      </c>
      <c r="Q854">
        <f t="shared" si="182"/>
        <v>870</v>
      </c>
    </row>
    <row r="855" spans="1:17" x14ac:dyDescent="0.35">
      <c r="A855">
        <v>2024</v>
      </c>
      <c r="B855" s="7">
        <v>175</v>
      </c>
      <c r="C855" s="22">
        <v>24</v>
      </c>
      <c r="D855" s="12">
        <f t="shared" si="170"/>
        <v>21.875</v>
      </c>
      <c r="E855" s="27">
        <f t="shared" si="171"/>
        <v>0.4375</v>
      </c>
      <c r="F855" s="27">
        <f t="shared" si="172"/>
        <v>0.48</v>
      </c>
      <c r="G855">
        <f t="shared" si="173"/>
        <v>45.875</v>
      </c>
      <c r="H855">
        <f t="shared" si="174"/>
        <v>0</v>
      </c>
      <c r="I855">
        <f t="shared" si="175"/>
        <v>-0.22474898784081401</v>
      </c>
      <c r="J855">
        <f t="shared" si="176"/>
        <v>-0.78683780887834931</v>
      </c>
      <c r="K855">
        <f t="shared" si="177"/>
        <v>1.2185570110403814E-2</v>
      </c>
      <c r="L855">
        <f t="shared" si="178"/>
        <v>-1.2260422873789797E-2</v>
      </c>
      <c r="M855">
        <f t="shared" si="179"/>
        <v>0.52316076294277924</v>
      </c>
      <c r="N855">
        <f t="shared" si="180"/>
        <v>0.4768392370572207</v>
      </c>
      <c r="P855">
        <f t="shared" si="181"/>
        <v>631.5</v>
      </c>
      <c r="Q855">
        <f t="shared" si="182"/>
        <v>870</v>
      </c>
    </row>
    <row r="856" spans="1:17" x14ac:dyDescent="0.35">
      <c r="A856">
        <v>2024</v>
      </c>
      <c r="B856" s="7">
        <v>180</v>
      </c>
      <c r="C856" s="22">
        <v>22</v>
      </c>
      <c r="D856" s="12">
        <f t="shared" si="170"/>
        <v>22.5</v>
      </c>
      <c r="E856" s="27">
        <f t="shared" si="171"/>
        <v>0.45</v>
      </c>
      <c r="F856" s="27">
        <f t="shared" si="172"/>
        <v>0.44</v>
      </c>
      <c r="G856">
        <f t="shared" si="173"/>
        <v>44.5</v>
      </c>
      <c r="H856">
        <f t="shared" si="174"/>
        <v>0</v>
      </c>
      <c r="I856">
        <f t="shared" si="175"/>
        <v>-4.6996363219965739E-2</v>
      </c>
      <c r="J856">
        <f t="shared" si="176"/>
        <v>-1.017915819039694</v>
      </c>
      <c r="K856">
        <f t="shared" si="177"/>
        <v>3.3282849678340819E-3</v>
      </c>
      <c r="L856">
        <f t="shared" si="178"/>
        <v>-3.3338360286781889E-3</v>
      </c>
      <c r="M856">
        <f t="shared" si="179"/>
        <v>0.4943820224719101</v>
      </c>
      <c r="N856">
        <f t="shared" si="180"/>
        <v>0.5056179775280899</v>
      </c>
      <c r="P856">
        <f t="shared" si="181"/>
        <v>528</v>
      </c>
      <c r="Q856">
        <f t="shared" si="182"/>
        <v>936.5</v>
      </c>
    </row>
    <row r="857" spans="1:17" x14ac:dyDescent="0.35">
      <c r="A857">
        <v>2024</v>
      </c>
      <c r="B857" s="7">
        <v>194</v>
      </c>
      <c r="C857" s="22">
        <v>20</v>
      </c>
      <c r="D857" s="12">
        <f t="shared" si="170"/>
        <v>24.25</v>
      </c>
      <c r="E857" s="27">
        <f t="shared" si="171"/>
        <v>0.48499999999999999</v>
      </c>
      <c r="F857" s="27">
        <f t="shared" si="172"/>
        <v>0.4</v>
      </c>
      <c r="G857">
        <f t="shared" si="173"/>
        <v>44.25</v>
      </c>
      <c r="H857">
        <f t="shared" si="174"/>
        <v>0</v>
      </c>
      <c r="I857">
        <f t="shared" si="175"/>
        <v>0.45071098571840945</v>
      </c>
      <c r="J857">
        <f t="shared" si="176"/>
        <v>-1.2489938292010385</v>
      </c>
      <c r="K857">
        <f t="shared" si="177"/>
        <v>3.6514906936562326E-3</v>
      </c>
      <c r="L857">
        <f t="shared" si="178"/>
        <v>-3.658173659283709E-3</v>
      </c>
      <c r="M857">
        <f t="shared" si="179"/>
        <v>0.4519774011299435</v>
      </c>
      <c r="N857">
        <f t="shared" si="180"/>
        <v>0.54802259887005644</v>
      </c>
      <c r="P857">
        <f t="shared" si="181"/>
        <v>293.5</v>
      </c>
      <c r="Q857">
        <f t="shared" si="182"/>
        <v>996</v>
      </c>
    </row>
    <row r="858" spans="1:17" x14ac:dyDescent="0.35">
      <c r="A858">
        <v>2024</v>
      </c>
      <c r="B858" s="7">
        <v>173</v>
      </c>
      <c r="C858" s="22">
        <v>22</v>
      </c>
      <c r="D858" s="12">
        <f t="shared" si="170"/>
        <v>21.625</v>
      </c>
      <c r="E858" s="27">
        <f t="shared" si="171"/>
        <v>0.4325</v>
      </c>
      <c r="F858" s="27">
        <f t="shared" si="172"/>
        <v>0.44</v>
      </c>
      <c r="G858">
        <f t="shared" si="173"/>
        <v>43.625</v>
      </c>
      <c r="H858">
        <f t="shared" si="174"/>
        <v>0</v>
      </c>
      <c r="I858">
        <f t="shared" si="175"/>
        <v>-0.29585003768915336</v>
      </c>
      <c r="J858">
        <f t="shared" si="176"/>
        <v>-1.017915819039694</v>
      </c>
      <c r="K858">
        <f t="shared" si="177"/>
        <v>1.1229876476678861E-3</v>
      </c>
      <c r="L858">
        <f t="shared" si="178"/>
        <v>-1.1236186707613426E-3</v>
      </c>
      <c r="M858">
        <f t="shared" si="179"/>
        <v>0.50429799426934097</v>
      </c>
      <c r="N858">
        <f t="shared" si="180"/>
        <v>0.49570200573065903</v>
      </c>
      <c r="P858">
        <f t="shared" si="181"/>
        <v>669</v>
      </c>
      <c r="Q858">
        <f t="shared" si="182"/>
        <v>936.5</v>
      </c>
    </row>
    <row r="859" spans="1:17" x14ac:dyDescent="0.35">
      <c r="A859">
        <v>2024</v>
      </c>
      <c r="B859" s="7">
        <v>180</v>
      </c>
      <c r="C859" s="22">
        <v>21</v>
      </c>
      <c r="D859" s="12">
        <f t="shared" si="170"/>
        <v>22.5</v>
      </c>
      <c r="E859" s="27">
        <f t="shared" si="171"/>
        <v>0.45</v>
      </c>
      <c r="F859" s="27">
        <f t="shared" si="172"/>
        <v>0.42</v>
      </c>
      <c r="G859">
        <f t="shared" si="173"/>
        <v>43.5</v>
      </c>
      <c r="H859">
        <f t="shared" si="174"/>
        <v>0</v>
      </c>
      <c r="I859">
        <f t="shared" si="175"/>
        <v>-4.6996363219965739E-2</v>
      </c>
      <c r="J859">
        <f t="shared" si="176"/>
        <v>-1.1334548241203661</v>
      </c>
      <c r="K859">
        <f t="shared" si="177"/>
        <v>1.1763783998458919E-3</v>
      </c>
      <c r="L859">
        <f t="shared" si="178"/>
        <v>-1.1770708760449693E-3</v>
      </c>
      <c r="M859">
        <f t="shared" si="179"/>
        <v>0.48275862068965519</v>
      </c>
      <c r="N859">
        <f t="shared" si="180"/>
        <v>0.51724137931034486</v>
      </c>
      <c r="P859">
        <f t="shared" si="181"/>
        <v>528</v>
      </c>
      <c r="Q859">
        <f t="shared" si="182"/>
        <v>967.5</v>
      </c>
    </row>
    <row r="860" spans="1:17" x14ac:dyDescent="0.35">
      <c r="A860">
        <v>2024</v>
      </c>
      <c r="B860" s="7">
        <v>181</v>
      </c>
      <c r="C860" s="22">
        <v>20</v>
      </c>
      <c r="D860" s="12">
        <f t="shared" si="170"/>
        <v>22.625</v>
      </c>
      <c r="E860" s="27">
        <f t="shared" si="171"/>
        <v>0.45250000000000001</v>
      </c>
      <c r="F860" s="27">
        <f t="shared" si="172"/>
        <v>0.4</v>
      </c>
      <c r="G860">
        <f t="shared" si="173"/>
        <v>42.625</v>
      </c>
      <c r="H860">
        <f t="shared" si="174"/>
        <v>0</v>
      </c>
      <c r="I860">
        <f t="shared" si="175"/>
        <v>-1.1445838295796084E-2</v>
      </c>
      <c r="J860">
        <f t="shared" si="176"/>
        <v>-1.2489938292010385</v>
      </c>
      <c r="K860">
        <f t="shared" si="177"/>
        <v>4.8504388165588827E-4</v>
      </c>
      <c r="L860">
        <f t="shared" si="178"/>
        <v>-4.8516155349170691E-4</v>
      </c>
      <c r="M860">
        <f t="shared" si="179"/>
        <v>0.46920821114369504</v>
      </c>
      <c r="N860">
        <f t="shared" si="180"/>
        <v>0.53079178885630496</v>
      </c>
      <c r="P860">
        <f t="shared" si="181"/>
        <v>505</v>
      </c>
      <c r="Q860">
        <f t="shared" si="182"/>
        <v>996</v>
      </c>
    </row>
    <row r="861" spans="1:17" x14ac:dyDescent="0.35">
      <c r="A861">
        <v>2024</v>
      </c>
      <c r="B861" s="7">
        <v>178</v>
      </c>
      <c r="C861" s="22">
        <v>17</v>
      </c>
      <c r="D861" s="12">
        <f t="shared" si="170"/>
        <v>22.25</v>
      </c>
      <c r="E861" s="27">
        <f t="shared" si="171"/>
        <v>0.44500000000000001</v>
      </c>
      <c r="F861" s="27">
        <f t="shared" si="172"/>
        <v>0.34</v>
      </c>
      <c r="G861">
        <f t="shared" si="173"/>
        <v>39.25</v>
      </c>
      <c r="H861">
        <f t="shared" si="174"/>
        <v>0</v>
      </c>
      <c r="I861">
        <f t="shared" si="175"/>
        <v>-0.11809741306830505</v>
      </c>
      <c r="J861">
        <f t="shared" si="176"/>
        <v>-1.5956108444430555</v>
      </c>
      <c r="K861">
        <f t="shared" si="177"/>
        <v>1.3351333559345121E-5</v>
      </c>
      <c r="L861">
        <f t="shared" si="178"/>
        <v>-1.3351422689244347E-5</v>
      </c>
      <c r="M861">
        <f t="shared" si="179"/>
        <v>0.43312101910828027</v>
      </c>
      <c r="N861">
        <f t="shared" si="180"/>
        <v>0.56687898089171973</v>
      </c>
      <c r="P861">
        <f t="shared" si="181"/>
        <v>564.5</v>
      </c>
      <c r="Q861">
        <f t="shared" si="182"/>
        <v>1063.5</v>
      </c>
    </row>
    <row r="862" spans="1:17" x14ac:dyDescent="0.35">
      <c r="A862">
        <v>2024</v>
      </c>
      <c r="B862" s="7">
        <v>170</v>
      </c>
      <c r="C862" s="22">
        <v>17</v>
      </c>
      <c r="D862" s="12">
        <f t="shared" si="170"/>
        <v>21.25</v>
      </c>
      <c r="E862" s="27">
        <f t="shared" si="171"/>
        <v>0.42499999999999999</v>
      </c>
      <c r="F862" s="27">
        <f t="shared" si="172"/>
        <v>0.34</v>
      </c>
      <c r="G862">
        <f t="shared" si="173"/>
        <v>38.25</v>
      </c>
      <c r="H862">
        <f t="shared" si="174"/>
        <v>0</v>
      </c>
      <c r="I862">
        <f t="shared" si="175"/>
        <v>-0.40250161246166233</v>
      </c>
      <c r="J862">
        <f t="shared" si="176"/>
        <v>-1.5956108444430555</v>
      </c>
      <c r="K862">
        <f t="shared" si="177"/>
        <v>3.8475097958069099E-6</v>
      </c>
      <c r="L862">
        <f t="shared" si="178"/>
        <v>-3.8475171974472271E-6</v>
      </c>
      <c r="M862">
        <f t="shared" si="179"/>
        <v>0.44444444444444442</v>
      </c>
      <c r="N862">
        <f t="shared" si="180"/>
        <v>0.55555555555555558</v>
      </c>
      <c r="P862">
        <f t="shared" si="181"/>
        <v>720</v>
      </c>
      <c r="Q862">
        <f t="shared" si="182"/>
        <v>1063.5</v>
      </c>
    </row>
    <row r="863" spans="1:17" x14ac:dyDescent="0.35">
      <c r="A863">
        <v>2024</v>
      </c>
      <c r="B863" s="7">
        <v>153</v>
      </c>
      <c r="C863" s="22">
        <v>19</v>
      </c>
      <c r="D863" s="12">
        <f t="shared" si="170"/>
        <v>19.125</v>
      </c>
      <c r="E863" s="27">
        <f t="shared" si="171"/>
        <v>0.38250000000000001</v>
      </c>
      <c r="F863" s="27">
        <f t="shared" si="172"/>
        <v>0.38</v>
      </c>
      <c r="G863">
        <f t="shared" si="173"/>
        <v>38.125</v>
      </c>
      <c r="H863">
        <f t="shared" si="174"/>
        <v>0</v>
      </c>
      <c r="I863">
        <f t="shared" si="175"/>
        <v>-1.0068605361725464</v>
      </c>
      <c r="J863">
        <f t="shared" si="176"/>
        <v>-1.3645328342817109</v>
      </c>
      <c r="K863">
        <f t="shared" si="177"/>
        <v>2.1986647208066254E-6</v>
      </c>
      <c r="L863">
        <f t="shared" si="178"/>
        <v>-2.1986671379095558E-6</v>
      </c>
      <c r="M863">
        <f t="shared" si="179"/>
        <v>0.49836065573770494</v>
      </c>
      <c r="N863">
        <f t="shared" si="180"/>
        <v>0.50163934426229506</v>
      </c>
      <c r="P863">
        <f t="shared" si="181"/>
        <v>1004.5</v>
      </c>
      <c r="Q863">
        <f t="shared" si="182"/>
        <v>1022</v>
      </c>
    </row>
    <row r="864" spans="1:17" x14ac:dyDescent="0.35">
      <c r="A864">
        <v>2024</v>
      </c>
      <c r="B864" s="7">
        <v>163</v>
      </c>
      <c r="C864" s="22">
        <v>16</v>
      </c>
      <c r="D864" s="12">
        <f t="shared" si="170"/>
        <v>20.375</v>
      </c>
      <c r="E864" s="27">
        <f t="shared" si="171"/>
        <v>0.40749999999999997</v>
      </c>
      <c r="F864" s="27">
        <f t="shared" si="172"/>
        <v>0.32</v>
      </c>
      <c r="G864">
        <f t="shared" si="173"/>
        <v>36.375</v>
      </c>
      <c r="H864">
        <f t="shared" si="174"/>
        <v>0</v>
      </c>
      <c r="I864">
        <f t="shared" si="175"/>
        <v>-0.65135528693084987</v>
      </c>
      <c r="J864">
        <f t="shared" si="176"/>
        <v>-1.7111498495237276</v>
      </c>
      <c r="K864">
        <f t="shared" si="177"/>
        <v>4.5684162132974136E-7</v>
      </c>
      <c r="L864">
        <f t="shared" si="178"/>
        <v>-4.5684172566237639E-7</v>
      </c>
      <c r="M864">
        <f t="shared" si="179"/>
        <v>0.43986254295532645</v>
      </c>
      <c r="N864">
        <f t="shared" si="180"/>
        <v>0.56013745704467355</v>
      </c>
      <c r="P864">
        <f t="shared" si="181"/>
        <v>860.5</v>
      </c>
      <c r="Q864">
        <f t="shared" si="182"/>
        <v>1079.5</v>
      </c>
    </row>
    <row r="865" spans="1:17" x14ac:dyDescent="0.35">
      <c r="A865">
        <v>2024</v>
      </c>
      <c r="B865" s="7">
        <v>177</v>
      </c>
      <c r="C865" s="22">
        <v>14</v>
      </c>
      <c r="D865" s="12">
        <f t="shared" si="170"/>
        <v>22.125</v>
      </c>
      <c r="E865" s="27">
        <f t="shared" si="171"/>
        <v>0.4425</v>
      </c>
      <c r="F865" s="27">
        <f t="shared" si="172"/>
        <v>0.28000000000000003</v>
      </c>
      <c r="G865">
        <f t="shared" si="173"/>
        <v>36.125</v>
      </c>
      <c r="H865">
        <f t="shared" si="174"/>
        <v>0</v>
      </c>
      <c r="I865">
        <f t="shared" si="175"/>
        <v>-0.15364793799247473</v>
      </c>
      <c r="J865">
        <f t="shared" si="176"/>
        <v>-1.9422278596850724</v>
      </c>
      <c r="K865">
        <f t="shared" si="177"/>
        <v>5.0136752204383322E-7</v>
      </c>
      <c r="L865">
        <f t="shared" si="178"/>
        <v>-5.013676477391681E-7</v>
      </c>
      <c r="M865">
        <f t="shared" si="179"/>
        <v>0.38754325259515571</v>
      </c>
      <c r="N865">
        <f t="shared" si="180"/>
        <v>0.61245674740484424</v>
      </c>
      <c r="P865">
        <f t="shared" si="181"/>
        <v>585</v>
      </c>
      <c r="Q865">
        <f t="shared" si="182"/>
        <v>1107.5</v>
      </c>
    </row>
    <row r="866" spans="1:17" x14ac:dyDescent="0.35">
      <c r="A866">
        <v>2024</v>
      </c>
      <c r="B866" s="7">
        <v>157</v>
      </c>
      <c r="C866" s="22">
        <v>17</v>
      </c>
      <c r="D866" s="12">
        <f t="shared" si="170"/>
        <v>19.625</v>
      </c>
      <c r="E866" s="27">
        <f t="shared" si="171"/>
        <v>0.39250000000000002</v>
      </c>
      <c r="F866" s="27">
        <f t="shared" si="172"/>
        <v>0.34</v>
      </c>
      <c r="G866">
        <f t="shared" si="173"/>
        <v>36.625</v>
      </c>
      <c r="H866">
        <f t="shared" si="174"/>
        <v>0</v>
      </c>
      <c r="I866">
        <f t="shared" si="175"/>
        <v>-0.86465843647586782</v>
      </c>
      <c r="J866">
        <f t="shared" si="176"/>
        <v>-1.5956108444430555</v>
      </c>
      <c r="K866">
        <f t="shared" si="177"/>
        <v>5.0946457930200038E-7</v>
      </c>
      <c r="L866">
        <f t="shared" si="178"/>
        <v>-5.0946470907846695E-7</v>
      </c>
      <c r="M866">
        <f t="shared" si="179"/>
        <v>0.46416382252559729</v>
      </c>
      <c r="N866">
        <f t="shared" si="180"/>
        <v>0.53583617747440271</v>
      </c>
      <c r="P866">
        <f t="shared" si="181"/>
        <v>954</v>
      </c>
      <c r="Q866">
        <f t="shared" si="182"/>
        <v>1063.5</v>
      </c>
    </row>
    <row r="867" spans="1:17" x14ac:dyDescent="0.35">
      <c r="A867">
        <v>2024</v>
      </c>
      <c r="B867" s="7">
        <v>322</v>
      </c>
      <c r="C867" s="22">
        <v>35</v>
      </c>
      <c r="D867" s="12">
        <f t="shared" si="170"/>
        <v>40.25</v>
      </c>
      <c r="E867" s="27">
        <f t="shared" si="171"/>
        <v>0.80500000000000005</v>
      </c>
      <c r="F867" s="27">
        <f t="shared" si="172"/>
        <v>0.7</v>
      </c>
      <c r="G867">
        <f t="shared" si="173"/>
        <v>75.25</v>
      </c>
      <c r="H867">
        <f t="shared" si="174"/>
        <v>1</v>
      </c>
      <c r="I867">
        <f t="shared" si="175"/>
        <v>5.0011781760121252</v>
      </c>
      <c r="J867">
        <f t="shared" si="176"/>
        <v>0.48409124700904599</v>
      </c>
      <c r="K867">
        <f t="shared" si="177"/>
        <v>0.99999999999989964</v>
      </c>
      <c r="L867">
        <f t="shared" si="178"/>
        <v>-1.0036416142611919E-13</v>
      </c>
      <c r="M867">
        <f t="shared" si="179"/>
        <v>0.46511627906976744</v>
      </c>
      <c r="N867">
        <f t="shared" si="180"/>
        <v>0.53488372093023251</v>
      </c>
      <c r="P867">
        <f t="shared" si="181"/>
        <v>1</v>
      </c>
      <c r="Q867">
        <f t="shared" si="182"/>
        <v>448.5</v>
      </c>
    </row>
    <row r="868" spans="1:17" x14ac:dyDescent="0.35">
      <c r="A868">
        <v>2024</v>
      </c>
      <c r="B868" s="7">
        <v>171</v>
      </c>
      <c r="C868" s="22">
        <v>43</v>
      </c>
      <c r="D868" s="12">
        <f t="shared" si="170"/>
        <v>21.375</v>
      </c>
      <c r="E868" s="27">
        <f t="shared" si="171"/>
        <v>0.42749999999999999</v>
      </c>
      <c r="F868" s="27">
        <f t="shared" si="172"/>
        <v>0.86</v>
      </c>
      <c r="G868">
        <f t="shared" si="173"/>
        <v>64.375</v>
      </c>
      <c r="H868">
        <f t="shared" si="174"/>
        <v>1</v>
      </c>
      <c r="I868">
        <f t="shared" si="175"/>
        <v>-0.36695108753749267</v>
      </c>
      <c r="J868">
        <f t="shared" si="176"/>
        <v>1.4084032876544244</v>
      </c>
      <c r="K868">
        <f t="shared" si="177"/>
        <v>0.99999962032557965</v>
      </c>
      <c r="L868">
        <f t="shared" si="178"/>
        <v>-3.7967449242404857E-7</v>
      </c>
      <c r="M868">
        <f t="shared" si="179"/>
        <v>0.66796116504854364</v>
      </c>
      <c r="N868">
        <f t="shared" si="180"/>
        <v>0.33203883495145631</v>
      </c>
      <c r="P868">
        <f t="shared" si="181"/>
        <v>700</v>
      </c>
      <c r="Q868">
        <f t="shared" si="182"/>
        <v>53.5</v>
      </c>
    </row>
    <row r="869" spans="1:17" x14ac:dyDescent="0.35">
      <c r="A869">
        <v>2024</v>
      </c>
      <c r="B869" s="7">
        <v>144</v>
      </c>
      <c r="C869" s="22">
        <v>44</v>
      </c>
      <c r="D869" s="12">
        <f t="shared" si="170"/>
        <v>18</v>
      </c>
      <c r="E869" s="27">
        <f t="shared" si="171"/>
        <v>0.36</v>
      </c>
      <c r="F869" s="27">
        <f t="shared" si="172"/>
        <v>0.88</v>
      </c>
      <c r="G869">
        <f t="shared" si="173"/>
        <v>62</v>
      </c>
      <c r="H869">
        <f t="shared" si="174"/>
        <v>1</v>
      </c>
      <c r="I869">
        <f t="shared" si="175"/>
        <v>-1.3268152604900734</v>
      </c>
      <c r="J869">
        <f t="shared" si="176"/>
        <v>1.5239422927350967</v>
      </c>
      <c r="K869">
        <f t="shared" si="177"/>
        <v>0.9999910777270884</v>
      </c>
      <c r="L869">
        <f t="shared" si="178"/>
        <v>-8.9223127153182368E-6</v>
      </c>
      <c r="M869">
        <f t="shared" si="179"/>
        <v>0.70967741935483875</v>
      </c>
      <c r="N869">
        <f t="shared" si="180"/>
        <v>0.29032258064516131</v>
      </c>
      <c r="P869">
        <f t="shared" si="181"/>
        <v>1090</v>
      </c>
      <c r="Q869">
        <f t="shared" si="182"/>
        <v>26.5</v>
      </c>
    </row>
    <row r="870" spans="1:17" x14ac:dyDescent="0.35">
      <c r="A870">
        <v>2024</v>
      </c>
      <c r="B870" s="7">
        <v>198</v>
      </c>
      <c r="C870" s="22">
        <v>32</v>
      </c>
      <c r="D870" s="12">
        <f t="shared" si="170"/>
        <v>24.75</v>
      </c>
      <c r="E870" s="27">
        <f t="shared" si="171"/>
        <v>0.495</v>
      </c>
      <c r="F870" s="27">
        <f t="shared" si="172"/>
        <v>0.64</v>
      </c>
      <c r="G870">
        <f t="shared" si="173"/>
        <v>56.75</v>
      </c>
      <c r="H870">
        <f t="shared" si="174"/>
        <v>1</v>
      </c>
      <c r="I870">
        <f t="shared" si="175"/>
        <v>0.59291308541508814</v>
      </c>
      <c r="J870">
        <f t="shared" si="176"/>
        <v>0.13747423176702911</v>
      </c>
      <c r="K870">
        <f t="shared" si="177"/>
        <v>0.99945773772158875</v>
      </c>
      <c r="L870">
        <f t="shared" si="178"/>
        <v>-5.4240935577262131E-4</v>
      </c>
      <c r="M870">
        <f t="shared" si="179"/>
        <v>0.56387665198237891</v>
      </c>
      <c r="N870">
        <f t="shared" si="180"/>
        <v>0.43612334801762115</v>
      </c>
      <c r="P870">
        <f t="shared" si="181"/>
        <v>251</v>
      </c>
      <c r="Q870">
        <f t="shared" si="182"/>
        <v>564</v>
      </c>
    </row>
    <row r="871" spans="1:17" x14ac:dyDescent="0.35">
      <c r="A871">
        <v>2024</v>
      </c>
      <c r="B871" s="7">
        <v>198</v>
      </c>
      <c r="C871" s="22">
        <v>27</v>
      </c>
      <c r="D871" s="12">
        <f t="shared" si="170"/>
        <v>24.75</v>
      </c>
      <c r="E871" s="27">
        <f t="shared" si="171"/>
        <v>0.495</v>
      </c>
      <c r="F871" s="27">
        <f t="shared" si="172"/>
        <v>0.54</v>
      </c>
      <c r="G871">
        <f t="shared" si="173"/>
        <v>51.75</v>
      </c>
      <c r="H871">
        <f t="shared" si="174"/>
        <v>1</v>
      </c>
      <c r="I871">
        <f t="shared" si="175"/>
        <v>0.59291308541508814</v>
      </c>
      <c r="J871">
        <f t="shared" si="176"/>
        <v>-0.44022079363633243</v>
      </c>
      <c r="K871">
        <f t="shared" si="177"/>
        <v>0.90956635932536878</v>
      </c>
      <c r="L871">
        <f t="shared" si="178"/>
        <v>-9.4787321260773869E-2</v>
      </c>
      <c r="M871">
        <f t="shared" si="179"/>
        <v>0.52173913043478259</v>
      </c>
      <c r="N871">
        <f t="shared" si="180"/>
        <v>0.47826086956521741</v>
      </c>
      <c r="P871">
        <f t="shared" si="181"/>
        <v>251</v>
      </c>
      <c r="Q871">
        <f t="shared" si="182"/>
        <v>752.5</v>
      </c>
    </row>
    <row r="872" spans="1:17" x14ac:dyDescent="0.35">
      <c r="A872">
        <v>2024</v>
      </c>
      <c r="B872" s="7">
        <v>167</v>
      </c>
      <c r="C872" s="22">
        <v>16</v>
      </c>
      <c r="D872" s="12">
        <f t="shared" si="170"/>
        <v>20.875</v>
      </c>
      <c r="E872" s="27">
        <f t="shared" si="171"/>
        <v>0.41749999999999998</v>
      </c>
      <c r="F872" s="27">
        <f t="shared" si="172"/>
        <v>0.32</v>
      </c>
      <c r="G872">
        <f t="shared" si="173"/>
        <v>36.875</v>
      </c>
      <c r="H872">
        <f t="shared" si="174"/>
        <v>0</v>
      </c>
      <c r="I872">
        <f t="shared" si="175"/>
        <v>-0.50915318723417125</v>
      </c>
      <c r="J872">
        <f t="shared" si="176"/>
        <v>-1.7111498495237276</v>
      </c>
      <c r="K872">
        <f t="shared" si="177"/>
        <v>8.5102048210153972E-7</v>
      </c>
      <c r="L872">
        <f t="shared" si="178"/>
        <v>-8.51020844202544E-7</v>
      </c>
      <c r="M872">
        <f t="shared" si="179"/>
        <v>0.43389830508474575</v>
      </c>
      <c r="N872">
        <f t="shared" si="180"/>
        <v>0.56610169491525419</v>
      </c>
      <c r="P872">
        <f t="shared" si="181"/>
        <v>789.5</v>
      </c>
      <c r="Q872">
        <f t="shared" si="182"/>
        <v>1079.5</v>
      </c>
    </row>
    <row r="873" spans="1:17" x14ac:dyDescent="0.35">
      <c r="A873">
        <v>2024</v>
      </c>
      <c r="B873" s="7">
        <v>201</v>
      </c>
      <c r="C873" s="22">
        <v>43</v>
      </c>
      <c r="D873" s="12">
        <f t="shared" si="170"/>
        <v>25.125</v>
      </c>
      <c r="E873" s="27">
        <f t="shared" si="171"/>
        <v>0.50249999999999995</v>
      </c>
      <c r="F873" s="27">
        <f t="shared" si="172"/>
        <v>0.86</v>
      </c>
      <c r="G873">
        <f t="shared" si="173"/>
        <v>68.125</v>
      </c>
      <c r="H873">
        <f t="shared" si="174"/>
        <v>1</v>
      </c>
      <c r="I873">
        <f t="shared" si="175"/>
        <v>0.69956466018759711</v>
      </c>
      <c r="J873">
        <f t="shared" si="176"/>
        <v>1.4084032876544244</v>
      </c>
      <c r="K873">
        <f t="shared" si="177"/>
        <v>0.99999999642642745</v>
      </c>
      <c r="L873">
        <f t="shared" si="178"/>
        <v>-3.5735725553723686E-9</v>
      </c>
      <c r="M873">
        <f t="shared" si="179"/>
        <v>0.63119266055045875</v>
      </c>
      <c r="N873">
        <f t="shared" si="180"/>
        <v>0.3688073394495413</v>
      </c>
      <c r="P873">
        <f t="shared" si="181"/>
        <v>219.5</v>
      </c>
      <c r="Q873">
        <f t="shared" si="182"/>
        <v>53.5</v>
      </c>
    </row>
    <row r="874" spans="1:17" x14ac:dyDescent="0.35">
      <c r="A874">
        <v>2024</v>
      </c>
      <c r="B874" s="7">
        <v>180</v>
      </c>
      <c r="C874" s="22">
        <v>33</v>
      </c>
      <c r="D874" s="12">
        <f t="shared" si="170"/>
        <v>22.5</v>
      </c>
      <c r="E874" s="27">
        <f t="shared" si="171"/>
        <v>0.45</v>
      </c>
      <c r="F874" s="27">
        <f t="shared" si="172"/>
        <v>0.66</v>
      </c>
      <c r="G874">
        <f t="shared" si="173"/>
        <v>55.5</v>
      </c>
      <c r="H874">
        <f t="shared" si="174"/>
        <v>1</v>
      </c>
      <c r="I874">
        <f t="shared" si="175"/>
        <v>-4.6996363219965739E-2</v>
      </c>
      <c r="J874">
        <f t="shared" si="176"/>
        <v>0.25301323684770138</v>
      </c>
      <c r="K874">
        <f t="shared" si="177"/>
        <v>0.99686486350122305</v>
      </c>
      <c r="L874">
        <f t="shared" si="178"/>
        <v>-3.1400613352600966E-3</v>
      </c>
      <c r="M874">
        <f t="shared" si="179"/>
        <v>0.59459459459459463</v>
      </c>
      <c r="N874">
        <f t="shared" si="180"/>
        <v>0.40540540540540543</v>
      </c>
      <c r="P874">
        <f t="shared" si="181"/>
        <v>528</v>
      </c>
      <c r="Q874">
        <f t="shared" si="182"/>
        <v>523.5</v>
      </c>
    </row>
    <row r="875" spans="1:17" x14ac:dyDescent="0.35">
      <c r="A875">
        <v>2024</v>
      </c>
      <c r="B875" s="7">
        <v>261</v>
      </c>
      <c r="C875" s="22">
        <v>42</v>
      </c>
      <c r="D875" s="12">
        <f t="shared" si="170"/>
        <v>32.625</v>
      </c>
      <c r="E875" s="27">
        <f t="shared" si="171"/>
        <v>0.65249999999999997</v>
      </c>
      <c r="F875" s="27">
        <f t="shared" si="172"/>
        <v>0.84</v>
      </c>
      <c r="G875">
        <f t="shared" si="173"/>
        <v>74.625</v>
      </c>
      <c r="H875">
        <f t="shared" si="174"/>
        <v>1</v>
      </c>
      <c r="I875">
        <f t="shared" si="175"/>
        <v>2.8325961556377766</v>
      </c>
      <c r="J875">
        <f t="shared" si="176"/>
        <v>1.2928642825737522</v>
      </c>
      <c r="K875">
        <f t="shared" si="177"/>
        <v>0.99999999999910227</v>
      </c>
      <c r="L875">
        <f t="shared" si="178"/>
        <v>-8.9772633771230457E-13</v>
      </c>
      <c r="M875">
        <f t="shared" si="179"/>
        <v>0.56281407035175879</v>
      </c>
      <c r="N875">
        <f t="shared" si="180"/>
        <v>0.43718592964824121</v>
      </c>
      <c r="P875">
        <f t="shared" si="181"/>
        <v>24</v>
      </c>
      <c r="Q875">
        <f t="shared" si="182"/>
        <v>90.5</v>
      </c>
    </row>
    <row r="876" spans="1:17" x14ac:dyDescent="0.35">
      <c r="A876">
        <v>2024</v>
      </c>
      <c r="B876" s="7">
        <v>203</v>
      </c>
      <c r="C876" s="22">
        <v>22</v>
      </c>
      <c r="D876" s="12">
        <f t="shared" si="170"/>
        <v>25.375</v>
      </c>
      <c r="E876" s="27">
        <f t="shared" si="171"/>
        <v>0.50749999999999995</v>
      </c>
      <c r="F876" s="27">
        <f t="shared" si="172"/>
        <v>0.44</v>
      </c>
      <c r="G876">
        <f t="shared" si="173"/>
        <v>47.375</v>
      </c>
      <c r="H876">
        <f t="shared" si="174"/>
        <v>0</v>
      </c>
      <c r="I876">
        <f t="shared" si="175"/>
        <v>0.77066571003593642</v>
      </c>
      <c r="J876">
        <f t="shared" si="176"/>
        <v>-1.017915819039694</v>
      </c>
      <c r="K876">
        <f t="shared" si="177"/>
        <v>0.10670104751881374</v>
      </c>
      <c r="L876">
        <f t="shared" si="178"/>
        <v>-0.11283398091447339</v>
      </c>
      <c r="M876">
        <f t="shared" si="179"/>
        <v>0.46437994722955145</v>
      </c>
      <c r="N876">
        <f t="shared" si="180"/>
        <v>0.53562005277044855</v>
      </c>
      <c r="P876">
        <f t="shared" si="181"/>
        <v>203</v>
      </c>
      <c r="Q876">
        <f t="shared" si="182"/>
        <v>936.5</v>
      </c>
    </row>
    <row r="877" spans="1:17" x14ac:dyDescent="0.35">
      <c r="A877">
        <v>2024</v>
      </c>
      <c r="B877" s="7">
        <v>254</v>
      </c>
      <c r="C877" s="22">
        <v>45</v>
      </c>
      <c r="D877" s="12">
        <f t="shared" si="170"/>
        <v>31.75</v>
      </c>
      <c r="E877" s="27">
        <f t="shared" si="171"/>
        <v>0.63500000000000001</v>
      </c>
      <c r="F877" s="27">
        <f t="shared" si="172"/>
        <v>0.9</v>
      </c>
      <c r="G877">
        <f t="shared" si="173"/>
        <v>76.75</v>
      </c>
      <c r="H877">
        <f t="shared" si="174"/>
        <v>1</v>
      </c>
      <c r="I877">
        <f t="shared" si="175"/>
        <v>2.583742481168589</v>
      </c>
      <c r="J877">
        <f t="shared" si="176"/>
        <v>1.6394812978157691</v>
      </c>
      <c r="K877">
        <f t="shared" si="177"/>
        <v>0.99999999999988298</v>
      </c>
      <c r="L877">
        <f t="shared" si="178"/>
        <v>-1.1701750679549834E-13</v>
      </c>
      <c r="M877">
        <f t="shared" si="179"/>
        <v>0.58631921824104238</v>
      </c>
      <c r="N877">
        <f t="shared" si="180"/>
        <v>0.41368078175895767</v>
      </c>
      <c r="P877">
        <f t="shared" si="181"/>
        <v>30</v>
      </c>
      <c r="Q877">
        <f t="shared" si="182"/>
        <v>10.5</v>
      </c>
    </row>
    <row r="878" spans="1:17" x14ac:dyDescent="0.35">
      <c r="A878">
        <v>2024</v>
      </c>
      <c r="B878" s="7">
        <v>249</v>
      </c>
      <c r="C878" s="22">
        <v>43</v>
      </c>
      <c r="D878" s="12">
        <f t="shared" si="170"/>
        <v>31.125</v>
      </c>
      <c r="E878" s="27">
        <f t="shared" si="171"/>
        <v>0.62250000000000005</v>
      </c>
      <c r="F878" s="27">
        <f t="shared" si="172"/>
        <v>0.86</v>
      </c>
      <c r="G878">
        <f t="shared" si="173"/>
        <v>74.125</v>
      </c>
      <c r="H878">
        <f t="shared" si="174"/>
        <v>1</v>
      </c>
      <c r="I878">
        <f t="shared" si="175"/>
        <v>2.4059898565477407</v>
      </c>
      <c r="J878">
        <f t="shared" si="176"/>
        <v>1.4084032876544244</v>
      </c>
      <c r="K878">
        <f t="shared" si="177"/>
        <v>0.99999999999795341</v>
      </c>
      <c r="L878">
        <f t="shared" si="178"/>
        <v>-2.0465851235961078E-12</v>
      </c>
      <c r="M878">
        <f t="shared" si="179"/>
        <v>0.5801011804384486</v>
      </c>
      <c r="N878">
        <f t="shared" si="180"/>
        <v>0.41989881956155145</v>
      </c>
      <c r="P878">
        <f t="shared" si="181"/>
        <v>35.5</v>
      </c>
      <c r="Q878">
        <f t="shared" si="182"/>
        <v>53.5</v>
      </c>
    </row>
    <row r="879" spans="1:17" x14ac:dyDescent="0.35">
      <c r="A879">
        <v>2024</v>
      </c>
      <c r="B879" s="7">
        <v>297</v>
      </c>
      <c r="C879" s="22">
        <v>37</v>
      </c>
      <c r="D879" s="12">
        <f t="shared" si="170"/>
        <v>37.125</v>
      </c>
      <c r="E879" s="27">
        <f t="shared" si="171"/>
        <v>0.74250000000000005</v>
      </c>
      <c r="F879" s="27">
        <f t="shared" si="172"/>
        <v>0.74</v>
      </c>
      <c r="G879">
        <f t="shared" si="173"/>
        <v>74.125</v>
      </c>
      <c r="H879">
        <f t="shared" si="174"/>
        <v>1</v>
      </c>
      <c r="I879">
        <f t="shared" si="175"/>
        <v>4.1124150529078838</v>
      </c>
      <c r="J879">
        <f t="shared" si="176"/>
        <v>0.71516925717039059</v>
      </c>
      <c r="K879">
        <f t="shared" si="177"/>
        <v>0.99999999999939115</v>
      </c>
      <c r="L879">
        <f t="shared" si="178"/>
        <v>-6.0884630670462124E-13</v>
      </c>
      <c r="M879">
        <f t="shared" si="179"/>
        <v>0.49915682967959529</v>
      </c>
      <c r="N879">
        <f t="shared" si="180"/>
        <v>0.50084317032040471</v>
      </c>
      <c r="P879">
        <f t="shared" si="181"/>
        <v>6</v>
      </c>
      <c r="Q879">
        <f t="shared" si="182"/>
        <v>351</v>
      </c>
    </row>
    <row r="880" spans="1:17" x14ac:dyDescent="0.35">
      <c r="A880">
        <v>2024</v>
      </c>
      <c r="B880" s="7">
        <v>209</v>
      </c>
      <c r="C880" s="22">
        <v>45</v>
      </c>
      <c r="D880" s="12">
        <f t="shared" si="170"/>
        <v>26.125</v>
      </c>
      <c r="E880" s="27">
        <f t="shared" si="171"/>
        <v>0.52249999999999996</v>
      </c>
      <c r="F880" s="27">
        <f t="shared" si="172"/>
        <v>0.9</v>
      </c>
      <c r="G880">
        <f t="shared" si="173"/>
        <v>71.125</v>
      </c>
      <c r="H880">
        <f t="shared" si="174"/>
        <v>1</v>
      </c>
      <c r="I880">
        <f t="shared" si="175"/>
        <v>0.98396885958095437</v>
      </c>
      <c r="J880">
        <f t="shared" si="176"/>
        <v>1.6394812978157691</v>
      </c>
      <c r="K880">
        <f t="shared" si="177"/>
        <v>0.99999999987190469</v>
      </c>
      <c r="L880">
        <f t="shared" si="178"/>
        <v>-1.2809531214340552E-10</v>
      </c>
      <c r="M880">
        <f t="shared" si="179"/>
        <v>0.63268892794376097</v>
      </c>
      <c r="N880">
        <f t="shared" si="180"/>
        <v>0.36731107205623903</v>
      </c>
      <c r="P880">
        <f t="shared" si="181"/>
        <v>150.5</v>
      </c>
      <c r="Q880">
        <f t="shared" si="182"/>
        <v>10.5</v>
      </c>
    </row>
    <row r="881" spans="1:17" x14ac:dyDescent="0.35">
      <c r="A881">
        <v>2024</v>
      </c>
      <c r="B881" s="7">
        <v>264</v>
      </c>
      <c r="C881" s="22">
        <v>38</v>
      </c>
      <c r="D881" s="12">
        <f t="shared" si="170"/>
        <v>33</v>
      </c>
      <c r="E881" s="27">
        <f t="shared" si="171"/>
        <v>0.66</v>
      </c>
      <c r="F881" s="27">
        <f t="shared" si="172"/>
        <v>0.76</v>
      </c>
      <c r="G881">
        <f t="shared" si="173"/>
        <v>71</v>
      </c>
      <c r="H881">
        <f t="shared" si="174"/>
        <v>1</v>
      </c>
      <c r="I881">
        <f t="shared" si="175"/>
        <v>2.9392477304102855</v>
      </c>
      <c r="J881">
        <f t="shared" si="176"/>
        <v>0.83070826225106287</v>
      </c>
      <c r="K881">
        <f t="shared" si="177"/>
        <v>0.99999999996361644</v>
      </c>
      <c r="L881">
        <f t="shared" si="178"/>
        <v>-3.6383562829862735E-11</v>
      </c>
      <c r="M881">
        <f t="shared" si="179"/>
        <v>0.53521126760563376</v>
      </c>
      <c r="N881">
        <f t="shared" si="180"/>
        <v>0.46478873239436619</v>
      </c>
      <c r="P881">
        <f t="shared" si="181"/>
        <v>21</v>
      </c>
      <c r="Q881">
        <f t="shared" si="182"/>
        <v>297.5</v>
      </c>
    </row>
    <row r="882" spans="1:17" x14ac:dyDescent="0.35">
      <c r="A882">
        <v>2024</v>
      </c>
      <c r="B882" s="7">
        <v>187</v>
      </c>
      <c r="C882" s="22">
        <v>45</v>
      </c>
      <c r="D882" s="12">
        <f t="shared" si="170"/>
        <v>23.375</v>
      </c>
      <c r="E882" s="27">
        <f t="shared" si="171"/>
        <v>0.46750000000000003</v>
      </c>
      <c r="F882" s="27">
        <f t="shared" si="172"/>
        <v>0.9</v>
      </c>
      <c r="G882">
        <f t="shared" si="173"/>
        <v>68.375</v>
      </c>
      <c r="H882">
        <f t="shared" si="174"/>
        <v>1</v>
      </c>
      <c r="I882">
        <f t="shared" si="175"/>
        <v>0.20185731124922185</v>
      </c>
      <c r="J882">
        <f t="shared" si="176"/>
        <v>1.6394812978157691</v>
      </c>
      <c r="K882">
        <f t="shared" si="177"/>
        <v>0.99999999607813028</v>
      </c>
      <c r="L882">
        <f t="shared" si="178"/>
        <v>-3.9218697255616496E-9</v>
      </c>
      <c r="M882">
        <f t="shared" si="179"/>
        <v>0.65813528336380256</v>
      </c>
      <c r="N882">
        <f t="shared" si="180"/>
        <v>0.34186471663619744</v>
      </c>
      <c r="P882">
        <f t="shared" si="181"/>
        <v>393</v>
      </c>
      <c r="Q882">
        <f t="shared" si="182"/>
        <v>10.5</v>
      </c>
    </row>
    <row r="883" spans="1:17" x14ac:dyDescent="0.35">
      <c r="A883">
        <v>2024</v>
      </c>
      <c r="B883" s="7">
        <v>173</v>
      </c>
      <c r="C883" s="22">
        <v>44</v>
      </c>
      <c r="D883" s="12">
        <f t="shared" si="170"/>
        <v>21.625</v>
      </c>
      <c r="E883" s="27">
        <f t="shared" si="171"/>
        <v>0.4325</v>
      </c>
      <c r="F883" s="27">
        <f t="shared" si="172"/>
        <v>0.88</v>
      </c>
      <c r="G883">
        <f t="shared" si="173"/>
        <v>65.625</v>
      </c>
      <c r="H883">
        <f t="shared" si="174"/>
        <v>1</v>
      </c>
      <c r="I883">
        <f t="shared" si="175"/>
        <v>-0.29585003768915336</v>
      </c>
      <c r="J883">
        <f t="shared" si="176"/>
        <v>1.5239422927350967</v>
      </c>
      <c r="K883">
        <f t="shared" si="177"/>
        <v>0.99999990188982102</v>
      </c>
      <c r="L883">
        <f t="shared" si="178"/>
        <v>-9.8110183793785212E-8</v>
      </c>
      <c r="M883">
        <f t="shared" si="179"/>
        <v>0.67047619047619045</v>
      </c>
      <c r="N883">
        <f t="shared" si="180"/>
        <v>0.3295238095238095</v>
      </c>
      <c r="P883">
        <f t="shared" si="181"/>
        <v>669</v>
      </c>
      <c r="Q883">
        <f t="shared" si="182"/>
        <v>26.5</v>
      </c>
    </row>
    <row r="884" spans="1:17" x14ac:dyDescent="0.35">
      <c r="A884">
        <v>2024</v>
      </c>
      <c r="B884" s="7">
        <v>170</v>
      </c>
      <c r="C884" s="22">
        <v>44</v>
      </c>
      <c r="D884" s="12">
        <f t="shared" si="170"/>
        <v>21.25</v>
      </c>
      <c r="E884" s="27">
        <f t="shared" si="171"/>
        <v>0.42499999999999999</v>
      </c>
      <c r="F884" s="27">
        <f t="shared" si="172"/>
        <v>0.88</v>
      </c>
      <c r="G884">
        <f t="shared" si="173"/>
        <v>65.25</v>
      </c>
      <c r="H884">
        <f t="shared" si="174"/>
        <v>1</v>
      </c>
      <c r="I884">
        <f t="shared" si="175"/>
        <v>-0.40250161246166233</v>
      </c>
      <c r="J884">
        <f t="shared" si="176"/>
        <v>1.5239422927350967</v>
      </c>
      <c r="K884">
        <f t="shared" si="177"/>
        <v>0.99999984356103555</v>
      </c>
      <c r="L884">
        <f t="shared" si="178"/>
        <v>-1.5643897668585526E-7</v>
      </c>
      <c r="M884">
        <f t="shared" si="179"/>
        <v>0.67432950191570884</v>
      </c>
      <c r="N884">
        <f t="shared" si="180"/>
        <v>0.32567049808429116</v>
      </c>
      <c r="P884">
        <f t="shared" si="181"/>
        <v>720</v>
      </c>
      <c r="Q884">
        <f t="shared" si="182"/>
        <v>26.5</v>
      </c>
    </row>
    <row r="885" spans="1:17" x14ac:dyDescent="0.35">
      <c r="A885">
        <v>2024</v>
      </c>
      <c r="B885" s="7">
        <v>186</v>
      </c>
      <c r="C885" s="22">
        <v>41</v>
      </c>
      <c r="D885" s="12">
        <f t="shared" si="170"/>
        <v>23.25</v>
      </c>
      <c r="E885" s="27">
        <f t="shared" si="171"/>
        <v>0.46500000000000002</v>
      </c>
      <c r="F885" s="27">
        <f t="shared" si="172"/>
        <v>0.82</v>
      </c>
      <c r="G885">
        <f t="shared" si="173"/>
        <v>64.25</v>
      </c>
      <c r="H885">
        <f t="shared" si="174"/>
        <v>1</v>
      </c>
      <c r="I885">
        <f t="shared" si="175"/>
        <v>0.16630678632505219</v>
      </c>
      <c r="J885">
        <f t="shared" si="176"/>
        <v>1.1773252774930798</v>
      </c>
      <c r="K885">
        <f t="shared" si="177"/>
        <v>0.99999970387355552</v>
      </c>
      <c r="L885">
        <f t="shared" si="178"/>
        <v>-2.9612648832218509E-7</v>
      </c>
      <c r="M885">
        <f t="shared" si="179"/>
        <v>0.63813229571984431</v>
      </c>
      <c r="N885">
        <f t="shared" si="180"/>
        <v>0.36186770428015563</v>
      </c>
      <c r="P885">
        <f t="shared" si="181"/>
        <v>411.5</v>
      </c>
      <c r="Q885">
        <f t="shared" si="182"/>
        <v>129.5</v>
      </c>
    </row>
    <row r="886" spans="1:17" x14ac:dyDescent="0.35">
      <c r="A886">
        <v>2024</v>
      </c>
      <c r="B886" s="7">
        <v>182</v>
      </c>
      <c r="C886" s="22">
        <v>41</v>
      </c>
      <c r="D886" s="12">
        <f t="shared" si="170"/>
        <v>22.75</v>
      </c>
      <c r="E886" s="27">
        <f t="shared" si="171"/>
        <v>0.45500000000000002</v>
      </c>
      <c r="F886" s="27">
        <f t="shared" si="172"/>
        <v>0.82</v>
      </c>
      <c r="G886">
        <f t="shared" si="173"/>
        <v>63.75</v>
      </c>
      <c r="H886">
        <f t="shared" si="174"/>
        <v>1</v>
      </c>
      <c r="I886">
        <f t="shared" si="175"/>
        <v>2.4104686628373572E-2</v>
      </c>
      <c r="J886">
        <f t="shared" si="176"/>
        <v>1.1773252774930798</v>
      </c>
      <c r="K886">
        <f t="shared" si="177"/>
        <v>0.99999944836526999</v>
      </c>
      <c r="L886">
        <f t="shared" si="178"/>
        <v>-5.5163488215657229E-7</v>
      </c>
      <c r="M886">
        <f t="shared" si="179"/>
        <v>0.64313725490196083</v>
      </c>
      <c r="N886">
        <f t="shared" si="180"/>
        <v>0.35686274509803922</v>
      </c>
      <c r="P886">
        <f t="shared" si="181"/>
        <v>484.5</v>
      </c>
      <c r="Q886">
        <f t="shared" si="182"/>
        <v>129.5</v>
      </c>
    </row>
    <row r="887" spans="1:17" x14ac:dyDescent="0.35">
      <c r="A887">
        <v>2024</v>
      </c>
      <c r="B887" s="7">
        <v>173</v>
      </c>
      <c r="C887" s="22">
        <v>42</v>
      </c>
      <c r="D887" s="12">
        <f t="shared" si="170"/>
        <v>21.625</v>
      </c>
      <c r="E887" s="27">
        <f t="shared" si="171"/>
        <v>0.4325</v>
      </c>
      <c r="F887" s="27">
        <f t="shared" si="172"/>
        <v>0.84</v>
      </c>
      <c r="G887">
        <f t="shared" si="173"/>
        <v>63.625</v>
      </c>
      <c r="H887">
        <f t="shared" si="174"/>
        <v>1</v>
      </c>
      <c r="I887">
        <f t="shared" si="175"/>
        <v>-0.29585003768915336</v>
      </c>
      <c r="J887">
        <f t="shared" si="176"/>
        <v>1.2928642825737522</v>
      </c>
      <c r="K887">
        <f t="shared" si="177"/>
        <v>0.99999921125969504</v>
      </c>
      <c r="L887">
        <f t="shared" si="178"/>
        <v>-7.8874061601358918E-7</v>
      </c>
      <c r="M887">
        <f t="shared" si="179"/>
        <v>0.66011787819253442</v>
      </c>
      <c r="N887">
        <f t="shared" si="180"/>
        <v>0.33988212180746563</v>
      </c>
      <c r="P887">
        <f t="shared" si="181"/>
        <v>669</v>
      </c>
      <c r="Q887">
        <f t="shared" si="182"/>
        <v>90.5</v>
      </c>
    </row>
    <row r="888" spans="1:17" x14ac:dyDescent="0.35">
      <c r="A888">
        <v>2024</v>
      </c>
      <c r="B888" s="7">
        <v>172</v>
      </c>
      <c r="C888" s="22">
        <v>42</v>
      </c>
      <c r="D888" s="12">
        <f t="shared" si="170"/>
        <v>21.5</v>
      </c>
      <c r="E888" s="27">
        <f t="shared" si="171"/>
        <v>0.43</v>
      </c>
      <c r="F888" s="27">
        <f t="shared" si="172"/>
        <v>0.84</v>
      </c>
      <c r="G888">
        <f t="shared" si="173"/>
        <v>63.5</v>
      </c>
      <c r="H888">
        <f t="shared" si="174"/>
        <v>1</v>
      </c>
      <c r="I888">
        <f t="shared" si="175"/>
        <v>-0.33140056261332301</v>
      </c>
      <c r="J888">
        <f t="shared" si="176"/>
        <v>1.2928642825737522</v>
      </c>
      <c r="K888">
        <f t="shared" si="177"/>
        <v>0.99999907853762626</v>
      </c>
      <c r="L888">
        <f t="shared" si="178"/>
        <v>-9.2146279828418329E-7</v>
      </c>
      <c r="M888">
        <f t="shared" si="179"/>
        <v>0.66141732283464572</v>
      </c>
      <c r="N888">
        <f t="shared" si="180"/>
        <v>0.33858267716535434</v>
      </c>
      <c r="P888">
        <f t="shared" si="181"/>
        <v>684</v>
      </c>
      <c r="Q888">
        <f t="shared" si="182"/>
        <v>90.5</v>
      </c>
    </row>
    <row r="889" spans="1:17" x14ac:dyDescent="0.35">
      <c r="A889">
        <v>2024</v>
      </c>
      <c r="B889" s="7">
        <v>196</v>
      </c>
      <c r="C889" s="22">
        <v>39</v>
      </c>
      <c r="D889" s="12">
        <f t="shared" si="170"/>
        <v>24.5</v>
      </c>
      <c r="E889" s="27">
        <f t="shared" si="171"/>
        <v>0.49</v>
      </c>
      <c r="F889" s="27">
        <f t="shared" si="172"/>
        <v>0.78</v>
      </c>
      <c r="G889">
        <f t="shared" si="173"/>
        <v>63.5</v>
      </c>
      <c r="H889">
        <f t="shared" si="174"/>
        <v>1</v>
      </c>
      <c r="I889">
        <f t="shared" si="175"/>
        <v>0.52181203556674882</v>
      </c>
      <c r="J889">
        <f t="shared" si="176"/>
        <v>0.94624726733173525</v>
      </c>
      <c r="K889">
        <f t="shared" si="177"/>
        <v>0.9999994973553441</v>
      </c>
      <c r="L889">
        <f t="shared" si="178"/>
        <v>-5.026447822234224E-7</v>
      </c>
      <c r="M889">
        <f t="shared" si="179"/>
        <v>0.61417322834645671</v>
      </c>
      <c r="N889">
        <f t="shared" si="180"/>
        <v>0.38582677165354329</v>
      </c>
      <c r="P889">
        <f t="shared" si="181"/>
        <v>270</v>
      </c>
      <c r="Q889">
        <f t="shared" si="182"/>
        <v>233</v>
      </c>
    </row>
    <row r="890" spans="1:17" x14ac:dyDescent="0.35">
      <c r="A890">
        <v>2024</v>
      </c>
      <c r="B890" s="7">
        <v>189</v>
      </c>
      <c r="C890" s="22">
        <v>39</v>
      </c>
      <c r="D890" s="12">
        <f t="shared" si="170"/>
        <v>23.625</v>
      </c>
      <c r="E890" s="27">
        <f t="shared" si="171"/>
        <v>0.47249999999999998</v>
      </c>
      <c r="F890" s="27">
        <f t="shared" si="172"/>
        <v>0.78</v>
      </c>
      <c r="G890">
        <f t="shared" si="173"/>
        <v>62.625</v>
      </c>
      <c r="H890">
        <f t="shared" si="174"/>
        <v>1</v>
      </c>
      <c r="I890">
        <f t="shared" si="175"/>
        <v>0.27295836109756116</v>
      </c>
      <c r="J890">
        <f t="shared" si="176"/>
        <v>0.94624726733173525</v>
      </c>
      <c r="K890">
        <f t="shared" si="177"/>
        <v>0.99999850697854442</v>
      </c>
      <c r="L890">
        <f t="shared" si="178"/>
        <v>-1.4930225701362563E-6</v>
      </c>
      <c r="M890">
        <f t="shared" si="179"/>
        <v>0.6227544910179641</v>
      </c>
      <c r="N890">
        <f t="shared" si="180"/>
        <v>0.3772455089820359</v>
      </c>
      <c r="P890">
        <f t="shared" si="181"/>
        <v>357.5</v>
      </c>
      <c r="Q890">
        <f t="shared" si="182"/>
        <v>233</v>
      </c>
    </row>
    <row r="891" spans="1:17" x14ac:dyDescent="0.35">
      <c r="A891">
        <v>2024</v>
      </c>
      <c r="B891" s="7">
        <v>179</v>
      </c>
      <c r="C891" s="22">
        <v>40</v>
      </c>
      <c r="D891" s="12">
        <f t="shared" si="170"/>
        <v>22.375</v>
      </c>
      <c r="E891" s="27">
        <f t="shared" si="171"/>
        <v>0.44750000000000001</v>
      </c>
      <c r="F891" s="27">
        <f t="shared" si="172"/>
        <v>0.8</v>
      </c>
      <c r="G891">
        <f t="shared" si="173"/>
        <v>62.375</v>
      </c>
      <c r="H891">
        <f t="shared" si="174"/>
        <v>1</v>
      </c>
      <c r="I891">
        <f t="shared" si="175"/>
        <v>-8.2546888144135397E-2</v>
      </c>
      <c r="J891">
        <f t="shared" si="176"/>
        <v>1.0617862724124074</v>
      </c>
      <c r="K891">
        <f t="shared" si="177"/>
        <v>0.99999750602681203</v>
      </c>
      <c r="L891">
        <f t="shared" si="178"/>
        <v>-2.49397629792326E-6</v>
      </c>
      <c r="M891">
        <f t="shared" si="179"/>
        <v>0.6412825651302605</v>
      </c>
      <c r="N891">
        <f t="shared" si="180"/>
        <v>0.3587174348697395</v>
      </c>
      <c r="P891">
        <f t="shared" si="181"/>
        <v>547</v>
      </c>
      <c r="Q891">
        <f t="shared" si="182"/>
        <v>173</v>
      </c>
    </row>
    <row r="892" spans="1:17" x14ac:dyDescent="0.35">
      <c r="A892">
        <v>2024</v>
      </c>
      <c r="B892" s="7">
        <v>235</v>
      </c>
      <c r="C892" s="22">
        <v>33</v>
      </c>
      <c r="D892" s="12">
        <f t="shared" si="170"/>
        <v>29.375</v>
      </c>
      <c r="E892" s="27">
        <f t="shared" si="171"/>
        <v>0.58750000000000002</v>
      </c>
      <c r="F892" s="27">
        <f t="shared" si="172"/>
        <v>0.66</v>
      </c>
      <c r="G892">
        <f t="shared" si="173"/>
        <v>62.375</v>
      </c>
      <c r="H892">
        <f t="shared" si="174"/>
        <v>1</v>
      </c>
      <c r="I892">
        <f t="shared" si="175"/>
        <v>1.9082825076093655</v>
      </c>
      <c r="J892">
        <f t="shared" si="176"/>
        <v>0.25301323684770138</v>
      </c>
      <c r="K892">
        <f t="shared" si="177"/>
        <v>0.99999939365436408</v>
      </c>
      <c r="L892">
        <f t="shared" si="178"/>
        <v>-6.0634581975046749E-7</v>
      </c>
      <c r="M892">
        <f t="shared" si="179"/>
        <v>0.5290581162324649</v>
      </c>
      <c r="N892">
        <f t="shared" si="180"/>
        <v>0.4709418837675351</v>
      </c>
      <c r="P892">
        <f t="shared" si="181"/>
        <v>52.5</v>
      </c>
      <c r="Q892">
        <f t="shared" si="182"/>
        <v>523.5</v>
      </c>
    </row>
    <row r="893" spans="1:17" x14ac:dyDescent="0.35">
      <c r="A893">
        <v>2024</v>
      </c>
      <c r="B893" s="7">
        <v>214</v>
      </c>
      <c r="C893" s="22">
        <v>35</v>
      </c>
      <c r="D893" s="12">
        <f t="shared" si="170"/>
        <v>26.75</v>
      </c>
      <c r="E893" s="27">
        <f t="shared" si="171"/>
        <v>0.53500000000000003</v>
      </c>
      <c r="F893" s="27">
        <f t="shared" si="172"/>
        <v>0.7</v>
      </c>
      <c r="G893">
        <f t="shared" si="173"/>
        <v>61.75</v>
      </c>
      <c r="H893">
        <f t="shared" si="174"/>
        <v>1</v>
      </c>
      <c r="I893">
        <f t="shared" si="175"/>
        <v>1.1617214842018027</v>
      </c>
      <c r="J893">
        <f t="shared" si="176"/>
        <v>0.48409124700904599</v>
      </c>
      <c r="K893">
        <f t="shared" si="177"/>
        <v>0.99999802341441724</v>
      </c>
      <c r="L893">
        <f t="shared" si="178"/>
        <v>-1.9765875362114473E-6</v>
      </c>
      <c r="M893">
        <f t="shared" si="179"/>
        <v>0.5668016194331984</v>
      </c>
      <c r="N893">
        <f t="shared" si="180"/>
        <v>0.4331983805668016</v>
      </c>
      <c r="P893">
        <f t="shared" si="181"/>
        <v>112</v>
      </c>
      <c r="Q893">
        <f t="shared" si="182"/>
        <v>448.5</v>
      </c>
    </row>
    <row r="894" spans="1:17" x14ac:dyDescent="0.35">
      <c r="A894">
        <v>2024</v>
      </c>
      <c r="B894" s="7">
        <v>252</v>
      </c>
      <c r="C894" s="22">
        <v>30</v>
      </c>
      <c r="D894" s="12">
        <f t="shared" si="170"/>
        <v>31.5</v>
      </c>
      <c r="E894" s="27">
        <f t="shared" si="171"/>
        <v>0.63</v>
      </c>
      <c r="F894" s="27">
        <f t="shared" si="172"/>
        <v>0.6</v>
      </c>
      <c r="G894">
        <f t="shared" si="173"/>
        <v>61.5</v>
      </c>
      <c r="H894">
        <f t="shared" si="174"/>
        <v>1</v>
      </c>
      <c r="I894">
        <f t="shared" si="175"/>
        <v>2.5126414313202496</v>
      </c>
      <c r="J894">
        <f t="shared" si="176"/>
        <v>-9.3603778394315509E-2</v>
      </c>
      <c r="K894">
        <f t="shared" si="177"/>
        <v>0.9999990175537854</v>
      </c>
      <c r="L894">
        <f t="shared" si="178"/>
        <v>-9.8244669720412562E-7</v>
      </c>
      <c r="M894">
        <f t="shared" si="179"/>
        <v>0.48780487804878048</v>
      </c>
      <c r="N894">
        <f t="shared" si="180"/>
        <v>0.51219512195121952</v>
      </c>
      <c r="P894">
        <f t="shared" si="181"/>
        <v>31</v>
      </c>
      <c r="Q894">
        <f t="shared" si="182"/>
        <v>639</v>
      </c>
    </row>
    <row r="895" spans="1:17" x14ac:dyDescent="0.35">
      <c r="A895">
        <v>2024</v>
      </c>
      <c r="B895" s="7">
        <v>181</v>
      </c>
      <c r="C895" s="22">
        <v>38</v>
      </c>
      <c r="D895" s="12">
        <f t="shared" si="170"/>
        <v>22.625</v>
      </c>
      <c r="E895" s="27">
        <f t="shared" si="171"/>
        <v>0.45250000000000001</v>
      </c>
      <c r="F895" s="27">
        <f t="shared" si="172"/>
        <v>0.76</v>
      </c>
      <c r="G895">
        <f t="shared" si="173"/>
        <v>60.625</v>
      </c>
      <c r="H895">
        <f t="shared" si="174"/>
        <v>1</v>
      </c>
      <c r="I895">
        <f t="shared" si="175"/>
        <v>-1.1445838295796084E-2</v>
      </c>
      <c r="J895">
        <f t="shared" si="176"/>
        <v>0.83070826225106287</v>
      </c>
      <c r="K895">
        <f t="shared" si="177"/>
        <v>0.99998531007799474</v>
      </c>
      <c r="L895">
        <f t="shared" si="178"/>
        <v>-1.4690029903223027E-5</v>
      </c>
      <c r="M895">
        <f t="shared" si="179"/>
        <v>0.6268041237113402</v>
      </c>
      <c r="N895">
        <f t="shared" si="180"/>
        <v>0.3731958762886598</v>
      </c>
      <c r="P895">
        <f t="shared" si="181"/>
        <v>505</v>
      </c>
      <c r="Q895">
        <f t="shared" si="182"/>
        <v>297.5</v>
      </c>
    </row>
    <row r="896" spans="1:17" x14ac:dyDescent="0.35">
      <c r="A896">
        <v>2024</v>
      </c>
      <c r="B896" s="7">
        <v>229</v>
      </c>
      <c r="C896" s="22">
        <v>31</v>
      </c>
      <c r="D896" s="12">
        <f t="shared" si="170"/>
        <v>28.625</v>
      </c>
      <c r="E896" s="27">
        <f t="shared" si="171"/>
        <v>0.57250000000000001</v>
      </c>
      <c r="F896" s="27">
        <f t="shared" si="172"/>
        <v>0.62</v>
      </c>
      <c r="G896">
        <f t="shared" si="173"/>
        <v>59.625</v>
      </c>
      <c r="H896">
        <f t="shared" si="174"/>
        <v>1</v>
      </c>
      <c r="I896">
        <f t="shared" si="175"/>
        <v>1.6949793580643475</v>
      </c>
      <c r="J896">
        <f t="shared" si="176"/>
        <v>2.1935226686356796E-2</v>
      </c>
      <c r="K896">
        <f t="shared" si="177"/>
        <v>0.99998760640834428</v>
      </c>
      <c r="L896">
        <f t="shared" si="178"/>
        <v>-1.2393668456915473E-5</v>
      </c>
      <c r="M896">
        <f t="shared" si="179"/>
        <v>0.51991614255765195</v>
      </c>
      <c r="N896">
        <f t="shared" si="180"/>
        <v>0.48008385744234799</v>
      </c>
      <c r="P896">
        <f t="shared" si="181"/>
        <v>63.5</v>
      </c>
      <c r="Q896">
        <f t="shared" si="182"/>
        <v>605</v>
      </c>
    </row>
    <row r="897" spans="1:25" x14ac:dyDescent="0.35">
      <c r="A897">
        <v>2024</v>
      </c>
      <c r="B897" s="7">
        <v>203</v>
      </c>
      <c r="C897" s="22">
        <v>34</v>
      </c>
      <c r="D897" s="12">
        <f t="shared" si="170"/>
        <v>25.375</v>
      </c>
      <c r="E897" s="27">
        <f t="shared" si="171"/>
        <v>0.50749999999999995</v>
      </c>
      <c r="F897" s="27">
        <f t="shared" si="172"/>
        <v>0.68</v>
      </c>
      <c r="G897">
        <f t="shared" si="173"/>
        <v>59.375</v>
      </c>
      <c r="H897">
        <f t="shared" si="174"/>
        <v>1</v>
      </c>
      <c r="I897">
        <f t="shared" si="175"/>
        <v>0.77066571003593642</v>
      </c>
      <c r="J897">
        <f t="shared" si="176"/>
        <v>0.36855224192837371</v>
      </c>
      <c r="K897">
        <f t="shared" si="177"/>
        <v>0.99996899062046229</v>
      </c>
      <c r="L897">
        <f t="shared" si="178"/>
        <v>-3.1009860338454565E-5</v>
      </c>
      <c r="M897">
        <f t="shared" si="179"/>
        <v>0.57263157894736838</v>
      </c>
      <c r="N897">
        <f t="shared" si="180"/>
        <v>0.42736842105263156</v>
      </c>
      <c r="P897">
        <f t="shared" si="181"/>
        <v>203</v>
      </c>
      <c r="Q897">
        <f t="shared" si="182"/>
        <v>484.5</v>
      </c>
    </row>
    <row r="898" spans="1:25" x14ac:dyDescent="0.35">
      <c r="A898">
        <v>2024</v>
      </c>
      <c r="B898" s="7">
        <v>175</v>
      </c>
      <c r="C898" s="22">
        <v>36</v>
      </c>
      <c r="D898" s="12">
        <f t="shared" si="170"/>
        <v>21.875</v>
      </c>
      <c r="E898" s="27">
        <f t="shared" si="171"/>
        <v>0.4375</v>
      </c>
      <c r="F898" s="27">
        <f t="shared" si="172"/>
        <v>0.72</v>
      </c>
      <c r="G898">
        <f t="shared" si="173"/>
        <v>57.875</v>
      </c>
      <c r="H898">
        <f t="shared" si="174"/>
        <v>1</v>
      </c>
      <c r="I898">
        <f t="shared" si="175"/>
        <v>-0.22474898784081401</v>
      </c>
      <c r="J898">
        <f t="shared" si="176"/>
        <v>0.59963025208971832</v>
      </c>
      <c r="K898">
        <f t="shared" si="177"/>
        <v>0.99969982291854842</v>
      </c>
      <c r="L898">
        <f t="shared" si="178"/>
        <v>-3.0022214360967168E-4</v>
      </c>
      <c r="M898">
        <f t="shared" si="179"/>
        <v>0.62203023758099352</v>
      </c>
      <c r="N898">
        <f t="shared" si="180"/>
        <v>0.37796976241900648</v>
      </c>
      <c r="P898">
        <f t="shared" si="181"/>
        <v>631.5</v>
      </c>
      <c r="Q898">
        <f t="shared" si="182"/>
        <v>403.5</v>
      </c>
    </row>
    <row r="899" spans="1:25" x14ac:dyDescent="0.35">
      <c r="A899">
        <v>2024</v>
      </c>
      <c r="B899" s="7">
        <v>238</v>
      </c>
      <c r="C899" s="22">
        <v>28</v>
      </c>
      <c r="D899" s="12">
        <f t="shared" ref="D899:D962" si="183">B899/8</f>
        <v>29.75</v>
      </c>
      <c r="E899" s="27">
        <f t="shared" ref="E899:E962" si="184">B899/400</f>
        <v>0.59499999999999997</v>
      </c>
      <c r="F899" s="27">
        <f t="shared" ref="F899:F962" si="185">C899/50</f>
        <v>0.56000000000000005</v>
      </c>
      <c r="G899">
        <f t="shared" ref="G899:G962" si="186">SUM(C899+D899)</f>
        <v>57.75</v>
      </c>
      <c r="H899">
        <f t="shared" ref="H899:H962" si="187">IF(G899&gt;=50,1,0)</f>
        <v>1</v>
      </c>
      <c r="I899">
        <f t="shared" ref="I899:I962" si="188" xml:space="preserve"> (D:D - AVERAGE(D:D)) / STDEV(D:D)</f>
        <v>2.0149340823818744</v>
      </c>
      <c r="J899">
        <f t="shared" ref="J899:J962" si="189" xml:space="preserve"> (C:C - AVERAGE(C:C)) / STDEV(C:C)</f>
        <v>-0.3246817885556601</v>
      </c>
      <c r="K899">
        <f t="shared" ref="K899:K962" si="190">1/(1+EXP(-($AD$25 +$AD$26 * I899 +$AD$27 * J899 )))</f>
        <v>0.99993031969664847</v>
      </c>
      <c r="L899">
        <f t="shared" ref="L899:L962" si="191">IF(K899=0, -1000, IF(K899=1, -1000, H899 * LN(K899) + (1 - H899) * LN(1 - K899)))</f>
        <v>-6.9682731136644406E-5</v>
      </c>
      <c r="M899">
        <f t="shared" ref="M899:M962" si="192">IF(G899=0, 0,  C899  / G899 )</f>
        <v>0.48484848484848486</v>
      </c>
      <c r="N899">
        <f t="shared" ref="N899:N962" si="193">IF(G899=0, 0,  D899  / G899 )</f>
        <v>0.51515151515151514</v>
      </c>
      <c r="P899">
        <f t="shared" ref="P899:P962" si="194">_xlfn.RANK.AVG(B899,$B$2:$B$1144)</f>
        <v>45.5</v>
      </c>
      <c r="Q899">
        <f t="shared" ref="Q899:Q962" si="195">_xlfn.RANK.AVG(C899,$C$2:$C$1144)</f>
        <v>709.5</v>
      </c>
    </row>
    <row r="900" spans="1:25" x14ac:dyDescent="0.35">
      <c r="A900">
        <v>2024</v>
      </c>
      <c r="B900" s="7">
        <v>196</v>
      </c>
      <c r="C900" s="22">
        <v>33</v>
      </c>
      <c r="D900" s="12">
        <f t="shared" si="183"/>
        <v>24.5</v>
      </c>
      <c r="E900" s="27">
        <f t="shared" si="184"/>
        <v>0.49</v>
      </c>
      <c r="F900" s="27">
        <f t="shared" si="185"/>
        <v>0.66</v>
      </c>
      <c r="G900">
        <f t="shared" si="186"/>
        <v>57.5</v>
      </c>
      <c r="H900">
        <f t="shared" si="187"/>
        <v>1</v>
      </c>
      <c r="I900">
        <f t="shared" si="188"/>
        <v>0.52181203556674882</v>
      </c>
      <c r="J900">
        <f t="shared" si="189"/>
        <v>0.25301323684770138</v>
      </c>
      <c r="K900">
        <f t="shared" si="190"/>
        <v>0.99973889891469725</v>
      </c>
      <c r="L900">
        <f t="shared" si="191"/>
        <v>-2.6113517812570165E-4</v>
      </c>
      <c r="M900">
        <f t="shared" si="192"/>
        <v>0.57391304347826089</v>
      </c>
      <c r="N900">
        <f t="shared" si="193"/>
        <v>0.42608695652173911</v>
      </c>
      <c r="P900">
        <f t="shared" si="194"/>
        <v>270</v>
      </c>
      <c r="Q900">
        <f t="shared" si="195"/>
        <v>523.5</v>
      </c>
    </row>
    <row r="901" spans="1:25" x14ac:dyDescent="0.35">
      <c r="A901">
        <v>2024</v>
      </c>
      <c r="B901" s="7">
        <v>188</v>
      </c>
      <c r="C901" s="22">
        <v>34</v>
      </c>
      <c r="D901" s="12">
        <f t="shared" si="183"/>
        <v>23.5</v>
      </c>
      <c r="E901" s="27">
        <f t="shared" si="184"/>
        <v>0.47</v>
      </c>
      <c r="F901" s="27">
        <f t="shared" si="185"/>
        <v>0.68</v>
      </c>
      <c r="G901">
        <f t="shared" si="186"/>
        <v>57.5</v>
      </c>
      <c r="H901">
        <f t="shared" si="187"/>
        <v>1</v>
      </c>
      <c r="I901">
        <f t="shared" si="188"/>
        <v>0.23740783617339151</v>
      </c>
      <c r="J901">
        <f t="shared" si="189"/>
        <v>0.36855224192837371</v>
      </c>
      <c r="K901">
        <f t="shared" si="190"/>
        <v>0.99968046223207541</v>
      </c>
      <c r="L901">
        <f t="shared" si="191"/>
        <v>-3.1958883099516818E-4</v>
      </c>
      <c r="M901">
        <f t="shared" si="192"/>
        <v>0.59130434782608698</v>
      </c>
      <c r="N901">
        <f t="shared" si="193"/>
        <v>0.40869565217391307</v>
      </c>
      <c r="P901">
        <f t="shared" si="194"/>
        <v>374.5</v>
      </c>
      <c r="Q901">
        <f t="shared" si="195"/>
        <v>484.5</v>
      </c>
    </row>
    <row r="902" spans="1:25" x14ac:dyDescent="0.35">
      <c r="A902">
        <v>2024</v>
      </c>
      <c r="B902" s="7">
        <v>212</v>
      </c>
      <c r="C902" s="22">
        <v>30</v>
      </c>
      <c r="D902" s="12">
        <f t="shared" si="183"/>
        <v>26.5</v>
      </c>
      <c r="E902" s="27">
        <f t="shared" si="184"/>
        <v>0.53</v>
      </c>
      <c r="F902" s="27">
        <f t="shared" si="185"/>
        <v>0.6</v>
      </c>
      <c r="G902">
        <f t="shared" si="186"/>
        <v>56.5</v>
      </c>
      <c r="H902">
        <f t="shared" si="187"/>
        <v>1</v>
      </c>
      <c r="I902">
        <f t="shared" si="188"/>
        <v>1.0906204343534633</v>
      </c>
      <c r="J902">
        <f t="shared" si="189"/>
        <v>-9.3603778394315509E-2</v>
      </c>
      <c r="K902">
        <f t="shared" si="190"/>
        <v>0.99950587166673865</v>
      </c>
      <c r="L902">
        <f t="shared" si="191"/>
        <v>-4.9425045489704181E-4</v>
      </c>
      <c r="M902">
        <f t="shared" si="192"/>
        <v>0.53097345132743368</v>
      </c>
      <c r="N902">
        <f t="shared" si="193"/>
        <v>0.46902654867256638</v>
      </c>
      <c r="P902">
        <f t="shared" si="194"/>
        <v>121</v>
      </c>
      <c r="Q902">
        <f t="shared" si="195"/>
        <v>639</v>
      </c>
    </row>
    <row r="903" spans="1:25" x14ac:dyDescent="0.35">
      <c r="A903">
        <v>2024</v>
      </c>
      <c r="B903" s="7">
        <v>167</v>
      </c>
      <c r="C903" s="22">
        <v>34</v>
      </c>
      <c r="D903" s="12">
        <f t="shared" si="183"/>
        <v>20.875</v>
      </c>
      <c r="E903" s="27">
        <f t="shared" si="184"/>
        <v>0.41749999999999998</v>
      </c>
      <c r="F903" s="27">
        <f t="shared" si="185"/>
        <v>0.68</v>
      </c>
      <c r="G903">
        <f t="shared" si="186"/>
        <v>54.875</v>
      </c>
      <c r="H903">
        <f t="shared" si="187"/>
        <v>1</v>
      </c>
      <c r="I903">
        <f t="shared" si="188"/>
        <v>-0.50915318723417125</v>
      </c>
      <c r="J903">
        <f t="shared" si="189"/>
        <v>0.36855224192837371</v>
      </c>
      <c r="K903">
        <f t="shared" si="190"/>
        <v>0.99169280540782734</v>
      </c>
      <c r="L903">
        <f t="shared" si="191"/>
        <v>-8.3418916234452474E-3</v>
      </c>
      <c r="M903">
        <f t="shared" si="192"/>
        <v>0.61958997722095677</v>
      </c>
      <c r="N903">
        <f t="shared" si="193"/>
        <v>0.38041002277904329</v>
      </c>
      <c r="P903">
        <f t="shared" si="194"/>
        <v>789.5</v>
      </c>
      <c r="Q903">
        <f t="shared" si="195"/>
        <v>484.5</v>
      </c>
    </row>
    <row r="904" spans="1:25" x14ac:dyDescent="0.35">
      <c r="A904">
        <v>2024</v>
      </c>
      <c r="B904" s="7">
        <v>244</v>
      </c>
      <c r="C904" s="22">
        <v>24</v>
      </c>
      <c r="D904" s="12">
        <f t="shared" si="183"/>
        <v>30.5</v>
      </c>
      <c r="E904" s="27">
        <f t="shared" si="184"/>
        <v>0.61</v>
      </c>
      <c r="F904" s="27">
        <f t="shared" si="185"/>
        <v>0.48</v>
      </c>
      <c r="G904">
        <f t="shared" si="186"/>
        <v>54.5</v>
      </c>
      <c r="H904">
        <f t="shared" si="187"/>
        <v>1</v>
      </c>
      <c r="I904">
        <f t="shared" si="188"/>
        <v>2.2282372319268924</v>
      </c>
      <c r="J904">
        <f t="shared" si="189"/>
        <v>-0.78683780887834931</v>
      </c>
      <c r="K904">
        <f t="shared" si="190"/>
        <v>0.99823172252152992</v>
      </c>
      <c r="L904">
        <f t="shared" si="191"/>
        <v>-1.7698427265579668E-3</v>
      </c>
      <c r="M904">
        <f t="shared" si="192"/>
        <v>0.44036697247706424</v>
      </c>
      <c r="N904">
        <f t="shared" si="193"/>
        <v>0.55963302752293576</v>
      </c>
      <c r="P904">
        <f t="shared" si="194"/>
        <v>39.5</v>
      </c>
      <c r="Q904">
        <f t="shared" si="195"/>
        <v>870</v>
      </c>
    </row>
    <row r="905" spans="1:25" x14ac:dyDescent="0.35">
      <c r="A905">
        <v>2024</v>
      </c>
      <c r="B905" s="7">
        <v>170</v>
      </c>
      <c r="C905" s="22">
        <v>33</v>
      </c>
      <c r="D905" s="12">
        <f t="shared" si="183"/>
        <v>21.25</v>
      </c>
      <c r="E905" s="27">
        <f t="shared" si="184"/>
        <v>0.42499999999999999</v>
      </c>
      <c r="F905" s="27">
        <f t="shared" si="185"/>
        <v>0.66</v>
      </c>
      <c r="G905">
        <f t="shared" si="186"/>
        <v>54.25</v>
      </c>
      <c r="H905">
        <f t="shared" si="187"/>
        <v>1</v>
      </c>
      <c r="I905">
        <f t="shared" si="188"/>
        <v>-0.40250161246166233</v>
      </c>
      <c r="J905">
        <f t="shared" si="189"/>
        <v>0.25301323684770138</v>
      </c>
      <c r="K905">
        <f t="shared" si="190"/>
        <v>0.98532307356273841</v>
      </c>
      <c r="L905">
        <f t="shared" si="191"/>
        <v>-1.4785698123436655E-2</v>
      </c>
      <c r="M905">
        <f t="shared" si="192"/>
        <v>0.60829493087557607</v>
      </c>
      <c r="N905">
        <f t="shared" si="193"/>
        <v>0.39170506912442399</v>
      </c>
      <c r="P905">
        <f t="shared" si="194"/>
        <v>720</v>
      </c>
      <c r="Q905">
        <f t="shared" si="195"/>
        <v>523.5</v>
      </c>
      <c r="Y905" t="s">
        <v>3</v>
      </c>
    </row>
    <row r="906" spans="1:25" x14ac:dyDescent="0.35">
      <c r="A906">
        <v>2024</v>
      </c>
      <c r="B906" s="7">
        <v>218</v>
      </c>
      <c r="C906" s="22">
        <v>27</v>
      </c>
      <c r="D906" s="12">
        <f t="shared" si="183"/>
        <v>27.25</v>
      </c>
      <c r="E906" s="27">
        <f t="shared" si="184"/>
        <v>0.54500000000000004</v>
      </c>
      <c r="F906" s="27">
        <f t="shared" si="185"/>
        <v>0.54</v>
      </c>
      <c r="G906">
        <f t="shared" si="186"/>
        <v>54.25</v>
      </c>
      <c r="H906">
        <f t="shared" si="187"/>
        <v>1</v>
      </c>
      <c r="I906">
        <f t="shared" si="188"/>
        <v>1.3039235838984813</v>
      </c>
      <c r="J906">
        <f t="shared" si="189"/>
        <v>-0.44022079363633243</v>
      </c>
      <c r="K906">
        <f t="shared" si="190"/>
        <v>0.9955873205104947</v>
      </c>
      <c r="L906">
        <f t="shared" si="191"/>
        <v>-4.422444095616514E-3</v>
      </c>
      <c r="M906">
        <f t="shared" si="192"/>
        <v>0.49769585253456222</v>
      </c>
      <c r="N906">
        <f t="shared" si="193"/>
        <v>0.50230414746543783</v>
      </c>
      <c r="P906">
        <f t="shared" si="194"/>
        <v>90</v>
      </c>
      <c r="Q906">
        <f t="shared" si="195"/>
        <v>752.5</v>
      </c>
    </row>
    <row r="907" spans="1:25" x14ac:dyDescent="0.35">
      <c r="A907">
        <v>2024</v>
      </c>
      <c r="B907" s="7">
        <v>192</v>
      </c>
      <c r="C907" s="22">
        <v>30</v>
      </c>
      <c r="D907" s="12">
        <f t="shared" si="183"/>
        <v>24</v>
      </c>
      <c r="E907" s="27">
        <f t="shared" si="184"/>
        <v>0.48</v>
      </c>
      <c r="F907" s="27">
        <f t="shared" si="185"/>
        <v>0.6</v>
      </c>
      <c r="G907">
        <f t="shared" si="186"/>
        <v>54</v>
      </c>
      <c r="H907">
        <f t="shared" si="187"/>
        <v>1</v>
      </c>
      <c r="I907">
        <f t="shared" si="188"/>
        <v>0.37960993587007014</v>
      </c>
      <c r="J907">
        <f t="shared" si="189"/>
        <v>-9.3603778394315509E-2</v>
      </c>
      <c r="K907">
        <f t="shared" si="190"/>
        <v>0.98903175253530895</v>
      </c>
      <c r="L907">
        <f t="shared" si="191"/>
        <v>-1.1028842176815023E-2</v>
      </c>
      <c r="M907">
        <f t="shared" si="192"/>
        <v>0.55555555555555558</v>
      </c>
      <c r="N907">
        <f t="shared" si="193"/>
        <v>0.44444444444444442</v>
      </c>
      <c r="P907">
        <f t="shared" si="194"/>
        <v>318.5</v>
      </c>
      <c r="Q907">
        <f t="shared" si="195"/>
        <v>639</v>
      </c>
    </row>
    <row r="908" spans="1:25" x14ac:dyDescent="0.35">
      <c r="A908">
        <v>2024</v>
      </c>
      <c r="B908" s="7">
        <v>212</v>
      </c>
      <c r="C908" s="22">
        <v>27</v>
      </c>
      <c r="D908" s="12">
        <f t="shared" si="183"/>
        <v>26.5</v>
      </c>
      <c r="E908" s="27">
        <f t="shared" si="184"/>
        <v>0.53</v>
      </c>
      <c r="F908" s="27">
        <f t="shared" si="185"/>
        <v>0.54</v>
      </c>
      <c r="G908">
        <f t="shared" si="186"/>
        <v>53.5</v>
      </c>
      <c r="H908">
        <f t="shared" si="187"/>
        <v>1</v>
      </c>
      <c r="I908">
        <f t="shared" si="188"/>
        <v>1.0906204343534633</v>
      </c>
      <c r="J908">
        <f t="shared" si="189"/>
        <v>-0.44022079363633243</v>
      </c>
      <c r="K908">
        <f t="shared" si="190"/>
        <v>0.98885658977250412</v>
      </c>
      <c r="L908">
        <f t="shared" si="191"/>
        <v>-1.1205963159345692E-2</v>
      </c>
      <c r="M908">
        <f t="shared" si="192"/>
        <v>0.50467289719626163</v>
      </c>
      <c r="N908">
        <f t="shared" si="193"/>
        <v>0.49532710280373832</v>
      </c>
      <c r="P908">
        <f t="shared" si="194"/>
        <v>121</v>
      </c>
      <c r="Q908">
        <f t="shared" si="195"/>
        <v>752.5</v>
      </c>
    </row>
    <row r="909" spans="1:25" x14ac:dyDescent="0.35">
      <c r="A909">
        <v>2024</v>
      </c>
      <c r="B909" s="7">
        <v>186</v>
      </c>
      <c r="C909" s="22">
        <v>30</v>
      </c>
      <c r="D909" s="12">
        <f t="shared" si="183"/>
        <v>23.25</v>
      </c>
      <c r="E909" s="27">
        <f t="shared" si="184"/>
        <v>0.46500000000000002</v>
      </c>
      <c r="F909" s="27">
        <f t="shared" si="185"/>
        <v>0.6</v>
      </c>
      <c r="G909">
        <f t="shared" si="186"/>
        <v>53.25</v>
      </c>
      <c r="H909">
        <f t="shared" si="187"/>
        <v>1</v>
      </c>
      <c r="I909">
        <f t="shared" si="188"/>
        <v>0.16630678632505219</v>
      </c>
      <c r="J909">
        <f t="shared" si="189"/>
        <v>-9.3603778394315509E-2</v>
      </c>
      <c r="K909">
        <f t="shared" si="190"/>
        <v>0.97257713409204338</v>
      </c>
      <c r="L909">
        <f t="shared" si="191"/>
        <v>-2.7805891373083487E-2</v>
      </c>
      <c r="M909">
        <f t="shared" si="192"/>
        <v>0.56338028169014087</v>
      </c>
      <c r="N909">
        <f t="shared" si="193"/>
        <v>0.43661971830985913</v>
      </c>
      <c r="P909">
        <f t="shared" si="194"/>
        <v>411.5</v>
      </c>
      <c r="Q909">
        <f t="shared" si="195"/>
        <v>639</v>
      </c>
    </row>
    <row r="910" spans="1:25" x14ac:dyDescent="0.35">
      <c r="A910">
        <v>2024</v>
      </c>
      <c r="B910" s="7">
        <v>216</v>
      </c>
      <c r="C910" s="22">
        <v>26</v>
      </c>
      <c r="D910" s="12">
        <f t="shared" si="183"/>
        <v>27</v>
      </c>
      <c r="E910" s="27">
        <f t="shared" si="184"/>
        <v>0.54</v>
      </c>
      <c r="F910" s="27">
        <f t="shared" si="185"/>
        <v>0.52</v>
      </c>
      <c r="G910">
        <f t="shared" si="186"/>
        <v>53</v>
      </c>
      <c r="H910">
        <f t="shared" si="187"/>
        <v>1</v>
      </c>
      <c r="I910">
        <f t="shared" si="188"/>
        <v>1.232822534050142</v>
      </c>
      <c r="J910">
        <f t="shared" si="189"/>
        <v>-0.55575979871700476</v>
      </c>
      <c r="K910">
        <f t="shared" si="190"/>
        <v>0.98313701446720103</v>
      </c>
      <c r="L910">
        <f t="shared" si="191"/>
        <v>-1.7006784552898956E-2</v>
      </c>
      <c r="M910">
        <f t="shared" si="192"/>
        <v>0.49056603773584906</v>
      </c>
      <c r="N910">
        <f t="shared" si="193"/>
        <v>0.50943396226415094</v>
      </c>
      <c r="P910">
        <f t="shared" si="194"/>
        <v>98.5</v>
      </c>
      <c r="Q910">
        <f t="shared" si="195"/>
        <v>796</v>
      </c>
    </row>
    <row r="911" spans="1:25" x14ac:dyDescent="0.35">
      <c r="A911">
        <v>2024</v>
      </c>
      <c r="B911" s="7">
        <v>207</v>
      </c>
      <c r="C911" s="22">
        <v>26</v>
      </c>
      <c r="D911" s="12">
        <f t="shared" si="183"/>
        <v>25.875</v>
      </c>
      <c r="E911" s="27">
        <f t="shared" si="184"/>
        <v>0.51749999999999996</v>
      </c>
      <c r="F911" s="27">
        <f t="shared" si="185"/>
        <v>0.52</v>
      </c>
      <c r="G911">
        <f t="shared" si="186"/>
        <v>51.875</v>
      </c>
      <c r="H911">
        <f t="shared" si="187"/>
        <v>1</v>
      </c>
      <c r="I911">
        <f t="shared" si="188"/>
        <v>0.91286780973261505</v>
      </c>
      <c r="J911">
        <f t="shared" si="189"/>
        <v>-0.55575979871700476</v>
      </c>
      <c r="K911">
        <f t="shared" si="190"/>
        <v>0.93498441687611478</v>
      </c>
      <c r="L911">
        <f t="shared" si="191"/>
        <v>-6.7225416274994745E-2</v>
      </c>
      <c r="M911">
        <f t="shared" si="192"/>
        <v>0.50120481927710847</v>
      </c>
      <c r="N911">
        <f t="shared" si="193"/>
        <v>0.49879518072289158</v>
      </c>
      <c r="P911">
        <f t="shared" si="194"/>
        <v>168</v>
      </c>
      <c r="Q911">
        <f t="shared" si="195"/>
        <v>796</v>
      </c>
    </row>
    <row r="912" spans="1:25" x14ac:dyDescent="0.35">
      <c r="A912">
        <v>2024</v>
      </c>
      <c r="B912" s="7">
        <v>145</v>
      </c>
      <c r="C912" s="22">
        <v>32</v>
      </c>
      <c r="D912" s="12">
        <f t="shared" si="183"/>
        <v>18.125</v>
      </c>
      <c r="E912" s="27">
        <f t="shared" si="184"/>
        <v>0.36249999999999999</v>
      </c>
      <c r="F912" s="27">
        <f t="shared" si="185"/>
        <v>0.64</v>
      </c>
      <c r="G912">
        <f t="shared" si="186"/>
        <v>50.125</v>
      </c>
      <c r="H912">
        <f t="shared" si="187"/>
        <v>1</v>
      </c>
      <c r="I912">
        <f t="shared" si="188"/>
        <v>-1.2912647355659037</v>
      </c>
      <c r="J912">
        <f t="shared" si="189"/>
        <v>0.13747423176702911</v>
      </c>
      <c r="K912">
        <f t="shared" si="190"/>
        <v>0.32659979026032376</v>
      </c>
      <c r="L912">
        <f t="shared" si="191"/>
        <v>-1.1190197406372713</v>
      </c>
      <c r="M912">
        <f t="shared" si="192"/>
        <v>0.63840399002493764</v>
      </c>
      <c r="N912">
        <f t="shared" si="193"/>
        <v>0.36159600997506236</v>
      </c>
      <c r="P912">
        <f t="shared" si="194"/>
        <v>1086</v>
      </c>
      <c r="Q912">
        <f t="shared" si="195"/>
        <v>564</v>
      </c>
    </row>
    <row r="913" spans="1:17" x14ac:dyDescent="0.35">
      <c r="A913">
        <v>2024</v>
      </c>
      <c r="B913" s="7">
        <v>208</v>
      </c>
      <c r="C913" s="22">
        <v>23</v>
      </c>
      <c r="D913" s="12">
        <f t="shared" si="183"/>
        <v>26</v>
      </c>
      <c r="E913" s="27">
        <f t="shared" si="184"/>
        <v>0.52</v>
      </c>
      <c r="F913" s="27">
        <f t="shared" si="185"/>
        <v>0.46</v>
      </c>
      <c r="G913">
        <f t="shared" si="186"/>
        <v>49</v>
      </c>
      <c r="H913">
        <f t="shared" si="187"/>
        <v>0</v>
      </c>
      <c r="I913">
        <f t="shared" si="188"/>
        <v>0.94841833465678471</v>
      </c>
      <c r="J913">
        <f t="shared" si="189"/>
        <v>-0.90237681395902158</v>
      </c>
      <c r="K913">
        <f t="shared" si="190"/>
        <v>0.42431312698169749</v>
      </c>
      <c r="L913">
        <f t="shared" si="191"/>
        <v>-0.5521913893350423</v>
      </c>
      <c r="M913">
        <f t="shared" si="192"/>
        <v>0.46938775510204084</v>
      </c>
      <c r="N913">
        <f t="shared" si="193"/>
        <v>0.53061224489795922</v>
      </c>
      <c r="P913">
        <f t="shared" si="194"/>
        <v>160</v>
      </c>
      <c r="Q913">
        <f t="shared" si="195"/>
        <v>904</v>
      </c>
    </row>
    <row r="914" spans="1:17" x14ac:dyDescent="0.35">
      <c r="A914">
        <v>2024</v>
      </c>
      <c r="B914" s="7">
        <v>196</v>
      </c>
      <c r="C914" s="22">
        <v>23</v>
      </c>
      <c r="D914" s="12">
        <f t="shared" si="183"/>
        <v>24.5</v>
      </c>
      <c r="E914" s="27">
        <f t="shared" si="184"/>
        <v>0.49</v>
      </c>
      <c r="F914" s="27">
        <f t="shared" si="185"/>
        <v>0.46</v>
      </c>
      <c r="G914">
        <f t="shared" si="186"/>
        <v>47.5</v>
      </c>
      <c r="H914">
        <f t="shared" si="187"/>
        <v>0</v>
      </c>
      <c r="I914">
        <f t="shared" si="188"/>
        <v>0.52181203556674882</v>
      </c>
      <c r="J914">
        <f t="shared" si="189"/>
        <v>-0.90237681395902158</v>
      </c>
      <c r="K914">
        <f t="shared" si="190"/>
        <v>0.10234910520220146</v>
      </c>
      <c r="L914">
        <f t="shared" si="191"/>
        <v>-0.10797404484320527</v>
      </c>
      <c r="M914">
        <f t="shared" si="192"/>
        <v>0.48421052631578948</v>
      </c>
      <c r="N914">
        <f t="shared" si="193"/>
        <v>0.51578947368421058</v>
      </c>
      <c r="P914">
        <f t="shared" si="194"/>
        <v>270</v>
      </c>
      <c r="Q914">
        <f t="shared" si="195"/>
        <v>904</v>
      </c>
    </row>
    <row r="915" spans="1:17" x14ac:dyDescent="0.35">
      <c r="A915">
        <v>2024</v>
      </c>
      <c r="B915" s="7">
        <v>170</v>
      </c>
      <c r="C915" s="22">
        <v>25</v>
      </c>
      <c r="D915" s="12">
        <f t="shared" si="183"/>
        <v>21.25</v>
      </c>
      <c r="E915" s="27">
        <f t="shared" si="184"/>
        <v>0.42499999999999999</v>
      </c>
      <c r="F915" s="27">
        <f t="shared" si="185"/>
        <v>0.5</v>
      </c>
      <c r="G915">
        <f t="shared" si="186"/>
        <v>46.25</v>
      </c>
      <c r="H915">
        <f t="shared" si="187"/>
        <v>0</v>
      </c>
      <c r="I915">
        <f t="shared" si="188"/>
        <v>-0.40250161246166233</v>
      </c>
      <c r="J915">
        <f t="shared" si="189"/>
        <v>-0.67129880379767704</v>
      </c>
      <c r="K915">
        <f t="shared" si="190"/>
        <v>1.5817509521306845E-2</v>
      </c>
      <c r="L915">
        <f t="shared" si="191"/>
        <v>-1.5943941321506221E-2</v>
      </c>
      <c r="M915">
        <f t="shared" si="192"/>
        <v>0.54054054054054057</v>
      </c>
      <c r="N915">
        <f t="shared" si="193"/>
        <v>0.45945945945945948</v>
      </c>
      <c r="P915">
        <f t="shared" si="194"/>
        <v>720</v>
      </c>
      <c r="Q915">
        <f t="shared" si="195"/>
        <v>835</v>
      </c>
    </row>
    <row r="916" spans="1:17" x14ac:dyDescent="0.35">
      <c r="A916">
        <v>2024</v>
      </c>
      <c r="B916" s="7">
        <v>179</v>
      </c>
      <c r="C916" s="22">
        <v>23</v>
      </c>
      <c r="D916" s="12">
        <f t="shared" si="183"/>
        <v>22.375</v>
      </c>
      <c r="E916" s="27">
        <f t="shared" si="184"/>
        <v>0.44750000000000001</v>
      </c>
      <c r="F916" s="27">
        <f t="shared" si="185"/>
        <v>0.46</v>
      </c>
      <c r="G916">
        <f t="shared" si="186"/>
        <v>45.375</v>
      </c>
      <c r="H916">
        <f t="shared" si="187"/>
        <v>0</v>
      </c>
      <c r="I916">
        <f t="shared" si="188"/>
        <v>-8.2546888144135397E-2</v>
      </c>
      <c r="J916">
        <f t="shared" si="189"/>
        <v>-0.90237681395902158</v>
      </c>
      <c r="K916">
        <f t="shared" si="190"/>
        <v>8.0395039041014308E-3</v>
      </c>
      <c r="L916">
        <f t="shared" si="191"/>
        <v>-8.0719949741736748E-3</v>
      </c>
      <c r="M916">
        <f t="shared" si="192"/>
        <v>0.50688705234159781</v>
      </c>
      <c r="N916">
        <f t="shared" si="193"/>
        <v>0.49311294765840219</v>
      </c>
      <c r="P916">
        <f t="shared" si="194"/>
        <v>547</v>
      </c>
      <c r="Q916">
        <f t="shared" si="195"/>
        <v>904</v>
      </c>
    </row>
    <row r="917" spans="1:17" x14ac:dyDescent="0.35">
      <c r="A917">
        <v>2024</v>
      </c>
      <c r="B917" s="7">
        <v>187</v>
      </c>
      <c r="C917" s="22">
        <v>19</v>
      </c>
      <c r="D917" s="12">
        <f t="shared" si="183"/>
        <v>23.375</v>
      </c>
      <c r="E917" s="27">
        <f t="shared" si="184"/>
        <v>0.46750000000000003</v>
      </c>
      <c r="F917" s="27">
        <f t="shared" si="185"/>
        <v>0.38</v>
      </c>
      <c r="G917">
        <f t="shared" si="186"/>
        <v>42.375</v>
      </c>
      <c r="H917">
        <f t="shared" si="187"/>
        <v>0</v>
      </c>
      <c r="I917">
        <f t="shared" si="188"/>
        <v>0.20185731124922185</v>
      </c>
      <c r="J917">
        <f t="shared" si="189"/>
        <v>-1.3645328342817109</v>
      </c>
      <c r="K917">
        <f t="shared" si="190"/>
        <v>4.34965123979086E-4</v>
      </c>
      <c r="L917">
        <f t="shared" si="191"/>
        <v>-4.3505974874863109E-4</v>
      </c>
      <c r="M917">
        <f t="shared" si="192"/>
        <v>0.44837758112094395</v>
      </c>
      <c r="N917">
        <f t="shared" si="193"/>
        <v>0.55162241887905605</v>
      </c>
      <c r="P917">
        <f t="shared" si="194"/>
        <v>393</v>
      </c>
      <c r="Q917">
        <f t="shared" si="195"/>
        <v>1022</v>
      </c>
    </row>
    <row r="918" spans="1:17" x14ac:dyDescent="0.35">
      <c r="A918">
        <v>2024</v>
      </c>
      <c r="B918" s="7">
        <v>174</v>
      </c>
      <c r="C918" s="22">
        <v>20</v>
      </c>
      <c r="D918" s="12">
        <f t="shared" si="183"/>
        <v>21.75</v>
      </c>
      <c r="E918" s="27">
        <f t="shared" si="184"/>
        <v>0.435</v>
      </c>
      <c r="F918" s="27">
        <f t="shared" si="185"/>
        <v>0.4</v>
      </c>
      <c r="G918">
        <f t="shared" si="186"/>
        <v>41.75</v>
      </c>
      <c r="H918">
        <f t="shared" si="187"/>
        <v>0</v>
      </c>
      <c r="I918">
        <f t="shared" si="188"/>
        <v>-0.2602995127649837</v>
      </c>
      <c r="J918">
        <f t="shared" si="189"/>
        <v>-1.2489938292010385</v>
      </c>
      <c r="K918">
        <f t="shared" si="190"/>
        <v>1.6334858512553121E-4</v>
      </c>
      <c r="L918">
        <f t="shared" si="191"/>
        <v>-1.6336192795873971E-4</v>
      </c>
      <c r="M918">
        <f t="shared" si="192"/>
        <v>0.47904191616766467</v>
      </c>
      <c r="N918">
        <f t="shared" si="193"/>
        <v>0.52095808383233533</v>
      </c>
      <c r="P918">
        <f t="shared" si="194"/>
        <v>653</v>
      </c>
      <c r="Q918">
        <f t="shared" si="195"/>
        <v>996</v>
      </c>
    </row>
    <row r="919" spans="1:17" x14ac:dyDescent="0.35">
      <c r="A919">
        <v>2024</v>
      </c>
      <c r="B919" s="7">
        <v>176</v>
      </c>
      <c r="C919" s="22">
        <v>18</v>
      </c>
      <c r="D919" s="12">
        <f t="shared" si="183"/>
        <v>22</v>
      </c>
      <c r="E919" s="27">
        <f t="shared" si="184"/>
        <v>0.44</v>
      </c>
      <c r="F919" s="27">
        <f t="shared" si="185"/>
        <v>0.36</v>
      </c>
      <c r="G919">
        <f t="shared" si="186"/>
        <v>40</v>
      </c>
      <c r="H919">
        <f t="shared" si="187"/>
        <v>0</v>
      </c>
      <c r="I919">
        <f t="shared" si="188"/>
        <v>-0.18919846291664436</v>
      </c>
      <c r="J919">
        <f t="shared" si="189"/>
        <v>-1.4800718393623831</v>
      </c>
      <c r="K919">
        <f t="shared" si="190"/>
        <v>2.7735836732224629E-5</v>
      </c>
      <c r="L919">
        <f t="shared" si="191"/>
        <v>-2.7736221377644193E-5</v>
      </c>
      <c r="M919">
        <f t="shared" si="192"/>
        <v>0.45</v>
      </c>
      <c r="N919">
        <f t="shared" si="193"/>
        <v>0.55000000000000004</v>
      </c>
      <c r="P919">
        <f t="shared" si="194"/>
        <v>607.5</v>
      </c>
      <c r="Q919">
        <f t="shared" si="195"/>
        <v>1044.5</v>
      </c>
    </row>
    <row r="920" spans="1:17" x14ac:dyDescent="0.35">
      <c r="A920">
        <v>2024</v>
      </c>
      <c r="B920" s="7">
        <v>208</v>
      </c>
      <c r="C920" s="22">
        <v>11</v>
      </c>
      <c r="D920" s="12">
        <f t="shared" si="183"/>
        <v>26</v>
      </c>
      <c r="E920" s="27">
        <f t="shared" si="184"/>
        <v>0.52</v>
      </c>
      <c r="F920" s="27">
        <f t="shared" si="185"/>
        <v>0.22</v>
      </c>
      <c r="G920">
        <f t="shared" si="186"/>
        <v>37</v>
      </c>
      <c r="H920">
        <f t="shared" si="187"/>
        <v>0</v>
      </c>
      <c r="I920">
        <f t="shared" si="188"/>
        <v>0.94841833465678471</v>
      </c>
      <c r="J920">
        <f t="shared" si="189"/>
        <v>-2.2888448749270891</v>
      </c>
      <c r="K920">
        <f t="shared" si="190"/>
        <v>2.7300924740004243E-6</v>
      </c>
      <c r="L920">
        <f t="shared" si="191"/>
        <v>-2.7300962006885032E-6</v>
      </c>
      <c r="M920">
        <f t="shared" si="192"/>
        <v>0.29729729729729731</v>
      </c>
      <c r="N920">
        <f t="shared" si="193"/>
        <v>0.70270270270270274</v>
      </c>
      <c r="P920">
        <f t="shared" si="194"/>
        <v>160</v>
      </c>
      <c r="Q920">
        <f t="shared" si="195"/>
        <v>1128</v>
      </c>
    </row>
    <row r="921" spans="1:17" x14ac:dyDescent="0.35">
      <c r="A921">
        <v>2024</v>
      </c>
      <c r="B921" s="7">
        <v>159</v>
      </c>
      <c r="C921" s="22">
        <v>15</v>
      </c>
      <c r="D921" s="12">
        <f t="shared" si="183"/>
        <v>19.875</v>
      </c>
      <c r="E921" s="27">
        <f t="shared" si="184"/>
        <v>0.39750000000000002</v>
      </c>
      <c r="F921" s="27">
        <f t="shared" si="185"/>
        <v>0.3</v>
      </c>
      <c r="G921">
        <f t="shared" si="186"/>
        <v>34.875</v>
      </c>
      <c r="H921">
        <f t="shared" si="187"/>
        <v>0</v>
      </c>
      <c r="I921">
        <f t="shared" si="188"/>
        <v>-0.7935573866275285</v>
      </c>
      <c r="J921">
        <f t="shared" si="189"/>
        <v>-1.8266888546044</v>
      </c>
      <c r="K921">
        <f t="shared" si="190"/>
        <v>8.6493042093784321E-8</v>
      </c>
      <c r="L921">
        <f t="shared" si="191"/>
        <v>-8.6493045802398186E-8</v>
      </c>
      <c r="M921">
        <f t="shared" si="192"/>
        <v>0.43010752688172044</v>
      </c>
      <c r="N921">
        <f t="shared" si="193"/>
        <v>0.56989247311827962</v>
      </c>
      <c r="P921">
        <f t="shared" si="194"/>
        <v>923</v>
      </c>
      <c r="Q921">
        <f t="shared" si="195"/>
        <v>1094</v>
      </c>
    </row>
    <row r="922" spans="1:17" x14ac:dyDescent="0.35">
      <c r="A922">
        <v>2024</v>
      </c>
      <c r="B922" s="7">
        <v>194</v>
      </c>
      <c r="C922" s="22">
        <v>43</v>
      </c>
      <c r="D922" s="12">
        <f t="shared" si="183"/>
        <v>24.25</v>
      </c>
      <c r="E922" s="27">
        <f t="shared" si="184"/>
        <v>0.48499999999999999</v>
      </c>
      <c r="F922" s="27">
        <f t="shared" si="185"/>
        <v>0.86</v>
      </c>
      <c r="G922">
        <f t="shared" si="186"/>
        <v>67.25</v>
      </c>
      <c r="H922">
        <f t="shared" si="187"/>
        <v>1</v>
      </c>
      <c r="I922">
        <f t="shared" si="188"/>
        <v>0.45071098571840945</v>
      </c>
      <c r="J922">
        <f t="shared" si="189"/>
        <v>1.4084032876544244</v>
      </c>
      <c r="K922">
        <f t="shared" si="190"/>
        <v>0.999999989385293</v>
      </c>
      <c r="L922">
        <f t="shared" si="191"/>
        <v>-1.0614707058590422E-8</v>
      </c>
      <c r="M922">
        <f t="shared" si="192"/>
        <v>0.63940520446096649</v>
      </c>
      <c r="N922">
        <f t="shared" si="193"/>
        <v>0.36059479553903345</v>
      </c>
      <c r="P922">
        <f t="shared" si="194"/>
        <v>293.5</v>
      </c>
      <c r="Q922">
        <f t="shared" si="195"/>
        <v>53.5</v>
      </c>
    </row>
    <row r="923" spans="1:17" x14ac:dyDescent="0.35">
      <c r="A923">
        <v>2024</v>
      </c>
      <c r="B923" s="7">
        <v>162</v>
      </c>
      <c r="C923" s="22">
        <v>42</v>
      </c>
      <c r="D923" s="12">
        <f t="shared" si="183"/>
        <v>20.25</v>
      </c>
      <c r="E923" s="27">
        <f t="shared" si="184"/>
        <v>0.40500000000000003</v>
      </c>
      <c r="F923" s="27">
        <f t="shared" si="185"/>
        <v>0.84</v>
      </c>
      <c r="G923">
        <f t="shared" si="186"/>
        <v>62.25</v>
      </c>
      <c r="H923">
        <f t="shared" si="187"/>
        <v>1</v>
      </c>
      <c r="I923">
        <f t="shared" si="188"/>
        <v>-0.68690581185501953</v>
      </c>
      <c r="J923">
        <f t="shared" si="189"/>
        <v>1.2928642825737522</v>
      </c>
      <c r="K923">
        <f t="shared" si="190"/>
        <v>0.99999563572196526</v>
      </c>
      <c r="L923">
        <f t="shared" si="191"/>
        <v>-4.3642875582299117E-6</v>
      </c>
      <c r="M923">
        <f t="shared" si="192"/>
        <v>0.67469879518072284</v>
      </c>
      <c r="N923">
        <f t="shared" si="193"/>
        <v>0.3253012048192771</v>
      </c>
      <c r="P923">
        <f t="shared" si="194"/>
        <v>876</v>
      </c>
      <c r="Q923">
        <f t="shared" si="195"/>
        <v>90.5</v>
      </c>
    </row>
    <row r="924" spans="1:17" x14ac:dyDescent="0.35">
      <c r="A924">
        <v>2024</v>
      </c>
      <c r="B924" s="7">
        <v>206</v>
      </c>
      <c r="C924" s="22">
        <v>32</v>
      </c>
      <c r="D924" s="12">
        <f t="shared" si="183"/>
        <v>25.75</v>
      </c>
      <c r="E924" s="27">
        <f t="shared" si="184"/>
        <v>0.51500000000000001</v>
      </c>
      <c r="F924" s="27">
        <f t="shared" si="185"/>
        <v>0.64</v>
      </c>
      <c r="G924">
        <f t="shared" si="186"/>
        <v>57.75</v>
      </c>
      <c r="H924">
        <f t="shared" si="187"/>
        <v>1</v>
      </c>
      <c r="I924">
        <f t="shared" si="188"/>
        <v>0.8773172848084454</v>
      </c>
      <c r="J924">
        <f t="shared" si="189"/>
        <v>0.13747423176702911</v>
      </c>
      <c r="K924">
        <f t="shared" si="190"/>
        <v>0.99984367514872274</v>
      </c>
      <c r="L924">
        <f t="shared" si="191"/>
        <v>-1.5633707128036317E-4</v>
      </c>
      <c r="M924">
        <f t="shared" si="192"/>
        <v>0.55411255411255411</v>
      </c>
      <c r="N924">
        <f t="shared" si="193"/>
        <v>0.44588744588744589</v>
      </c>
      <c r="P924">
        <f t="shared" si="194"/>
        <v>178</v>
      </c>
      <c r="Q924">
        <f t="shared" si="195"/>
        <v>564</v>
      </c>
    </row>
    <row r="925" spans="1:17" x14ac:dyDescent="0.35">
      <c r="A925">
        <v>2024</v>
      </c>
      <c r="B925" s="7">
        <v>199</v>
      </c>
      <c r="C925" s="22">
        <v>43</v>
      </c>
      <c r="D925" s="12">
        <f t="shared" si="183"/>
        <v>24.875</v>
      </c>
      <c r="E925" s="27">
        <f t="shared" si="184"/>
        <v>0.4975</v>
      </c>
      <c r="F925" s="27">
        <f t="shared" si="185"/>
        <v>0.86</v>
      </c>
      <c r="G925">
        <f t="shared" si="186"/>
        <v>67.875</v>
      </c>
      <c r="H925">
        <f t="shared" si="187"/>
        <v>1</v>
      </c>
      <c r="I925">
        <f t="shared" si="188"/>
        <v>0.62846361033925779</v>
      </c>
      <c r="J925">
        <f t="shared" si="189"/>
        <v>1.4084032876544244</v>
      </c>
      <c r="K925">
        <f t="shared" si="190"/>
        <v>0.99999999512258331</v>
      </c>
      <c r="L925">
        <f t="shared" si="191"/>
        <v>-4.8774167046446995E-9</v>
      </c>
      <c r="M925">
        <f t="shared" si="192"/>
        <v>0.63351749539594848</v>
      </c>
      <c r="N925">
        <f t="shared" si="193"/>
        <v>0.36648250460405157</v>
      </c>
      <c r="P925">
        <f t="shared" si="194"/>
        <v>239</v>
      </c>
      <c r="Q925">
        <f t="shared" si="195"/>
        <v>53.5</v>
      </c>
    </row>
    <row r="926" spans="1:17" x14ac:dyDescent="0.35">
      <c r="A926">
        <v>2024</v>
      </c>
      <c r="B926" s="7">
        <v>174</v>
      </c>
      <c r="C926" s="22">
        <v>45</v>
      </c>
      <c r="D926" s="12">
        <f t="shared" si="183"/>
        <v>21.75</v>
      </c>
      <c r="E926" s="27">
        <f t="shared" si="184"/>
        <v>0.435</v>
      </c>
      <c r="F926" s="27">
        <f t="shared" si="185"/>
        <v>0.9</v>
      </c>
      <c r="G926">
        <f t="shared" si="186"/>
        <v>66.75</v>
      </c>
      <c r="H926">
        <f t="shared" si="187"/>
        <v>1</v>
      </c>
      <c r="I926">
        <f t="shared" si="188"/>
        <v>-0.2602995127649837</v>
      </c>
      <c r="J926">
        <f t="shared" si="189"/>
        <v>1.6394812978157691</v>
      </c>
      <c r="K926">
        <f t="shared" si="190"/>
        <v>0.99999997038168598</v>
      </c>
      <c r="L926">
        <f t="shared" si="191"/>
        <v>-2.961831446221621E-8</v>
      </c>
      <c r="M926">
        <f t="shared" si="192"/>
        <v>0.6741573033707865</v>
      </c>
      <c r="N926">
        <f t="shared" si="193"/>
        <v>0.3258426966292135</v>
      </c>
      <c r="P926">
        <f t="shared" si="194"/>
        <v>653</v>
      </c>
      <c r="Q926">
        <f t="shared" si="195"/>
        <v>10.5</v>
      </c>
    </row>
    <row r="927" spans="1:17" x14ac:dyDescent="0.35">
      <c r="A927">
        <v>2024</v>
      </c>
      <c r="B927" s="7">
        <v>183</v>
      </c>
      <c r="C927" s="22">
        <v>43</v>
      </c>
      <c r="D927" s="12">
        <f t="shared" si="183"/>
        <v>22.875</v>
      </c>
      <c r="E927" s="27">
        <f t="shared" si="184"/>
        <v>0.45750000000000002</v>
      </c>
      <c r="F927" s="27">
        <f t="shared" si="185"/>
        <v>0.86</v>
      </c>
      <c r="G927">
        <f t="shared" si="186"/>
        <v>65.875</v>
      </c>
      <c r="H927">
        <f t="shared" si="187"/>
        <v>1</v>
      </c>
      <c r="I927">
        <f t="shared" si="188"/>
        <v>5.9655211552543233E-2</v>
      </c>
      <c r="J927">
        <f t="shared" si="189"/>
        <v>1.4084032876544244</v>
      </c>
      <c r="K927">
        <f t="shared" si="190"/>
        <v>0.99999994126622449</v>
      </c>
      <c r="L927">
        <f t="shared" si="191"/>
        <v>-5.8733777234628782E-8</v>
      </c>
      <c r="M927">
        <f t="shared" si="192"/>
        <v>0.65275142314990509</v>
      </c>
      <c r="N927">
        <f t="shared" si="193"/>
        <v>0.34724857685009486</v>
      </c>
      <c r="P927">
        <f t="shared" si="194"/>
        <v>465</v>
      </c>
      <c r="Q927">
        <f t="shared" si="195"/>
        <v>53.5</v>
      </c>
    </row>
    <row r="928" spans="1:17" x14ac:dyDescent="0.35">
      <c r="A928">
        <v>2024</v>
      </c>
      <c r="B928" s="7">
        <v>190</v>
      </c>
      <c r="C928" s="22">
        <v>39</v>
      </c>
      <c r="D928" s="12">
        <f t="shared" si="183"/>
        <v>23.75</v>
      </c>
      <c r="E928" s="27">
        <f t="shared" si="184"/>
        <v>0.47499999999999998</v>
      </c>
      <c r="F928" s="27">
        <f t="shared" si="185"/>
        <v>0.78</v>
      </c>
      <c r="G928">
        <f t="shared" si="186"/>
        <v>62.75</v>
      </c>
      <c r="H928">
        <f t="shared" si="187"/>
        <v>1</v>
      </c>
      <c r="I928">
        <f t="shared" si="188"/>
        <v>0.30850888602173082</v>
      </c>
      <c r="J928">
        <f t="shared" si="189"/>
        <v>0.94624726733173525</v>
      </c>
      <c r="K928">
        <f t="shared" si="190"/>
        <v>0.99999872202454643</v>
      </c>
      <c r="L928">
        <f t="shared" si="191"/>
        <v>-1.2779762701843249E-6</v>
      </c>
      <c r="M928">
        <f t="shared" si="192"/>
        <v>0.62151394422310757</v>
      </c>
      <c r="N928">
        <f t="shared" si="193"/>
        <v>0.37848605577689243</v>
      </c>
      <c r="P928">
        <f t="shared" si="194"/>
        <v>341</v>
      </c>
      <c r="Q928">
        <f t="shared" si="195"/>
        <v>233</v>
      </c>
    </row>
    <row r="929" spans="1:17" x14ac:dyDescent="0.35">
      <c r="A929">
        <v>2024</v>
      </c>
      <c r="B929" s="7">
        <v>237</v>
      </c>
      <c r="C929" s="22">
        <v>32</v>
      </c>
      <c r="D929" s="12">
        <f t="shared" si="183"/>
        <v>29.625</v>
      </c>
      <c r="E929" s="27">
        <f t="shared" si="184"/>
        <v>0.59250000000000003</v>
      </c>
      <c r="F929" s="27">
        <f t="shared" si="185"/>
        <v>0.64</v>
      </c>
      <c r="G929">
        <f t="shared" si="186"/>
        <v>61.625</v>
      </c>
      <c r="H929">
        <f t="shared" si="187"/>
        <v>1</v>
      </c>
      <c r="I929">
        <f t="shared" si="188"/>
        <v>1.9793835574577048</v>
      </c>
      <c r="J929">
        <f t="shared" si="189"/>
        <v>0.13747423176702911</v>
      </c>
      <c r="K929">
        <f t="shared" si="190"/>
        <v>0.9999987403704339</v>
      </c>
      <c r="L929">
        <f t="shared" si="191"/>
        <v>-1.2596303594311416E-6</v>
      </c>
      <c r="M929">
        <f t="shared" si="192"/>
        <v>0.51926977687626774</v>
      </c>
      <c r="N929">
        <f t="shared" si="193"/>
        <v>0.48073022312373226</v>
      </c>
      <c r="P929">
        <f t="shared" si="194"/>
        <v>49</v>
      </c>
      <c r="Q929">
        <f t="shared" si="195"/>
        <v>564</v>
      </c>
    </row>
    <row r="930" spans="1:17" x14ac:dyDescent="0.35">
      <c r="A930">
        <v>2024</v>
      </c>
      <c r="B930" s="7">
        <v>168</v>
      </c>
      <c r="C930" s="22">
        <v>35</v>
      </c>
      <c r="D930" s="12">
        <f t="shared" si="183"/>
        <v>21</v>
      </c>
      <c r="E930" s="27">
        <f t="shared" si="184"/>
        <v>0.42</v>
      </c>
      <c r="F930" s="27">
        <f t="shared" si="185"/>
        <v>0.7</v>
      </c>
      <c r="G930">
        <f t="shared" si="186"/>
        <v>56</v>
      </c>
      <c r="H930">
        <f t="shared" si="187"/>
        <v>1</v>
      </c>
      <c r="I930">
        <f t="shared" si="188"/>
        <v>-0.47360266231000164</v>
      </c>
      <c r="J930">
        <f t="shared" si="189"/>
        <v>0.48409124700904599</v>
      </c>
      <c r="K930">
        <f t="shared" si="190"/>
        <v>0.99747752670037559</v>
      </c>
      <c r="L930">
        <f t="shared" si="191"/>
        <v>-2.5256600955979288E-3</v>
      </c>
      <c r="M930">
        <f t="shared" si="192"/>
        <v>0.625</v>
      </c>
      <c r="N930">
        <f t="shared" si="193"/>
        <v>0.375</v>
      </c>
      <c r="P930">
        <f t="shared" si="194"/>
        <v>767</v>
      </c>
      <c r="Q930">
        <f t="shared" si="195"/>
        <v>448.5</v>
      </c>
    </row>
    <row r="931" spans="1:17" x14ac:dyDescent="0.35">
      <c r="A931">
        <v>2024</v>
      </c>
      <c r="B931" s="7">
        <v>299</v>
      </c>
      <c r="C931" s="22">
        <v>11</v>
      </c>
      <c r="D931" s="12">
        <f t="shared" si="183"/>
        <v>37.375</v>
      </c>
      <c r="E931" s="27">
        <f t="shared" si="184"/>
        <v>0.74750000000000005</v>
      </c>
      <c r="F931" s="27">
        <f t="shared" si="185"/>
        <v>0.22</v>
      </c>
      <c r="G931">
        <f t="shared" si="186"/>
        <v>48.375</v>
      </c>
      <c r="H931">
        <f t="shared" si="187"/>
        <v>0</v>
      </c>
      <c r="I931">
        <f t="shared" si="188"/>
        <v>4.1835161027562231</v>
      </c>
      <c r="J931">
        <f t="shared" si="189"/>
        <v>-2.2888448749270891</v>
      </c>
      <c r="K931">
        <f t="shared" si="190"/>
        <v>0.79275270677094967</v>
      </c>
      <c r="L931">
        <f t="shared" si="191"/>
        <v>-1.5738425454667355</v>
      </c>
      <c r="M931">
        <f t="shared" si="192"/>
        <v>0.22739018087855298</v>
      </c>
      <c r="N931">
        <f t="shared" si="193"/>
        <v>0.77260981912144699</v>
      </c>
      <c r="P931">
        <f t="shared" si="194"/>
        <v>5</v>
      </c>
      <c r="Q931">
        <f t="shared" si="195"/>
        <v>1128</v>
      </c>
    </row>
    <row r="932" spans="1:17" x14ac:dyDescent="0.35">
      <c r="A932">
        <v>2024</v>
      </c>
      <c r="B932" s="7">
        <v>204</v>
      </c>
      <c r="C932" s="22">
        <v>17</v>
      </c>
      <c r="D932" s="12">
        <f t="shared" si="183"/>
        <v>25.5</v>
      </c>
      <c r="E932" s="27">
        <f t="shared" si="184"/>
        <v>0.51</v>
      </c>
      <c r="F932" s="27">
        <f t="shared" si="185"/>
        <v>0.34</v>
      </c>
      <c r="G932">
        <f t="shared" si="186"/>
        <v>42.5</v>
      </c>
      <c r="H932">
        <f t="shared" si="187"/>
        <v>0</v>
      </c>
      <c r="I932">
        <f t="shared" si="188"/>
        <v>0.80621623496010608</v>
      </c>
      <c r="J932">
        <f t="shared" si="189"/>
        <v>-1.5956108444430555</v>
      </c>
      <c r="K932">
        <f t="shared" si="190"/>
        <v>7.6091165629304429E-4</v>
      </c>
      <c r="L932">
        <f t="shared" si="191"/>
        <v>-7.6120129650373181E-4</v>
      </c>
      <c r="M932">
        <f t="shared" si="192"/>
        <v>0.4</v>
      </c>
      <c r="N932">
        <f t="shared" si="193"/>
        <v>0.6</v>
      </c>
      <c r="P932">
        <f t="shared" si="194"/>
        <v>193.5</v>
      </c>
      <c r="Q932">
        <f t="shared" si="195"/>
        <v>1063.5</v>
      </c>
    </row>
    <row r="933" spans="1:17" x14ac:dyDescent="0.35">
      <c r="A933">
        <v>2024</v>
      </c>
      <c r="B933" s="7">
        <v>212</v>
      </c>
      <c r="C933" s="22">
        <v>45</v>
      </c>
      <c r="D933" s="12">
        <f t="shared" si="183"/>
        <v>26.5</v>
      </c>
      <c r="E933" s="27">
        <f t="shared" si="184"/>
        <v>0.53</v>
      </c>
      <c r="F933" s="27">
        <f t="shared" si="185"/>
        <v>0.9</v>
      </c>
      <c r="G933">
        <f t="shared" si="186"/>
        <v>71.5</v>
      </c>
      <c r="H933">
        <f t="shared" si="187"/>
        <v>1</v>
      </c>
      <c r="I933">
        <f t="shared" si="188"/>
        <v>1.0906204343534633</v>
      </c>
      <c r="J933">
        <f t="shared" si="189"/>
        <v>1.6394812978157691</v>
      </c>
      <c r="K933">
        <f t="shared" si="190"/>
        <v>0.99999999991966537</v>
      </c>
      <c r="L933">
        <f t="shared" si="191"/>
        <v>-8.0334627842078534E-11</v>
      </c>
      <c r="M933">
        <f t="shared" si="192"/>
        <v>0.62937062937062938</v>
      </c>
      <c r="N933">
        <f t="shared" si="193"/>
        <v>0.37062937062937062</v>
      </c>
      <c r="P933">
        <f t="shared" si="194"/>
        <v>121</v>
      </c>
      <c r="Q933">
        <f t="shared" si="195"/>
        <v>10.5</v>
      </c>
    </row>
    <row r="934" spans="1:17" x14ac:dyDescent="0.35">
      <c r="A934">
        <v>2024</v>
      </c>
      <c r="B934" s="7">
        <v>240</v>
      </c>
      <c r="C934" s="22">
        <v>41</v>
      </c>
      <c r="D934" s="12">
        <f t="shared" si="183"/>
        <v>30</v>
      </c>
      <c r="E934" s="27">
        <f t="shared" si="184"/>
        <v>0.6</v>
      </c>
      <c r="F934" s="27">
        <f t="shared" si="185"/>
        <v>0.82</v>
      </c>
      <c r="G934">
        <f t="shared" si="186"/>
        <v>71</v>
      </c>
      <c r="H934">
        <f t="shared" si="187"/>
        <v>1</v>
      </c>
      <c r="I934">
        <f t="shared" si="188"/>
        <v>2.0860351322302138</v>
      </c>
      <c r="J934">
        <f t="shared" si="189"/>
        <v>1.1773252774930798</v>
      </c>
      <c r="K934">
        <f t="shared" si="190"/>
        <v>0.99999999993330069</v>
      </c>
      <c r="L934">
        <f t="shared" si="191"/>
        <v>-6.6699312741839785E-11</v>
      </c>
      <c r="M934">
        <f t="shared" si="192"/>
        <v>0.57746478873239437</v>
      </c>
      <c r="N934">
        <f t="shared" si="193"/>
        <v>0.42253521126760563</v>
      </c>
      <c r="P934">
        <f t="shared" si="194"/>
        <v>43.5</v>
      </c>
      <c r="Q934">
        <f t="shared" si="195"/>
        <v>129.5</v>
      </c>
    </row>
    <row r="935" spans="1:17" x14ac:dyDescent="0.35">
      <c r="A935">
        <v>2024</v>
      </c>
      <c r="B935" s="7">
        <v>205</v>
      </c>
      <c r="C935" s="22">
        <v>43</v>
      </c>
      <c r="D935" s="12">
        <f t="shared" si="183"/>
        <v>25.625</v>
      </c>
      <c r="E935" s="27">
        <f t="shared" si="184"/>
        <v>0.51249999999999996</v>
      </c>
      <c r="F935" s="27">
        <f t="shared" si="185"/>
        <v>0.86</v>
      </c>
      <c r="G935">
        <f t="shared" si="186"/>
        <v>68.625</v>
      </c>
      <c r="H935">
        <f t="shared" si="187"/>
        <v>1</v>
      </c>
      <c r="I935">
        <f t="shared" si="188"/>
        <v>0.84176675988427574</v>
      </c>
      <c r="J935">
        <f t="shared" si="189"/>
        <v>1.4084032876544244</v>
      </c>
      <c r="K935">
        <f t="shared" si="190"/>
        <v>0.99999999808164897</v>
      </c>
      <c r="L935">
        <f t="shared" si="191"/>
        <v>-1.9183510354207693E-9</v>
      </c>
      <c r="M935">
        <f t="shared" si="192"/>
        <v>0.62659380692167577</v>
      </c>
      <c r="N935">
        <f t="shared" si="193"/>
        <v>0.37340619307832423</v>
      </c>
      <c r="P935">
        <f t="shared" si="194"/>
        <v>186</v>
      </c>
      <c r="Q935">
        <f t="shared" si="195"/>
        <v>53.5</v>
      </c>
    </row>
    <row r="936" spans="1:17" x14ac:dyDescent="0.35">
      <c r="A936">
        <v>2024</v>
      </c>
      <c r="B936" s="7">
        <v>196</v>
      </c>
      <c r="C936" s="22">
        <v>44</v>
      </c>
      <c r="D936" s="12">
        <f t="shared" si="183"/>
        <v>24.5</v>
      </c>
      <c r="E936" s="27">
        <f t="shared" si="184"/>
        <v>0.49</v>
      </c>
      <c r="F936" s="27">
        <f t="shared" si="185"/>
        <v>0.88</v>
      </c>
      <c r="G936">
        <f t="shared" si="186"/>
        <v>68.5</v>
      </c>
      <c r="H936">
        <f t="shared" si="187"/>
        <v>1</v>
      </c>
      <c r="I936">
        <f t="shared" si="188"/>
        <v>0.52181203556674882</v>
      </c>
      <c r="J936">
        <f t="shared" si="189"/>
        <v>1.5239422927350967</v>
      </c>
      <c r="K936">
        <f t="shared" si="190"/>
        <v>0.99999999725709587</v>
      </c>
      <c r="L936">
        <f t="shared" si="191"/>
        <v>-2.7429041298135875E-9</v>
      </c>
      <c r="M936">
        <f t="shared" si="192"/>
        <v>0.64233576642335766</v>
      </c>
      <c r="N936">
        <f t="shared" si="193"/>
        <v>0.35766423357664234</v>
      </c>
      <c r="P936">
        <f t="shared" si="194"/>
        <v>270</v>
      </c>
      <c r="Q936">
        <f t="shared" si="195"/>
        <v>26.5</v>
      </c>
    </row>
    <row r="937" spans="1:17" x14ac:dyDescent="0.35">
      <c r="A937">
        <v>2024</v>
      </c>
      <c r="B937" s="7">
        <v>187</v>
      </c>
      <c r="C937" s="22">
        <v>43</v>
      </c>
      <c r="D937" s="12">
        <f t="shared" si="183"/>
        <v>23.375</v>
      </c>
      <c r="E937" s="27">
        <f t="shared" si="184"/>
        <v>0.46750000000000003</v>
      </c>
      <c r="F937" s="27">
        <f t="shared" si="185"/>
        <v>0.86</v>
      </c>
      <c r="G937">
        <f t="shared" si="186"/>
        <v>66.375</v>
      </c>
      <c r="H937">
        <f t="shared" si="187"/>
        <v>1</v>
      </c>
      <c r="I937">
        <f t="shared" si="188"/>
        <v>0.20185731124922185</v>
      </c>
      <c r="J937">
        <f t="shared" si="189"/>
        <v>1.4084032876544244</v>
      </c>
      <c r="K937">
        <f t="shared" si="190"/>
        <v>0.99999996847076666</v>
      </c>
      <c r="L937">
        <f t="shared" si="191"/>
        <v>-3.152923383231642E-8</v>
      </c>
      <c r="M937">
        <f t="shared" si="192"/>
        <v>0.64783427495291901</v>
      </c>
      <c r="N937">
        <f t="shared" si="193"/>
        <v>0.35216572504708099</v>
      </c>
      <c r="P937">
        <f t="shared" si="194"/>
        <v>393</v>
      </c>
      <c r="Q937">
        <f t="shared" si="195"/>
        <v>53.5</v>
      </c>
    </row>
    <row r="938" spans="1:17" x14ac:dyDescent="0.35">
      <c r="A938">
        <v>2024</v>
      </c>
      <c r="B938" s="7">
        <v>194</v>
      </c>
      <c r="C938" s="22">
        <v>42</v>
      </c>
      <c r="D938" s="12">
        <f t="shared" si="183"/>
        <v>24.25</v>
      </c>
      <c r="E938" s="27">
        <f t="shared" si="184"/>
        <v>0.48499999999999999</v>
      </c>
      <c r="F938" s="27">
        <f t="shared" si="185"/>
        <v>0.84</v>
      </c>
      <c r="G938">
        <f t="shared" si="186"/>
        <v>66.25</v>
      </c>
      <c r="H938">
        <f t="shared" si="187"/>
        <v>1</v>
      </c>
      <c r="I938">
        <f t="shared" si="188"/>
        <v>0.45071098571840945</v>
      </c>
      <c r="J938">
        <f t="shared" si="189"/>
        <v>1.2928642825737522</v>
      </c>
      <c r="K938">
        <f t="shared" si="190"/>
        <v>0.99999996990335149</v>
      </c>
      <c r="L938">
        <f t="shared" si="191"/>
        <v>-3.0096648959631911E-8</v>
      </c>
      <c r="M938">
        <f t="shared" si="192"/>
        <v>0.63396226415094337</v>
      </c>
      <c r="N938">
        <f t="shared" si="193"/>
        <v>0.36603773584905658</v>
      </c>
      <c r="P938">
        <f t="shared" si="194"/>
        <v>293.5</v>
      </c>
      <c r="Q938">
        <f t="shared" si="195"/>
        <v>90.5</v>
      </c>
    </row>
    <row r="939" spans="1:17" x14ac:dyDescent="0.35">
      <c r="A939">
        <v>2024</v>
      </c>
      <c r="B939" s="7">
        <v>170</v>
      </c>
      <c r="C939" s="22">
        <v>44</v>
      </c>
      <c r="D939" s="12">
        <f t="shared" si="183"/>
        <v>21.25</v>
      </c>
      <c r="E939" s="27">
        <f t="shared" si="184"/>
        <v>0.42499999999999999</v>
      </c>
      <c r="F939" s="27">
        <f t="shared" si="185"/>
        <v>0.88</v>
      </c>
      <c r="G939">
        <f t="shared" si="186"/>
        <v>65.25</v>
      </c>
      <c r="H939">
        <f t="shared" si="187"/>
        <v>1</v>
      </c>
      <c r="I939">
        <f t="shared" si="188"/>
        <v>-0.40250161246166233</v>
      </c>
      <c r="J939">
        <f t="shared" si="189"/>
        <v>1.5239422927350967</v>
      </c>
      <c r="K939">
        <f t="shared" si="190"/>
        <v>0.99999984356103555</v>
      </c>
      <c r="L939">
        <f t="shared" si="191"/>
        <v>-1.5643897668585526E-7</v>
      </c>
      <c r="M939">
        <f t="shared" si="192"/>
        <v>0.67432950191570884</v>
      </c>
      <c r="N939">
        <f t="shared" si="193"/>
        <v>0.32567049808429116</v>
      </c>
      <c r="P939">
        <f t="shared" si="194"/>
        <v>720</v>
      </c>
      <c r="Q939">
        <f t="shared" si="195"/>
        <v>26.5</v>
      </c>
    </row>
    <row r="940" spans="1:17" x14ac:dyDescent="0.35">
      <c r="A940">
        <v>2024</v>
      </c>
      <c r="B940" s="7">
        <v>209</v>
      </c>
      <c r="C940" s="22">
        <v>39</v>
      </c>
      <c r="D940" s="12">
        <f t="shared" si="183"/>
        <v>26.125</v>
      </c>
      <c r="E940" s="27">
        <f t="shared" si="184"/>
        <v>0.52249999999999996</v>
      </c>
      <c r="F940" s="27">
        <f t="shared" si="185"/>
        <v>0.78</v>
      </c>
      <c r="G940">
        <f t="shared" si="186"/>
        <v>65.125</v>
      </c>
      <c r="H940">
        <f t="shared" si="187"/>
        <v>1</v>
      </c>
      <c r="I940">
        <f t="shared" si="188"/>
        <v>0.98396885958095437</v>
      </c>
      <c r="J940">
        <f t="shared" si="189"/>
        <v>0.94624726733173525</v>
      </c>
      <c r="K940">
        <f t="shared" si="190"/>
        <v>0.99999993344294924</v>
      </c>
      <c r="L940">
        <f t="shared" si="191"/>
        <v>-6.6557052974561958E-8</v>
      </c>
      <c r="M940">
        <f t="shared" si="192"/>
        <v>0.5988483685220729</v>
      </c>
      <c r="N940">
        <f t="shared" si="193"/>
        <v>0.40115163147792704</v>
      </c>
      <c r="P940">
        <f t="shared" si="194"/>
        <v>150.5</v>
      </c>
      <c r="Q940">
        <f t="shared" si="195"/>
        <v>233</v>
      </c>
    </row>
    <row r="941" spans="1:17" x14ac:dyDescent="0.35">
      <c r="A941">
        <v>2024</v>
      </c>
      <c r="B941" s="7">
        <v>190</v>
      </c>
      <c r="C941" s="22">
        <v>41</v>
      </c>
      <c r="D941" s="12">
        <f t="shared" si="183"/>
        <v>23.75</v>
      </c>
      <c r="E941" s="27">
        <f t="shared" si="184"/>
        <v>0.47499999999999998</v>
      </c>
      <c r="F941" s="27">
        <f t="shared" si="185"/>
        <v>0.82</v>
      </c>
      <c r="G941">
        <f t="shared" si="186"/>
        <v>64.75</v>
      </c>
      <c r="H941">
        <f t="shared" si="187"/>
        <v>1</v>
      </c>
      <c r="I941">
        <f t="shared" si="188"/>
        <v>0.30850888602173082</v>
      </c>
      <c r="J941">
        <f t="shared" si="189"/>
        <v>1.1773252774930798</v>
      </c>
      <c r="K941">
        <f t="shared" si="190"/>
        <v>0.9999998410345543</v>
      </c>
      <c r="L941">
        <f t="shared" si="191"/>
        <v>-1.5896545833072128E-7</v>
      </c>
      <c r="M941">
        <f t="shared" si="192"/>
        <v>0.63320463320463316</v>
      </c>
      <c r="N941">
        <f t="shared" si="193"/>
        <v>0.36679536679536678</v>
      </c>
      <c r="P941">
        <f t="shared" si="194"/>
        <v>341</v>
      </c>
      <c r="Q941">
        <f t="shared" si="195"/>
        <v>129.5</v>
      </c>
    </row>
    <row r="942" spans="1:17" x14ac:dyDescent="0.35">
      <c r="A942">
        <v>2024</v>
      </c>
      <c r="B942" s="7">
        <v>170</v>
      </c>
      <c r="C942" s="22">
        <v>43</v>
      </c>
      <c r="D942" s="12">
        <f t="shared" si="183"/>
        <v>21.25</v>
      </c>
      <c r="E942" s="27">
        <f t="shared" si="184"/>
        <v>0.42499999999999999</v>
      </c>
      <c r="F942" s="27">
        <f t="shared" si="185"/>
        <v>0.86</v>
      </c>
      <c r="G942">
        <f t="shared" si="186"/>
        <v>64.25</v>
      </c>
      <c r="H942">
        <f t="shared" si="187"/>
        <v>1</v>
      </c>
      <c r="I942">
        <f t="shared" si="188"/>
        <v>-0.40250161246166233</v>
      </c>
      <c r="J942">
        <f t="shared" si="189"/>
        <v>1.4084032876544244</v>
      </c>
      <c r="K942">
        <f t="shared" si="190"/>
        <v>0.99999955643737937</v>
      </c>
      <c r="L942">
        <f t="shared" si="191"/>
        <v>-4.4356271900731476E-7</v>
      </c>
      <c r="M942">
        <f t="shared" si="192"/>
        <v>0.66926070038910501</v>
      </c>
      <c r="N942">
        <f t="shared" si="193"/>
        <v>0.33073929961089493</v>
      </c>
      <c r="P942">
        <f t="shared" si="194"/>
        <v>720</v>
      </c>
      <c r="Q942">
        <f t="shared" si="195"/>
        <v>53.5</v>
      </c>
    </row>
    <row r="943" spans="1:17" x14ac:dyDescent="0.35">
      <c r="A943">
        <v>2024</v>
      </c>
      <c r="B943" s="7">
        <v>168</v>
      </c>
      <c r="C943" s="22">
        <v>40</v>
      </c>
      <c r="D943" s="12">
        <f t="shared" si="183"/>
        <v>21</v>
      </c>
      <c r="E943" s="27">
        <f t="shared" si="184"/>
        <v>0.42</v>
      </c>
      <c r="F943" s="27">
        <f t="shared" si="185"/>
        <v>0.8</v>
      </c>
      <c r="G943">
        <f t="shared" si="186"/>
        <v>61</v>
      </c>
      <c r="H943">
        <f t="shared" si="187"/>
        <v>1</v>
      </c>
      <c r="I943">
        <f t="shared" si="188"/>
        <v>-0.47360266231000164</v>
      </c>
      <c r="J943">
        <f t="shared" si="189"/>
        <v>1.0617862724124074</v>
      </c>
      <c r="K943">
        <f t="shared" si="190"/>
        <v>0.99998620039042407</v>
      </c>
      <c r="L943">
        <f t="shared" si="191"/>
        <v>-1.3799704791414481E-5</v>
      </c>
      <c r="M943">
        <f t="shared" si="192"/>
        <v>0.65573770491803274</v>
      </c>
      <c r="N943">
        <f t="shared" si="193"/>
        <v>0.34426229508196721</v>
      </c>
      <c r="P943">
        <f t="shared" si="194"/>
        <v>767</v>
      </c>
      <c r="Q943">
        <f t="shared" si="195"/>
        <v>173</v>
      </c>
    </row>
    <row r="944" spans="1:17" x14ac:dyDescent="0.35">
      <c r="A944">
        <v>2024</v>
      </c>
      <c r="B944" s="7">
        <v>204</v>
      </c>
      <c r="C944" s="22">
        <v>29</v>
      </c>
      <c r="D944" s="12">
        <f t="shared" si="183"/>
        <v>25.5</v>
      </c>
      <c r="E944" s="27">
        <f t="shared" si="184"/>
        <v>0.51</v>
      </c>
      <c r="F944" s="27">
        <f t="shared" si="185"/>
        <v>0.57999999999999996</v>
      </c>
      <c r="G944">
        <f t="shared" si="186"/>
        <v>54.5</v>
      </c>
      <c r="H944">
        <f t="shared" si="187"/>
        <v>1</v>
      </c>
      <c r="I944">
        <f t="shared" si="188"/>
        <v>0.80621623496010608</v>
      </c>
      <c r="J944">
        <f t="shared" si="189"/>
        <v>-0.2091427834749878</v>
      </c>
      <c r="K944">
        <f t="shared" si="190"/>
        <v>0.99515932199100554</v>
      </c>
      <c r="L944">
        <f t="shared" si="191"/>
        <v>-4.8524320377744627E-3</v>
      </c>
      <c r="M944">
        <f t="shared" si="192"/>
        <v>0.5321100917431193</v>
      </c>
      <c r="N944">
        <f t="shared" si="193"/>
        <v>0.46788990825688076</v>
      </c>
      <c r="P944">
        <f t="shared" si="194"/>
        <v>193.5</v>
      </c>
      <c r="Q944">
        <f t="shared" si="195"/>
        <v>671</v>
      </c>
    </row>
    <row r="945" spans="1:17" x14ac:dyDescent="0.35">
      <c r="A945">
        <v>2024</v>
      </c>
      <c r="B945" s="7">
        <v>175</v>
      </c>
      <c r="C945" s="22">
        <v>28</v>
      </c>
      <c r="D945" s="12">
        <f t="shared" si="183"/>
        <v>21.875</v>
      </c>
      <c r="E945" s="27">
        <f t="shared" si="184"/>
        <v>0.4375</v>
      </c>
      <c r="F945" s="27">
        <f t="shared" si="185"/>
        <v>0.56000000000000005</v>
      </c>
      <c r="G945">
        <f t="shared" si="186"/>
        <v>49.875</v>
      </c>
      <c r="H945">
        <f t="shared" si="187"/>
        <v>0</v>
      </c>
      <c r="I945">
        <f t="shared" si="188"/>
        <v>-0.22474898784081401</v>
      </c>
      <c r="J945">
        <f t="shared" si="189"/>
        <v>-0.3246817885556601</v>
      </c>
      <c r="K945">
        <f t="shared" si="190"/>
        <v>0.44360375272571378</v>
      </c>
      <c r="L945">
        <f t="shared" si="191"/>
        <v>-0.58627456361000452</v>
      </c>
      <c r="M945">
        <f t="shared" si="192"/>
        <v>0.56140350877192979</v>
      </c>
      <c r="N945">
        <f t="shared" si="193"/>
        <v>0.43859649122807015</v>
      </c>
      <c r="P945">
        <f t="shared" si="194"/>
        <v>631.5</v>
      </c>
      <c r="Q945">
        <f t="shared" si="195"/>
        <v>709.5</v>
      </c>
    </row>
    <row r="946" spans="1:17" x14ac:dyDescent="0.35">
      <c r="A946">
        <v>2024</v>
      </c>
      <c r="B946" s="7">
        <v>157</v>
      </c>
      <c r="C946" s="22">
        <v>18</v>
      </c>
      <c r="D946" s="12">
        <f t="shared" si="183"/>
        <v>19.625</v>
      </c>
      <c r="E946" s="27">
        <f t="shared" si="184"/>
        <v>0.39250000000000002</v>
      </c>
      <c r="F946" s="27">
        <f t="shared" si="185"/>
        <v>0.36</v>
      </c>
      <c r="G946">
        <f t="shared" si="186"/>
        <v>37.625</v>
      </c>
      <c r="H946">
        <f t="shared" si="187"/>
        <v>0</v>
      </c>
      <c r="I946">
        <f t="shared" si="188"/>
        <v>-0.86465843647586782</v>
      </c>
      <c r="J946">
        <f t="shared" si="189"/>
        <v>-1.4800718393623831</v>
      </c>
      <c r="K946">
        <f t="shared" si="190"/>
        <v>1.4445205413403401E-6</v>
      </c>
      <c r="L946">
        <f t="shared" si="191"/>
        <v>-1.4445215846146497E-6</v>
      </c>
      <c r="M946">
        <f t="shared" si="192"/>
        <v>0.47840531561461797</v>
      </c>
      <c r="N946">
        <f t="shared" si="193"/>
        <v>0.52159468438538203</v>
      </c>
      <c r="P946">
        <f t="shared" si="194"/>
        <v>954</v>
      </c>
      <c r="Q946">
        <f t="shared" si="195"/>
        <v>1044.5</v>
      </c>
    </row>
    <row r="947" spans="1:17" x14ac:dyDescent="0.35">
      <c r="A947">
        <v>2024</v>
      </c>
      <c r="B947" s="7">
        <v>146</v>
      </c>
      <c r="C947" s="22">
        <v>16</v>
      </c>
      <c r="D947" s="12">
        <f t="shared" si="183"/>
        <v>18.25</v>
      </c>
      <c r="E947" s="27">
        <f t="shared" si="184"/>
        <v>0.36499999999999999</v>
      </c>
      <c r="F947" s="27">
        <f t="shared" si="185"/>
        <v>0.32</v>
      </c>
      <c r="G947">
        <f t="shared" si="186"/>
        <v>34.25</v>
      </c>
      <c r="H947">
        <f t="shared" si="187"/>
        <v>0</v>
      </c>
      <c r="I947">
        <f t="shared" si="188"/>
        <v>-1.2557142106417341</v>
      </c>
      <c r="J947">
        <f t="shared" si="189"/>
        <v>-1.7111498495237276</v>
      </c>
      <c r="K947">
        <f t="shared" si="190"/>
        <v>3.2473129149840566E-8</v>
      </c>
      <c r="L947">
        <f t="shared" si="191"/>
        <v>-3.2473129712891563E-8</v>
      </c>
      <c r="M947">
        <f t="shared" si="192"/>
        <v>0.46715328467153283</v>
      </c>
      <c r="N947">
        <f t="shared" si="193"/>
        <v>0.53284671532846717</v>
      </c>
      <c r="P947">
        <f t="shared" si="194"/>
        <v>1079</v>
      </c>
      <c r="Q947">
        <f t="shared" si="195"/>
        <v>1079.5</v>
      </c>
    </row>
    <row r="948" spans="1:17" x14ac:dyDescent="0.35">
      <c r="A948">
        <v>2025</v>
      </c>
      <c r="B948" s="1">
        <v>282</v>
      </c>
      <c r="C948" s="1">
        <v>40</v>
      </c>
      <c r="D948" s="12">
        <f t="shared" si="183"/>
        <v>35.25</v>
      </c>
      <c r="E948" s="27">
        <f t="shared" si="184"/>
        <v>0.70499999999999996</v>
      </c>
      <c r="F948" s="27">
        <f t="shared" si="185"/>
        <v>0.8</v>
      </c>
      <c r="G948">
        <f t="shared" si="186"/>
        <v>75.25</v>
      </c>
      <c r="H948">
        <f t="shared" si="187"/>
        <v>1</v>
      </c>
      <c r="I948">
        <f t="shared" si="188"/>
        <v>3.5791571790453394</v>
      </c>
      <c r="J948">
        <f t="shared" si="189"/>
        <v>1.0617862724124074</v>
      </c>
      <c r="K948">
        <f t="shared" si="190"/>
        <v>0.99999999999972466</v>
      </c>
      <c r="L948">
        <f t="shared" si="191"/>
        <v>-2.7533531010707674E-13</v>
      </c>
      <c r="M948">
        <f t="shared" si="192"/>
        <v>0.53156146179401997</v>
      </c>
      <c r="N948">
        <f t="shared" si="193"/>
        <v>0.46843853820598008</v>
      </c>
      <c r="P948">
        <f t="shared" si="194"/>
        <v>11</v>
      </c>
      <c r="Q948">
        <f t="shared" si="195"/>
        <v>173</v>
      </c>
    </row>
    <row r="949" spans="1:17" x14ac:dyDescent="0.35">
      <c r="A949">
        <v>2025</v>
      </c>
      <c r="B949" s="1">
        <v>240</v>
      </c>
      <c r="C949" s="1">
        <v>40</v>
      </c>
      <c r="D949" s="12">
        <f t="shared" si="183"/>
        <v>30</v>
      </c>
      <c r="E949" s="27">
        <f t="shared" si="184"/>
        <v>0.6</v>
      </c>
      <c r="F949" s="27">
        <f t="shared" si="185"/>
        <v>0.8</v>
      </c>
      <c r="G949">
        <f t="shared" si="186"/>
        <v>70</v>
      </c>
      <c r="H949">
        <f t="shared" si="187"/>
        <v>1</v>
      </c>
      <c r="I949">
        <f t="shared" si="188"/>
        <v>2.0860351322302138</v>
      </c>
      <c r="J949">
        <f t="shared" si="189"/>
        <v>1.0617862724124074</v>
      </c>
      <c r="K949">
        <f t="shared" si="190"/>
        <v>0.99999999981088261</v>
      </c>
      <c r="L949">
        <f t="shared" si="191"/>
        <v>-1.8911738843397618E-10</v>
      </c>
      <c r="M949">
        <f t="shared" si="192"/>
        <v>0.5714285714285714</v>
      </c>
      <c r="N949">
        <f t="shared" si="193"/>
        <v>0.42857142857142855</v>
      </c>
      <c r="P949">
        <f t="shared" si="194"/>
        <v>43.5</v>
      </c>
      <c r="Q949">
        <f t="shared" si="195"/>
        <v>173</v>
      </c>
    </row>
    <row r="950" spans="1:17" x14ac:dyDescent="0.35">
      <c r="A950">
        <v>2025</v>
      </c>
      <c r="B950" s="1">
        <v>216</v>
      </c>
      <c r="C950" s="1">
        <v>42</v>
      </c>
      <c r="D950" s="12">
        <f t="shared" si="183"/>
        <v>27</v>
      </c>
      <c r="E950" s="27">
        <f t="shared" si="184"/>
        <v>0.54</v>
      </c>
      <c r="F950" s="27">
        <f t="shared" si="185"/>
        <v>0.84</v>
      </c>
      <c r="G950">
        <f t="shared" si="186"/>
        <v>69</v>
      </c>
      <c r="H950">
        <f t="shared" si="187"/>
        <v>1</v>
      </c>
      <c r="I950">
        <f t="shared" si="188"/>
        <v>1.232822534050142</v>
      </c>
      <c r="J950">
        <f t="shared" si="189"/>
        <v>1.2928642825737522</v>
      </c>
      <c r="K950">
        <f t="shared" si="190"/>
        <v>0.99999999901698922</v>
      </c>
      <c r="L950">
        <f t="shared" si="191"/>
        <v>-9.8301078436689724E-10</v>
      </c>
      <c r="M950">
        <f t="shared" si="192"/>
        <v>0.60869565217391308</v>
      </c>
      <c r="N950">
        <f t="shared" si="193"/>
        <v>0.39130434782608697</v>
      </c>
      <c r="P950">
        <f t="shared" si="194"/>
        <v>98.5</v>
      </c>
      <c r="Q950">
        <f t="shared" si="195"/>
        <v>90.5</v>
      </c>
    </row>
    <row r="951" spans="1:17" x14ac:dyDescent="0.35">
      <c r="A951">
        <v>2025</v>
      </c>
      <c r="B951" s="1">
        <v>219</v>
      </c>
      <c r="C951" s="1">
        <v>41</v>
      </c>
      <c r="D951" s="12">
        <f t="shared" si="183"/>
        <v>27.375</v>
      </c>
      <c r="E951" s="27">
        <f t="shared" si="184"/>
        <v>0.54749999999999999</v>
      </c>
      <c r="F951" s="27">
        <f t="shared" si="185"/>
        <v>0.82</v>
      </c>
      <c r="G951">
        <f t="shared" si="186"/>
        <v>68.375</v>
      </c>
      <c r="H951">
        <f t="shared" si="187"/>
        <v>1</v>
      </c>
      <c r="I951">
        <f t="shared" si="188"/>
        <v>1.3394741088226509</v>
      </c>
      <c r="J951">
        <f t="shared" si="189"/>
        <v>1.1773252774930798</v>
      </c>
      <c r="K951">
        <f t="shared" si="190"/>
        <v>0.99999999825201558</v>
      </c>
      <c r="L951">
        <f t="shared" si="191"/>
        <v>-1.7479844253998647E-9</v>
      </c>
      <c r="M951">
        <f t="shared" si="192"/>
        <v>0.59963436928702007</v>
      </c>
      <c r="N951">
        <f t="shared" si="193"/>
        <v>0.40036563071297987</v>
      </c>
      <c r="P951">
        <f t="shared" si="194"/>
        <v>87.5</v>
      </c>
      <c r="Q951">
        <f t="shared" si="195"/>
        <v>129.5</v>
      </c>
    </row>
    <row r="952" spans="1:17" x14ac:dyDescent="0.35">
      <c r="A952">
        <v>2025</v>
      </c>
      <c r="B952" s="1">
        <v>243</v>
      </c>
      <c r="C952" s="1">
        <v>37</v>
      </c>
      <c r="D952" s="12">
        <f t="shared" si="183"/>
        <v>30.375</v>
      </c>
      <c r="E952" s="27">
        <f t="shared" si="184"/>
        <v>0.60750000000000004</v>
      </c>
      <c r="F952" s="27">
        <f t="shared" si="185"/>
        <v>0.74</v>
      </c>
      <c r="G952">
        <f t="shared" si="186"/>
        <v>67.375</v>
      </c>
      <c r="H952">
        <f t="shared" si="187"/>
        <v>1</v>
      </c>
      <c r="I952">
        <f t="shared" si="188"/>
        <v>2.1926867070027227</v>
      </c>
      <c r="J952">
        <f t="shared" si="189"/>
        <v>0.71516925717039059</v>
      </c>
      <c r="K952">
        <f t="shared" si="190"/>
        <v>0.99999999729647149</v>
      </c>
      <c r="L952">
        <f t="shared" si="191"/>
        <v>-2.7035285158257936E-9</v>
      </c>
      <c r="M952">
        <f t="shared" si="192"/>
        <v>0.54916512059369205</v>
      </c>
      <c r="N952">
        <f t="shared" si="193"/>
        <v>0.45083487940630795</v>
      </c>
      <c r="P952">
        <f t="shared" si="194"/>
        <v>41.5</v>
      </c>
      <c r="Q952">
        <f t="shared" si="195"/>
        <v>351</v>
      </c>
    </row>
    <row r="953" spans="1:17" x14ac:dyDescent="0.35">
      <c r="A953">
        <v>2025</v>
      </c>
      <c r="B953" s="1">
        <v>210</v>
      </c>
      <c r="C953" s="1">
        <v>41</v>
      </c>
      <c r="D953" s="12">
        <f t="shared" si="183"/>
        <v>26.25</v>
      </c>
      <c r="E953" s="27">
        <f t="shared" si="184"/>
        <v>0.52500000000000002</v>
      </c>
      <c r="F953" s="27">
        <f t="shared" si="185"/>
        <v>0.82</v>
      </c>
      <c r="G953">
        <f t="shared" si="186"/>
        <v>67.25</v>
      </c>
      <c r="H953">
        <f t="shared" si="187"/>
        <v>1</v>
      </c>
      <c r="I953">
        <f t="shared" si="188"/>
        <v>1.019519384505124</v>
      </c>
      <c r="J953">
        <f t="shared" si="189"/>
        <v>1.1773252774930798</v>
      </c>
      <c r="K953">
        <f t="shared" si="190"/>
        <v>0.99999999291352593</v>
      </c>
      <c r="L953">
        <f t="shared" si="191"/>
        <v>-7.0864740993228686E-9</v>
      </c>
      <c r="M953">
        <f t="shared" si="192"/>
        <v>0.60966542750929364</v>
      </c>
      <c r="N953">
        <f t="shared" si="193"/>
        <v>0.3903345724907063</v>
      </c>
      <c r="P953">
        <f t="shared" si="194"/>
        <v>138.5</v>
      </c>
      <c r="Q953">
        <f t="shared" si="195"/>
        <v>129.5</v>
      </c>
    </row>
    <row r="954" spans="1:17" x14ac:dyDescent="0.35">
      <c r="A954">
        <v>2025</v>
      </c>
      <c r="B954" s="1">
        <v>201</v>
      </c>
      <c r="C954" s="1">
        <v>42</v>
      </c>
      <c r="D954" s="12">
        <f t="shared" si="183"/>
        <v>25.125</v>
      </c>
      <c r="E954" s="27">
        <f t="shared" si="184"/>
        <v>0.50249999999999995</v>
      </c>
      <c r="F954" s="27">
        <f t="shared" si="185"/>
        <v>0.84</v>
      </c>
      <c r="G954">
        <f t="shared" si="186"/>
        <v>67.125</v>
      </c>
      <c r="H954">
        <f t="shared" si="187"/>
        <v>1</v>
      </c>
      <c r="I954">
        <f t="shared" si="188"/>
        <v>0.69956466018759711</v>
      </c>
      <c r="J954">
        <f t="shared" si="189"/>
        <v>1.2928642825737522</v>
      </c>
      <c r="K954">
        <f t="shared" si="190"/>
        <v>0.99999998986759053</v>
      </c>
      <c r="L954">
        <f t="shared" si="191"/>
        <v>-1.0132409518344744E-8</v>
      </c>
      <c r="M954">
        <f t="shared" si="192"/>
        <v>0.62569832402234637</v>
      </c>
      <c r="N954">
        <f t="shared" si="193"/>
        <v>0.37430167597765363</v>
      </c>
      <c r="P954">
        <f t="shared" si="194"/>
        <v>219.5</v>
      </c>
      <c r="Q954">
        <f t="shared" si="195"/>
        <v>90.5</v>
      </c>
    </row>
    <row r="955" spans="1:17" x14ac:dyDescent="0.35">
      <c r="A955">
        <v>2025</v>
      </c>
      <c r="B955" s="1">
        <v>196</v>
      </c>
      <c r="C955" s="1">
        <v>42</v>
      </c>
      <c r="D955" s="12">
        <f t="shared" si="183"/>
        <v>24.5</v>
      </c>
      <c r="E955" s="27">
        <f t="shared" si="184"/>
        <v>0.49</v>
      </c>
      <c r="F955" s="27">
        <f t="shared" si="185"/>
        <v>0.84</v>
      </c>
      <c r="G955">
        <f t="shared" si="186"/>
        <v>66.5</v>
      </c>
      <c r="H955">
        <f t="shared" si="187"/>
        <v>1</v>
      </c>
      <c r="I955">
        <f t="shared" si="188"/>
        <v>0.52181203556674882</v>
      </c>
      <c r="J955">
        <f t="shared" si="189"/>
        <v>1.2928642825737522</v>
      </c>
      <c r="K955">
        <f t="shared" si="190"/>
        <v>0.99999997794886841</v>
      </c>
      <c r="L955">
        <f t="shared" si="191"/>
        <v>-2.2051131830501245E-8</v>
      </c>
      <c r="M955">
        <f t="shared" si="192"/>
        <v>0.63157894736842102</v>
      </c>
      <c r="N955">
        <f t="shared" si="193"/>
        <v>0.36842105263157893</v>
      </c>
      <c r="P955">
        <f t="shared" si="194"/>
        <v>270</v>
      </c>
      <c r="Q955">
        <f t="shared" si="195"/>
        <v>90.5</v>
      </c>
    </row>
    <row r="956" spans="1:17" x14ac:dyDescent="0.35">
      <c r="A956">
        <v>2025</v>
      </c>
      <c r="B956" s="1">
        <v>220</v>
      </c>
      <c r="C956" s="1">
        <v>38</v>
      </c>
      <c r="D956" s="12">
        <f t="shared" si="183"/>
        <v>27.5</v>
      </c>
      <c r="E956" s="27">
        <f t="shared" si="184"/>
        <v>0.55000000000000004</v>
      </c>
      <c r="F956" s="27">
        <f t="shared" si="185"/>
        <v>0.76</v>
      </c>
      <c r="G956">
        <f t="shared" si="186"/>
        <v>65.5</v>
      </c>
      <c r="H956">
        <f t="shared" si="187"/>
        <v>1</v>
      </c>
      <c r="I956">
        <f t="shared" si="188"/>
        <v>1.3750246337468206</v>
      </c>
      <c r="J956">
        <f t="shared" si="189"/>
        <v>0.83070826225106287</v>
      </c>
      <c r="K956">
        <f t="shared" si="190"/>
        <v>0.99999996589451046</v>
      </c>
      <c r="L956">
        <f t="shared" si="191"/>
        <v>-3.4105490125226573E-8</v>
      </c>
      <c r="M956">
        <f t="shared" si="192"/>
        <v>0.58015267175572516</v>
      </c>
      <c r="N956">
        <f t="shared" si="193"/>
        <v>0.41984732824427479</v>
      </c>
      <c r="P956">
        <f t="shared" si="194"/>
        <v>84</v>
      </c>
      <c r="Q956">
        <f t="shared" si="195"/>
        <v>297.5</v>
      </c>
    </row>
    <row r="957" spans="1:17" x14ac:dyDescent="0.35">
      <c r="A957">
        <v>2025</v>
      </c>
      <c r="B957" s="1">
        <v>192</v>
      </c>
      <c r="C957" s="1">
        <v>41</v>
      </c>
      <c r="D957" s="12">
        <f t="shared" si="183"/>
        <v>24</v>
      </c>
      <c r="E957" s="27">
        <f t="shared" si="184"/>
        <v>0.48</v>
      </c>
      <c r="F957" s="27">
        <f t="shared" si="185"/>
        <v>0.82</v>
      </c>
      <c r="G957">
        <f t="shared" si="186"/>
        <v>65</v>
      </c>
      <c r="H957">
        <f t="shared" si="187"/>
        <v>1</v>
      </c>
      <c r="I957">
        <f t="shared" si="188"/>
        <v>0.37960993587007014</v>
      </c>
      <c r="J957">
        <f t="shared" si="189"/>
        <v>1.1773252774930798</v>
      </c>
      <c r="K957">
        <f t="shared" si="190"/>
        <v>0.99999988352962044</v>
      </c>
      <c r="L957">
        <f t="shared" si="191"/>
        <v>-1.16470386345758E-7</v>
      </c>
      <c r="M957">
        <f t="shared" si="192"/>
        <v>0.63076923076923075</v>
      </c>
      <c r="N957">
        <f t="shared" si="193"/>
        <v>0.36923076923076925</v>
      </c>
      <c r="P957">
        <f t="shared" si="194"/>
        <v>318.5</v>
      </c>
      <c r="Q957">
        <f t="shared" si="195"/>
        <v>129.5</v>
      </c>
    </row>
    <row r="958" spans="1:17" x14ac:dyDescent="0.35">
      <c r="A958">
        <v>2025</v>
      </c>
      <c r="B958" s="1">
        <v>207</v>
      </c>
      <c r="C958" s="1">
        <v>39</v>
      </c>
      <c r="D958" s="12">
        <f t="shared" si="183"/>
        <v>25.875</v>
      </c>
      <c r="E958" s="27">
        <f t="shared" si="184"/>
        <v>0.51749999999999996</v>
      </c>
      <c r="F958" s="27">
        <f t="shared" si="185"/>
        <v>0.78</v>
      </c>
      <c r="G958">
        <f t="shared" si="186"/>
        <v>64.875</v>
      </c>
      <c r="H958">
        <f t="shared" si="187"/>
        <v>1</v>
      </c>
      <c r="I958">
        <f t="shared" si="188"/>
        <v>0.91286780973261505</v>
      </c>
      <c r="J958">
        <f t="shared" si="189"/>
        <v>0.94624726733173525</v>
      </c>
      <c r="K958">
        <f t="shared" si="190"/>
        <v>0.99999990915912274</v>
      </c>
      <c r="L958">
        <f t="shared" si="191"/>
        <v>-9.084088139088554E-8</v>
      </c>
      <c r="M958">
        <f t="shared" si="192"/>
        <v>0.60115606936416188</v>
      </c>
      <c r="N958">
        <f t="shared" si="193"/>
        <v>0.39884393063583817</v>
      </c>
      <c r="P958">
        <f t="shared" si="194"/>
        <v>168</v>
      </c>
      <c r="Q958">
        <f t="shared" si="195"/>
        <v>233</v>
      </c>
    </row>
    <row r="959" spans="1:17" x14ac:dyDescent="0.35">
      <c r="A959">
        <v>2025</v>
      </c>
      <c r="B959" s="1">
        <v>183</v>
      </c>
      <c r="C959" s="1">
        <v>42</v>
      </c>
      <c r="D959" s="12">
        <f t="shared" si="183"/>
        <v>22.875</v>
      </c>
      <c r="E959" s="27">
        <f t="shared" si="184"/>
        <v>0.45750000000000002</v>
      </c>
      <c r="F959" s="27">
        <f t="shared" si="185"/>
        <v>0.84</v>
      </c>
      <c r="G959">
        <f t="shared" si="186"/>
        <v>64.875</v>
      </c>
      <c r="H959">
        <f t="shared" si="187"/>
        <v>1</v>
      </c>
      <c r="I959">
        <f t="shared" si="188"/>
        <v>5.9655211552543233E-2</v>
      </c>
      <c r="J959">
        <f t="shared" si="189"/>
        <v>1.2928642825737522</v>
      </c>
      <c r="K959">
        <f t="shared" si="190"/>
        <v>0.99999983346788213</v>
      </c>
      <c r="L959">
        <f t="shared" si="191"/>
        <v>-1.6653213173990493E-7</v>
      </c>
      <c r="M959">
        <f t="shared" si="192"/>
        <v>0.64739884393063585</v>
      </c>
      <c r="N959">
        <f t="shared" si="193"/>
        <v>0.35260115606936415</v>
      </c>
      <c r="P959">
        <f t="shared" si="194"/>
        <v>465</v>
      </c>
      <c r="Q959">
        <f t="shared" si="195"/>
        <v>90.5</v>
      </c>
    </row>
    <row r="960" spans="1:17" x14ac:dyDescent="0.35">
      <c r="A960">
        <v>2025</v>
      </c>
      <c r="B960" s="1">
        <v>198</v>
      </c>
      <c r="C960" s="1">
        <v>40</v>
      </c>
      <c r="D960" s="12">
        <f t="shared" si="183"/>
        <v>24.75</v>
      </c>
      <c r="E960" s="27">
        <f t="shared" si="184"/>
        <v>0.495</v>
      </c>
      <c r="F960" s="27">
        <f t="shared" si="185"/>
        <v>0.8</v>
      </c>
      <c r="G960">
        <f t="shared" si="186"/>
        <v>64.75</v>
      </c>
      <c r="H960">
        <f t="shared" si="187"/>
        <v>1</v>
      </c>
      <c r="I960">
        <f t="shared" si="188"/>
        <v>0.59291308541508814</v>
      </c>
      <c r="J960">
        <f t="shared" si="189"/>
        <v>1.0617862724124074</v>
      </c>
      <c r="K960">
        <f t="shared" si="190"/>
        <v>0.99999987011355262</v>
      </c>
      <c r="L960">
        <f t="shared" si="191"/>
        <v>-1.2988645581057229E-7</v>
      </c>
      <c r="M960">
        <f t="shared" si="192"/>
        <v>0.61776061776061775</v>
      </c>
      <c r="N960">
        <f t="shared" si="193"/>
        <v>0.38223938223938225</v>
      </c>
      <c r="P960">
        <f t="shared" si="194"/>
        <v>251</v>
      </c>
      <c r="Q960">
        <f t="shared" si="195"/>
        <v>173</v>
      </c>
    </row>
    <row r="961" spans="1:17" x14ac:dyDescent="0.35">
      <c r="A961">
        <v>2025</v>
      </c>
      <c r="B961" s="1">
        <v>197</v>
      </c>
      <c r="C961" s="1">
        <v>40</v>
      </c>
      <c r="D961" s="12">
        <f t="shared" si="183"/>
        <v>24.625</v>
      </c>
      <c r="E961" s="27">
        <f t="shared" si="184"/>
        <v>0.49249999999999999</v>
      </c>
      <c r="F961" s="27">
        <f t="shared" si="185"/>
        <v>0.8</v>
      </c>
      <c r="G961">
        <f t="shared" si="186"/>
        <v>64.625</v>
      </c>
      <c r="H961">
        <f t="shared" si="187"/>
        <v>1</v>
      </c>
      <c r="I961">
        <f t="shared" si="188"/>
        <v>0.55736256049091848</v>
      </c>
      <c r="J961">
        <f t="shared" si="189"/>
        <v>1.0617862724124074</v>
      </c>
      <c r="K961">
        <f t="shared" si="190"/>
        <v>0.99999984825742183</v>
      </c>
      <c r="L961">
        <f t="shared" si="191"/>
        <v>-1.5174258968231768E-7</v>
      </c>
      <c r="M961">
        <f t="shared" si="192"/>
        <v>0.61895551257253389</v>
      </c>
      <c r="N961">
        <f t="shared" si="193"/>
        <v>0.38104448742746616</v>
      </c>
      <c r="P961">
        <f t="shared" si="194"/>
        <v>260</v>
      </c>
      <c r="Q961">
        <f t="shared" si="195"/>
        <v>173</v>
      </c>
    </row>
    <row r="962" spans="1:17" x14ac:dyDescent="0.35">
      <c r="A962">
        <v>2025</v>
      </c>
      <c r="B962" s="1">
        <v>170</v>
      </c>
      <c r="C962" s="1">
        <v>43</v>
      </c>
      <c r="D962" s="12">
        <f t="shared" si="183"/>
        <v>21.25</v>
      </c>
      <c r="E962" s="27">
        <f t="shared" si="184"/>
        <v>0.42499999999999999</v>
      </c>
      <c r="F962" s="27">
        <f t="shared" si="185"/>
        <v>0.86</v>
      </c>
      <c r="G962">
        <f t="shared" si="186"/>
        <v>64.25</v>
      </c>
      <c r="H962">
        <f t="shared" si="187"/>
        <v>1</v>
      </c>
      <c r="I962">
        <f t="shared" si="188"/>
        <v>-0.40250161246166233</v>
      </c>
      <c r="J962">
        <f t="shared" si="189"/>
        <v>1.4084032876544244</v>
      </c>
      <c r="K962">
        <f t="shared" si="190"/>
        <v>0.99999955643737937</v>
      </c>
      <c r="L962">
        <f t="shared" si="191"/>
        <v>-4.4356271900731476E-7</v>
      </c>
      <c r="M962">
        <f t="shared" si="192"/>
        <v>0.66926070038910501</v>
      </c>
      <c r="N962">
        <f t="shared" si="193"/>
        <v>0.33073929961089493</v>
      </c>
      <c r="P962">
        <f t="shared" si="194"/>
        <v>720</v>
      </c>
      <c r="Q962">
        <f t="shared" si="195"/>
        <v>53.5</v>
      </c>
    </row>
    <row r="963" spans="1:17" x14ac:dyDescent="0.35">
      <c r="A963">
        <v>2025</v>
      </c>
      <c r="B963" s="1">
        <v>217</v>
      </c>
      <c r="C963" s="1">
        <v>37</v>
      </c>
      <c r="D963" s="12">
        <f t="shared" ref="D963:D1026" si="196">B963/8</f>
        <v>27.125</v>
      </c>
      <c r="E963" s="27">
        <f t="shared" ref="E963:E1026" si="197">B963/400</f>
        <v>0.54249999999999998</v>
      </c>
      <c r="F963" s="27">
        <f t="shared" ref="F963:F1026" si="198">C963/50</f>
        <v>0.74</v>
      </c>
      <c r="G963">
        <f t="shared" ref="G963:G1026" si="199">SUM(C963+D963)</f>
        <v>64.125</v>
      </c>
      <c r="H963">
        <f t="shared" ref="H963:H1026" si="200">IF(G963&gt;=50,1,0)</f>
        <v>1</v>
      </c>
      <c r="I963">
        <f t="shared" ref="I963:I1026" si="201" xml:space="preserve"> (D:D - AVERAGE(D:D)) / STDEV(D:D)</f>
        <v>1.2683730589743116</v>
      </c>
      <c r="J963">
        <f t="shared" ref="J963:J1026" si="202" xml:space="preserve"> (C:C - AVERAGE(C:C)) / STDEV(C:C)</f>
        <v>0.71516925717039059</v>
      </c>
      <c r="K963">
        <f t="shared" ref="K963:K1026" si="203">1/(1+EXP(-($AD$25 +$AD$26 * I963 +$AD$27 * J963 )))</f>
        <v>0.99999984580678669</v>
      </c>
      <c r="L963">
        <f t="shared" ref="L963:L1026" si="204">IF(K963=0, -1000, IF(K963=1, -1000, H963 * LN(K963) + (1 - H963) * LN(1 - K963)))</f>
        <v>-1.5419322519644794E-7</v>
      </c>
      <c r="M963">
        <f t="shared" ref="M963:M1026" si="205">IF(G963=0, 0,  C963  / G963 )</f>
        <v>0.57699805068226118</v>
      </c>
      <c r="N963">
        <f t="shared" ref="N963:N1026" si="206">IF(G963=0, 0,  D963  / G963 )</f>
        <v>0.42300194931773877</v>
      </c>
      <c r="P963">
        <f t="shared" ref="P963:P1026" si="207">_xlfn.RANK.AVG(B963,$B$2:$B$1144)</f>
        <v>93.5</v>
      </c>
      <c r="Q963">
        <f t="shared" ref="Q963:Q1026" si="208">_xlfn.RANK.AVG(C963,$C$2:$C$1144)</f>
        <v>351</v>
      </c>
    </row>
    <row r="964" spans="1:17" x14ac:dyDescent="0.35">
      <c r="A964">
        <v>2025</v>
      </c>
      <c r="B964" s="1">
        <v>205</v>
      </c>
      <c r="C964" s="1">
        <v>38</v>
      </c>
      <c r="D964" s="12">
        <f t="shared" si="196"/>
        <v>25.625</v>
      </c>
      <c r="E964" s="27">
        <f t="shared" si="197"/>
        <v>0.51249999999999996</v>
      </c>
      <c r="F964" s="27">
        <f t="shared" si="198"/>
        <v>0.76</v>
      </c>
      <c r="G964">
        <f t="shared" si="199"/>
        <v>63.625</v>
      </c>
      <c r="H964">
        <f t="shared" si="200"/>
        <v>1</v>
      </c>
      <c r="I964">
        <f t="shared" si="201"/>
        <v>0.84176675988427574</v>
      </c>
      <c r="J964">
        <f t="shared" si="202"/>
        <v>0.83070826225106287</v>
      </c>
      <c r="K964">
        <f t="shared" si="203"/>
        <v>0.99999964845688305</v>
      </c>
      <c r="L964">
        <f t="shared" si="204"/>
        <v>-3.5154317874114443E-7</v>
      </c>
      <c r="M964">
        <f t="shared" si="205"/>
        <v>0.59724950884086447</v>
      </c>
      <c r="N964">
        <f t="shared" si="206"/>
        <v>0.40275049115913558</v>
      </c>
      <c r="P964">
        <f t="shared" si="207"/>
        <v>186</v>
      </c>
      <c r="Q964">
        <f t="shared" si="208"/>
        <v>297.5</v>
      </c>
    </row>
    <row r="965" spans="1:17" x14ac:dyDescent="0.35">
      <c r="A965">
        <v>2025</v>
      </c>
      <c r="B965" s="1">
        <v>204</v>
      </c>
      <c r="C965" s="1">
        <v>38</v>
      </c>
      <c r="D965" s="12">
        <f t="shared" si="196"/>
        <v>25.5</v>
      </c>
      <c r="E965" s="27">
        <f t="shared" si="197"/>
        <v>0.51</v>
      </c>
      <c r="F965" s="27">
        <f t="shared" si="198"/>
        <v>0.76</v>
      </c>
      <c r="G965">
        <f t="shared" si="199"/>
        <v>63.5</v>
      </c>
      <c r="H965">
        <f t="shared" si="200"/>
        <v>1</v>
      </c>
      <c r="I965">
        <f t="shared" si="201"/>
        <v>0.80621623496010608</v>
      </c>
      <c r="J965">
        <f t="shared" si="202"/>
        <v>0.83070826225106287</v>
      </c>
      <c r="K965">
        <f t="shared" si="203"/>
        <v>0.99999958930236377</v>
      </c>
      <c r="L965">
        <f t="shared" si="204"/>
        <v>-4.1069772056910141E-7</v>
      </c>
      <c r="M965">
        <f t="shared" si="205"/>
        <v>0.59842519685039375</v>
      </c>
      <c r="N965">
        <f t="shared" si="206"/>
        <v>0.40157480314960631</v>
      </c>
      <c r="P965">
        <f t="shared" si="207"/>
        <v>193.5</v>
      </c>
      <c r="Q965">
        <f t="shared" si="208"/>
        <v>297.5</v>
      </c>
    </row>
    <row r="966" spans="1:17" x14ac:dyDescent="0.35">
      <c r="A966">
        <v>2025</v>
      </c>
      <c r="B966" s="1">
        <v>179</v>
      </c>
      <c r="C966" s="1">
        <v>41</v>
      </c>
      <c r="D966" s="12">
        <f t="shared" si="196"/>
        <v>22.375</v>
      </c>
      <c r="E966" s="27">
        <f t="shared" si="197"/>
        <v>0.44750000000000001</v>
      </c>
      <c r="F966" s="27">
        <f t="shared" si="198"/>
        <v>0.82</v>
      </c>
      <c r="G966">
        <f t="shared" si="199"/>
        <v>63.375</v>
      </c>
      <c r="H966">
        <f t="shared" si="200"/>
        <v>1</v>
      </c>
      <c r="I966">
        <f t="shared" si="201"/>
        <v>-8.2546888144135397E-2</v>
      </c>
      <c r="J966">
        <f t="shared" si="202"/>
        <v>1.1773252774930798</v>
      </c>
      <c r="K966">
        <f t="shared" si="203"/>
        <v>0.99999912040581795</v>
      </c>
      <c r="L966">
        <f t="shared" si="204"/>
        <v>-8.7959456888927332E-7</v>
      </c>
      <c r="M966">
        <f t="shared" si="205"/>
        <v>0.64694280078895461</v>
      </c>
      <c r="N966">
        <f t="shared" si="206"/>
        <v>0.35305719921104539</v>
      </c>
      <c r="P966">
        <f t="shared" si="207"/>
        <v>547</v>
      </c>
      <c r="Q966">
        <f t="shared" si="208"/>
        <v>129.5</v>
      </c>
    </row>
    <row r="967" spans="1:17" x14ac:dyDescent="0.35">
      <c r="A967">
        <v>2025</v>
      </c>
      <c r="B967" s="1">
        <v>187</v>
      </c>
      <c r="C967" s="1">
        <v>40</v>
      </c>
      <c r="D967" s="12">
        <f t="shared" si="196"/>
        <v>23.375</v>
      </c>
      <c r="E967" s="27">
        <f t="shared" si="197"/>
        <v>0.46750000000000003</v>
      </c>
      <c r="F967" s="27">
        <f t="shared" si="198"/>
        <v>0.8</v>
      </c>
      <c r="G967">
        <f t="shared" si="199"/>
        <v>63.375</v>
      </c>
      <c r="H967">
        <f t="shared" si="200"/>
        <v>1</v>
      </c>
      <c r="I967">
        <f t="shared" si="201"/>
        <v>0.20185731124922185</v>
      </c>
      <c r="J967">
        <f t="shared" si="202"/>
        <v>1.0617862724124074</v>
      </c>
      <c r="K967">
        <f t="shared" si="203"/>
        <v>0.99999928130683946</v>
      </c>
      <c r="L967">
        <f t="shared" si="204"/>
        <v>-7.186934187996829E-7</v>
      </c>
      <c r="M967">
        <f t="shared" si="205"/>
        <v>0.63116370808678501</v>
      </c>
      <c r="N967">
        <f t="shared" si="206"/>
        <v>0.36883629191321499</v>
      </c>
      <c r="P967">
        <f t="shared" si="207"/>
        <v>393</v>
      </c>
      <c r="Q967">
        <f t="shared" si="208"/>
        <v>173</v>
      </c>
    </row>
    <row r="968" spans="1:17" x14ac:dyDescent="0.35">
      <c r="A968">
        <v>2025</v>
      </c>
      <c r="B968" s="1">
        <v>184</v>
      </c>
      <c r="C968" s="1">
        <v>40</v>
      </c>
      <c r="D968" s="12">
        <f t="shared" si="196"/>
        <v>23</v>
      </c>
      <c r="E968" s="27">
        <f t="shared" si="197"/>
        <v>0.46</v>
      </c>
      <c r="F968" s="27">
        <f t="shared" si="198"/>
        <v>0.8</v>
      </c>
      <c r="G968">
        <f t="shared" si="199"/>
        <v>63</v>
      </c>
      <c r="H968">
        <f t="shared" si="200"/>
        <v>1</v>
      </c>
      <c r="I968">
        <f t="shared" si="201"/>
        <v>9.5205736476712891E-2</v>
      </c>
      <c r="J968">
        <f t="shared" si="202"/>
        <v>1.0617862724124074</v>
      </c>
      <c r="K968">
        <f t="shared" si="203"/>
        <v>0.99999885402744704</v>
      </c>
      <c r="L968">
        <f t="shared" si="204"/>
        <v>-1.1459732095898295E-6</v>
      </c>
      <c r="M968">
        <f t="shared" si="205"/>
        <v>0.63492063492063489</v>
      </c>
      <c r="N968">
        <f t="shared" si="206"/>
        <v>0.36507936507936506</v>
      </c>
      <c r="P968">
        <f t="shared" si="207"/>
        <v>445</v>
      </c>
      <c r="Q968">
        <f t="shared" si="208"/>
        <v>173</v>
      </c>
    </row>
    <row r="969" spans="1:17" x14ac:dyDescent="0.35">
      <c r="A969">
        <v>2025</v>
      </c>
      <c r="B969" s="1">
        <v>263</v>
      </c>
      <c r="C969" s="1">
        <v>30</v>
      </c>
      <c r="D969" s="12">
        <f t="shared" si="196"/>
        <v>32.875</v>
      </c>
      <c r="E969" s="27">
        <f t="shared" si="197"/>
        <v>0.65749999999999997</v>
      </c>
      <c r="F969" s="27">
        <f t="shared" si="198"/>
        <v>0.6</v>
      </c>
      <c r="G969">
        <f t="shared" si="199"/>
        <v>62.875</v>
      </c>
      <c r="H969">
        <f t="shared" si="200"/>
        <v>1</v>
      </c>
      <c r="I969">
        <f t="shared" si="201"/>
        <v>2.9036972054861159</v>
      </c>
      <c r="J969">
        <f t="shared" si="202"/>
        <v>-9.3603778394315509E-2</v>
      </c>
      <c r="K969">
        <f t="shared" si="203"/>
        <v>0.99999982244651386</v>
      </c>
      <c r="L969">
        <f t="shared" si="204"/>
        <v>-1.7755350189852836E-7</v>
      </c>
      <c r="M969">
        <f t="shared" si="205"/>
        <v>0.47713717693836977</v>
      </c>
      <c r="N969">
        <f t="shared" si="206"/>
        <v>0.52286282306163023</v>
      </c>
      <c r="P969">
        <f t="shared" si="207"/>
        <v>22.5</v>
      </c>
      <c r="Q969">
        <f t="shared" si="208"/>
        <v>639</v>
      </c>
    </row>
    <row r="970" spans="1:17" x14ac:dyDescent="0.35">
      <c r="A970">
        <v>2025</v>
      </c>
      <c r="B970" s="1">
        <v>183</v>
      </c>
      <c r="C970" s="1">
        <v>40</v>
      </c>
      <c r="D970" s="12">
        <f t="shared" si="196"/>
        <v>22.875</v>
      </c>
      <c r="E970" s="27">
        <f t="shared" si="197"/>
        <v>0.45750000000000002</v>
      </c>
      <c r="F970" s="27">
        <f t="shared" si="198"/>
        <v>0.8</v>
      </c>
      <c r="G970">
        <f t="shared" si="199"/>
        <v>62.875</v>
      </c>
      <c r="H970">
        <f t="shared" si="200"/>
        <v>1</v>
      </c>
      <c r="I970">
        <f t="shared" si="201"/>
        <v>5.9655211552543233E-2</v>
      </c>
      <c r="J970">
        <f t="shared" si="202"/>
        <v>1.0617862724124074</v>
      </c>
      <c r="K970">
        <f t="shared" si="203"/>
        <v>0.99999866119365433</v>
      </c>
      <c r="L970">
        <f t="shared" si="204"/>
        <v>-1.3388072418763082E-6</v>
      </c>
      <c r="M970">
        <f t="shared" si="205"/>
        <v>0.63618290258449306</v>
      </c>
      <c r="N970">
        <f t="shared" si="206"/>
        <v>0.36381709741550694</v>
      </c>
      <c r="P970">
        <f t="shared" si="207"/>
        <v>465</v>
      </c>
      <c r="Q970">
        <f t="shared" si="208"/>
        <v>173</v>
      </c>
    </row>
    <row r="971" spans="1:17" x14ac:dyDescent="0.35">
      <c r="A971">
        <v>2025</v>
      </c>
      <c r="B971" s="1">
        <v>187</v>
      </c>
      <c r="C971" s="1">
        <v>39</v>
      </c>
      <c r="D971" s="12">
        <f t="shared" si="196"/>
        <v>23.375</v>
      </c>
      <c r="E971" s="27">
        <f t="shared" si="197"/>
        <v>0.46750000000000003</v>
      </c>
      <c r="F971" s="27">
        <f t="shared" si="198"/>
        <v>0.78</v>
      </c>
      <c r="G971">
        <f t="shared" si="199"/>
        <v>62.375</v>
      </c>
      <c r="H971">
        <f t="shared" si="200"/>
        <v>1</v>
      </c>
      <c r="I971">
        <f t="shared" si="201"/>
        <v>0.20185731124922185</v>
      </c>
      <c r="J971">
        <f t="shared" si="202"/>
        <v>0.94624726733173525</v>
      </c>
      <c r="K971">
        <f t="shared" si="203"/>
        <v>0.99999796223981674</v>
      </c>
      <c r="L971">
        <f t="shared" si="204"/>
        <v>-2.0377622594960651E-6</v>
      </c>
      <c r="M971">
        <f t="shared" si="205"/>
        <v>0.62525050100200397</v>
      </c>
      <c r="N971">
        <f t="shared" si="206"/>
        <v>0.37474949899799598</v>
      </c>
      <c r="P971">
        <f t="shared" si="207"/>
        <v>393</v>
      </c>
      <c r="Q971">
        <f t="shared" si="208"/>
        <v>233</v>
      </c>
    </row>
    <row r="972" spans="1:17" x14ac:dyDescent="0.35">
      <c r="A972">
        <v>2025</v>
      </c>
      <c r="B972" s="1">
        <v>235</v>
      </c>
      <c r="C972" s="1">
        <v>33</v>
      </c>
      <c r="D972" s="12">
        <f t="shared" si="196"/>
        <v>29.375</v>
      </c>
      <c r="E972" s="27">
        <f t="shared" si="197"/>
        <v>0.58750000000000002</v>
      </c>
      <c r="F972" s="27">
        <f t="shared" si="198"/>
        <v>0.66</v>
      </c>
      <c r="G972">
        <f t="shared" si="199"/>
        <v>62.375</v>
      </c>
      <c r="H972">
        <f t="shared" si="200"/>
        <v>1</v>
      </c>
      <c r="I972">
        <f t="shared" si="201"/>
        <v>1.9082825076093655</v>
      </c>
      <c r="J972">
        <f t="shared" si="202"/>
        <v>0.25301323684770138</v>
      </c>
      <c r="K972">
        <f t="shared" si="203"/>
        <v>0.99999939365436408</v>
      </c>
      <c r="L972">
        <f t="shared" si="204"/>
        <v>-6.0634581975046749E-7</v>
      </c>
      <c r="M972">
        <f t="shared" si="205"/>
        <v>0.5290581162324649</v>
      </c>
      <c r="N972">
        <f t="shared" si="206"/>
        <v>0.4709418837675351</v>
      </c>
      <c r="P972">
        <f t="shared" si="207"/>
        <v>52.5</v>
      </c>
      <c r="Q972">
        <f t="shared" si="208"/>
        <v>523.5</v>
      </c>
    </row>
    <row r="973" spans="1:17" x14ac:dyDescent="0.35">
      <c r="A973">
        <v>2025</v>
      </c>
      <c r="B973" s="1">
        <v>210</v>
      </c>
      <c r="C973" s="1">
        <v>36</v>
      </c>
      <c r="D973" s="12">
        <f t="shared" si="196"/>
        <v>26.25</v>
      </c>
      <c r="E973" s="27">
        <f t="shared" si="197"/>
        <v>0.52500000000000002</v>
      </c>
      <c r="F973" s="27">
        <f t="shared" si="198"/>
        <v>0.72</v>
      </c>
      <c r="G973">
        <f t="shared" si="199"/>
        <v>62.25</v>
      </c>
      <c r="H973">
        <f t="shared" si="200"/>
        <v>1</v>
      </c>
      <c r="I973">
        <f t="shared" si="201"/>
        <v>1.019519384505124</v>
      </c>
      <c r="J973">
        <f t="shared" si="202"/>
        <v>0.59963025208971832</v>
      </c>
      <c r="K973">
        <f t="shared" si="203"/>
        <v>0.99999870138533109</v>
      </c>
      <c r="L973">
        <f t="shared" si="204"/>
        <v>-1.2986155121105512E-6</v>
      </c>
      <c r="M973">
        <f t="shared" si="205"/>
        <v>0.57831325301204817</v>
      </c>
      <c r="N973">
        <f t="shared" si="206"/>
        <v>0.42168674698795183</v>
      </c>
      <c r="P973">
        <f t="shared" si="207"/>
        <v>138.5</v>
      </c>
      <c r="Q973">
        <f t="shared" si="208"/>
        <v>403.5</v>
      </c>
    </row>
    <row r="974" spans="1:17" x14ac:dyDescent="0.35">
      <c r="A974">
        <v>2025</v>
      </c>
      <c r="B974" s="1">
        <v>202</v>
      </c>
      <c r="C974" s="1">
        <v>37</v>
      </c>
      <c r="D974" s="12">
        <f t="shared" si="196"/>
        <v>25.25</v>
      </c>
      <c r="E974" s="27">
        <f t="shared" si="197"/>
        <v>0.505</v>
      </c>
      <c r="F974" s="27">
        <f t="shared" si="198"/>
        <v>0.74</v>
      </c>
      <c r="G974">
        <f t="shared" si="199"/>
        <v>62.25</v>
      </c>
      <c r="H974">
        <f t="shared" si="200"/>
        <v>1</v>
      </c>
      <c r="I974">
        <f t="shared" si="201"/>
        <v>0.73511518511176677</v>
      </c>
      <c r="J974">
        <f t="shared" si="202"/>
        <v>0.71516925717039059</v>
      </c>
      <c r="K974">
        <f t="shared" si="203"/>
        <v>0.99999841065169059</v>
      </c>
      <c r="L974">
        <f t="shared" si="204"/>
        <v>-1.5893495724207431E-6</v>
      </c>
      <c r="M974">
        <f t="shared" si="205"/>
        <v>0.59437751004016059</v>
      </c>
      <c r="N974">
        <f t="shared" si="206"/>
        <v>0.40562248995983935</v>
      </c>
      <c r="P974">
        <f t="shared" si="207"/>
        <v>211</v>
      </c>
      <c r="Q974">
        <f t="shared" si="208"/>
        <v>351</v>
      </c>
    </row>
    <row r="975" spans="1:17" x14ac:dyDescent="0.35">
      <c r="A975">
        <v>2025</v>
      </c>
      <c r="B975" s="1">
        <v>194</v>
      </c>
      <c r="C975" s="1">
        <v>38</v>
      </c>
      <c r="D975" s="12">
        <f t="shared" si="196"/>
        <v>24.25</v>
      </c>
      <c r="E975" s="27">
        <f t="shared" si="197"/>
        <v>0.48499999999999999</v>
      </c>
      <c r="F975" s="27">
        <f t="shared" si="198"/>
        <v>0.76</v>
      </c>
      <c r="G975">
        <f t="shared" si="199"/>
        <v>62.25</v>
      </c>
      <c r="H975">
        <f t="shared" si="200"/>
        <v>1</v>
      </c>
      <c r="I975">
        <f t="shared" si="201"/>
        <v>0.45071098571840945</v>
      </c>
      <c r="J975">
        <f t="shared" si="202"/>
        <v>0.83070826225106287</v>
      </c>
      <c r="K975">
        <f t="shared" si="203"/>
        <v>0.99999805482877691</v>
      </c>
      <c r="L975">
        <f t="shared" si="204"/>
        <v>-1.9451731149424522E-6</v>
      </c>
      <c r="M975">
        <f t="shared" si="205"/>
        <v>0.61044176706827313</v>
      </c>
      <c r="N975">
        <f t="shared" si="206"/>
        <v>0.38955823293172692</v>
      </c>
      <c r="P975">
        <f t="shared" si="207"/>
        <v>293.5</v>
      </c>
      <c r="Q975">
        <f t="shared" si="208"/>
        <v>297.5</v>
      </c>
    </row>
    <row r="976" spans="1:17" x14ac:dyDescent="0.35">
      <c r="A976">
        <v>2025</v>
      </c>
      <c r="B976" s="1">
        <v>249</v>
      </c>
      <c r="C976" s="1">
        <v>31</v>
      </c>
      <c r="D976" s="12">
        <f t="shared" si="196"/>
        <v>31.125</v>
      </c>
      <c r="E976" s="27">
        <f t="shared" si="197"/>
        <v>0.62250000000000005</v>
      </c>
      <c r="F976" s="27">
        <f t="shared" si="198"/>
        <v>0.62</v>
      </c>
      <c r="G976">
        <f t="shared" si="199"/>
        <v>62.125</v>
      </c>
      <c r="H976">
        <f t="shared" si="200"/>
        <v>1</v>
      </c>
      <c r="I976">
        <f t="shared" si="201"/>
        <v>2.4059898565477407</v>
      </c>
      <c r="J976">
        <f t="shared" si="202"/>
        <v>2.1935226686356796E-2</v>
      </c>
      <c r="K976">
        <f t="shared" si="203"/>
        <v>0.99999944750325087</v>
      </c>
      <c r="L976">
        <f t="shared" si="204"/>
        <v>-5.5249690175521308E-7</v>
      </c>
      <c r="M976">
        <f t="shared" si="205"/>
        <v>0.49899396378269617</v>
      </c>
      <c r="N976">
        <f t="shared" si="206"/>
        <v>0.50100603621730377</v>
      </c>
      <c r="P976">
        <f t="shared" si="207"/>
        <v>35.5</v>
      </c>
      <c r="Q976">
        <f t="shared" si="208"/>
        <v>605</v>
      </c>
    </row>
    <row r="977" spans="1:17" x14ac:dyDescent="0.35">
      <c r="A977">
        <v>2025</v>
      </c>
      <c r="B977" s="1">
        <v>177</v>
      </c>
      <c r="C977" s="1">
        <v>40</v>
      </c>
      <c r="D977" s="12">
        <f t="shared" si="196"/>
        <v>22.125</v>
      </c>
      <c r="E977" s="27">
        <f t="shared" si="197"/>
        <v>0.4425</v>
      </c>
      <c r="F977" s="27">
        <f t="shared" si="198"/>
        <v>0.8</v>
      </c>
      <c r="G977">
        <f t="shared" si="199"/>
        <v>62.125</v>
      </c>
      <c r="H977">
        <f t="shared" si="200"/>
        <v>1</v>
      </c>
      <c r="I977">
        <f t="shared" si="201"/>
        <v>-0.15364793799247473</v>
      </c>
      <c r="J977">
        <f t="shared" si="202"/>
        <v>1.0617862724124074</v>
      </c>
      <c r="K977">
        <f t="shared" si="203"/>
        <v>0.9999965960854843</v>
      </c>
      <c r="L977">
        <f t="shared" si="204"/>
        <v>-3.403920309028487E-6</v>
      </c>
      <c r="M977">
        <f t="shared" si="205"/>
        <v>0.64386317907444668</v>
      </c>
      <c r="N977">
        <f t="shared" si="206"/>
        <v>0.35613682092555332</v>
      </c>
      <c r="P977">
        <f t="shared" si="207"/>
        <v>585</v>
      </c>
      <c r="Q977">
        <f t="shared" si="208"/>
        <v>173</v>
      </c>
    </row>
    <row r="978" spans="1:17" x14ac:dyDescent="0.35">
      <c r="A978">
        <v>2025</v>
      </c>
      <c r="B978" s="1">
        <v>193</v>
      </c>
      <c r="C978" s="1">
        <v>38</v>
      </c>
      <c r="D978" s="12">
        <f t="shared" si="196"/>
        <v>24.125</v>
      </c>
      <c r="E978" s="27">
        <f t="shared" si="197"/>
        <v>0.48249999999999998</v>
      </c>
      <c r="F978" s="27">
        <f t="shared" si="198"/>
        <v>0.76</v>
      </c>
      <c r="G978">
        <f t="shared" si="199"/>
        <v>62.125</v>
      </c>
      <c r="H978">
        <f t="shared" si="200"/>
        <v>1</v>
      </c>
      <c r="I978">
        <f t="shared" si="201"/>
        <v>0.41516046079423979</v>
      </c>
      <c r="J978">
        <f t="shared" si="202"/>
        <v>0.83070826225106287</v>
      </c>
      <c r="K978">
        <f t="shared" si="203"/>
        <v>0.99999772751343807</v>
      </c>
      <c r="L978">
        <f t="shared" si="204"/>
        <v>-2.2724891440287439E-6</v>
      </c>
      <c r="M978">
        <f t="shared" si="205"/>
        <v>0.61167002012072436</v>
      </c>
      <c r="N978">
        <f t="shared" si="206"/>
        <v>0.38832997987927564</v>
      </c>
      <c r="P978">
        <f t="shared" si="207"/>
        <v>307</v>
      </c>
      <c r="Q978">
        <f t="shared" si="208"/>
        <v>297.5</v>
      </c>
    </row>
    <row r="979" spans="1:17" x14ac:dyDescent="0.35">
      <c r="A979">
        <v>2025</v>
      </c>
      <c r="B979" s="1">
        <v>168</v>
      </c>
      <c r="C979" s="1">
        <v>41</v>
      </c>
      <c r="D979" s="12">
        <f t="shared" si="196"/>
        <v>21</v>
      </c>
      <c r="E979" s="27">
        <f t="shared" si="197"/>
        <v>0.42</v>
      </c>
      <c r="F979" s="27">
        <f t="shared" si="198"/>
        <v>0.82</v>
      </c>
      <c r="G979">
        <f t="shared" si="199"/>
        <v>62</v>
      </c>
      <c r="H979">
        <f t="shared" si="200"/>
        <v>1</v>
      </c>
      <c r="I979">
        <f t="shared" si="201"/>
        <v>-0.47360266231000164</v>
      </c>
      <c r="J979">
        <f t="shared" si="202"/>
        <v>1.1773252774930798</v>
      </c>
      <c r="K979">
        <f t="shared" si="203"/>
        <v>0.99999513300897225</v>
      </c>
      <c r="L979">
        <f t="shared" si="204"/>
        <v>-4.8670028715913824E-6</v>
      </c>
      <c r="M979">
        <f t="shared" si="205"/>
        <v>0.66129032258064513</v>
      </c>
      <c r="N979">
        <f t="shared" si="206"/>
        <v>0.33870967741935482</v>
      </c>
      <c r="P979">
        <f t="shared" si="207"/>
        <v>767</v>
      </c>
      <c r="Q979">
        <f t="shared" si="208"/>
        <v>129.5</v>
      </c>
    </row>
    <row r="980" spans="1:17" x14ac:dyDescent="0.35">
      <c r="A980">
        <v>2025</v>
      </c>
      <c r="B980" s="1">
        <v>168</v>
      </c>
      <c r="C980" s="1">
        <v>41</v>
      </c>
      <c r="D980" s="12">
        <f t="shared" si="196"/>
        <v>21</v>
      </c>
      <c r="E980" s="27">
        <f t="shared" si="197"/>
        <v>0.42</v>
      </c>
      <c r="F980" s="27">
        <f t="shared" si="198"/>
        <v>0.82</v>
      </c>
      <c r="G980">
        <f t="shared" si="199"/>
        <v>62</v>
      </c>
      <c r="H980">
        <f t="shared" si="200"/>
        <v>1</v>
      </c>
      <c r="I980">
        <f t="shared" si="201"/>
        <v>-0.47360266231000164</v>
      </c>
      <c r="J980">
        <f t="shared" si="202"/>
        <v>1.1773252774930798</v>
      </c>
      <c r="K980">
        <f t="shared" si="203"/>
        <v>0.99999513300897225</v>
      </c>
      <c r="L980">
        <f t="shared" si="204"/>
        <v>-4.8670028715913824E-6</v>
      </c>
      <c r="M980">
        <f t="shared" si="205"/>
        <v>0.66129032258064513</v>
      </c>
      <c r="N980">
        <f t="shared" si="206"/>
        <v>0.33870967741935482</v>
      </c>
      <c r="P980">
        <f t="shared" si="207"/>
        <v>767</v>
      </c>
      <c r="Q980">
        <f t="shared" si="208"/>
        <v>129.5</v>
      </c>
    </row>
    <row r="981" spans="1:17" x14ac:dyDescent="0.35">
      <c r="A981">
        <v>2025</v>
      </c>
      <c r="B981" s="1">
        <v>175</v>
      </c>
      <c r="C981" s="1">
        <v>40</v>
      </c>
      <c r="D981" s="12">
        <f t="shared" si="196"/>
        <v>21.875</v>
      </c>
      <c r="E981" s="27">
        <f t="shared" si="197"/>
        <v>0.4375</v>
      </c>
      <c r="F981" s="27">
        <f t="shared" si="198"/>
        <v>0.8</v>
      </c>
      <c r="G981">
        <f t="shared" si="199"/>
        <v>61.875</v>
      </c>
      <c r="H981">
        <f t="shared" si="200"/>
        <v>1</v>
      </c>
      <c r="I981">
        <f t="shared" si="201"/>
        <v>-0.22474898784081401</v>
      </c>
      <c r="J981">
        <f t="shared" si="202"/>
        <v>1.0617862724124074</v>
      </c>
      <c r="K981">
        <f t="shared" si="203"/>
        <v>0.99999535414805663</v>
      </c>
      <c r="L981">
        <f t="shared" si="204"/>
        <v>-4.6458627353780891E-6</v>
      </c>
      <c r="M981">
        <f t="shared" si="205"/>
        <v>0.64646464646464652</v>
      </c>
      <c r="N981">
        <f t="shared" si="206"/>
        <v>0.35353535353535354</v>
      </c>
      <c r="P981">
        <f t="shared" si="207"/>
        <v>631.5</v>
      </c>
      <c r="Q981">
        <f t="shared" si="208"/>
        <v>173</v>
      </c>
    </row>
    <row r="982" spans="1:17" x14ac:dyDescent="0.35">
      <c r="A982">
        <v>2025</v>
      </c>
      <c r="B982" s="1">
        <v>175</v>
      </c>
      <c r="C982" s="1">
        <v>40</v>
      </c>
      <c r="D982" s="12">
        <f t="shared" si="196"/>
        <v>21.875</v>
      </c>
      <c r="E982" s="27">
        <f t="shared" si="197"/>
        <v>0.4375</v>
      </c>
      <c r="F982" s="27">
        <f t="shared" si="198"/>
        <v>0.8</v>
      </c>
      <c r="G982">
        <f t="shared" si="199"/>
        <v>61.875</v>
      </c>
      <c r="H982">
        <f t="shared" si="200"/>
        <v>1</v>
      </c>
      <c r="I982">
        <f t="shared" si="201"/>
        <v>-0.22474898784081401</v>
      </c>
      <c r="J982">
        <f t="shared" si="202"/>
        <v>1.0617862724124074</v>
      </c>
      <c r="K982">
        <f t="shared" si="203"/>
        <v>0.99999535414805663</v>
      </c>
      <c r="L982">
        <f t="shared" si="204"/>
        <v>-4.6458627353780891E-6</v>
      </c>
      <c r="M982">
        <f t="shared" si="205"/>
        <v>0.64646464646464652</v>
      </c>
      <c r="N982">
        <f t="shared" si="206"/>
        <v>0.35353535353535354</v>
      </c>
      <c r="P982">
        <f t="shared" si="207"/>
        <v>631.5</v>
      </c>
      <c r="Q982">
        <f t="shared" si="208"/>
        <v>173</v>
      </c>
    </row>
    <row r="983" spans="1:17" x14ac:dyDescent="0.35">
      <c r="A983">
        <v>2025</v>
      </c>
      <c r="B983" s="1">
        <v>199</v>
      </c>
      <c r="C983" s="1">
        <v>37</v>
      </c>
      <c r="D983" s="12">
        <f t="shared" si="196"/>
        <v>24.875</v>
      </c>
      <c r="E983" s="27">
        <f t="shared" si="197"/>
        <v>0.4975</v>
      </c>
      <c r="F983" s="27">
        <f t="shared" si="198"/>
        <v>0.74</v>
      </c>
      <c r="G983">
        <f t="shared" si="199"/>
        <v>61.875</v>
      </c>
      <c r="H983">
        <f t="shared" si="200"/>
        <v>1</v>
      </c>
      <c r="I983">
        <f t="shared" si="201"/>
        <v>0.62846361033925779</v>
      </c>
      <c r="J983">
        <f t="shared" si="202"/>
        <v>0.71516925717039059</v>
      </c>
      <c r="K983">
        <f t="shared" si="203"/>
        <v>0.99999746574936688</v>
      </c>
      <c r="L983">
        <f t="shared" si="204"/>
        <v>-2.5342538443424079E-6</v>
      </c>
      <c r="M983">
        <f t="shared" si="205"/>
        <v>0.59797979797979794</v>
      </c>
      <c r="N983">
        <f t="shared" si="206"/>
        <v>0.402020202020202</v>
      </c>
      <c r="P983">
        <f t="shared" si="207"/>
        <v>239</v>
      </c>
      <c r="Q983">
        <f t="shared" si="208"/>
        <v>351</v>
      </c>
    </row>
    <row r="984" spans="1:17" x14ac:dyDescent="0.35">
      <c r="A984">
        <v>2025</v>
      </c>
      <c r="B984" s="1">
        <v>182</v>
      </c>
      <c r="C984" s="1">
        <v>39</v>
      </c>
      <c r="D984" s="12">
        <f t="shared" si="196"/>
        <v>22.75</v>
      </c>
      <c r="E984" s="27">
        <f t="shared" si="197"/>
        <v>0.45500000000000002</v>
      </c>
      <c r="F984" s="27">
        <f t="shared" si="198"/>
        <v>0.78</v>
      </c>
      <c r="G984">
        <f t="shared" si="199"/>
        <v>61.75</v>
      </c>
      <c r="H984">
        <f t="shared" si="200"/>
        <v>1</v>
      </c>
      <c r="I984">
        <f t="shared" si="201"/>
        <v>2.4104686628373572E-2</v>
      </c>
      <c r="J984">
        <f t="shared" si="202"/>
        <v>0.94624726733173525</v>
      </c>
      <c r="K984">
        <f t="shared" si="203"/>
        <v>0.99999556523939748</v>
      </c>
      <c r="L984">
        <f t="shared" si="204"/>
        <v>-4.4347704361028876E-6</v>
      </c>
      <c r="M984">
        <f t="shared" si="205"/>
        <v>0.63157894736842102</v>
      </c>
      <c r="N984">
        <f t="shared" si="206"/>
        <v>0.36842105263157893</v>
      </c>
      <c r="P984">
        <f t="shared" si="207"/>
        <v>484.5</v>
      </c>
      <c r="Q984">
        <f t="shared" si="208"/>
        <v>233</v>
      </c>
    </row>
    <row r="985" spans="1:17" x14ac:dyDescent="0.35">
      <c r="A985">
        <v>2025</v>
      </c>
      <c r="B985" s="1">
        <v>211</v>
      </c>
      <c r="C985" s="1">
        <v>35</v>
      </c>
      <c r="D985" s="12">
        <f t="shared" si="196"/>
        <v>26.375</v>
      </c>
      <c r="E985" s="27">
        <f t="shared" si="197"/>
        <v>0.52749999999999997</v>
      </c>
      <c r="F985" s="27">
        <f t="shared" si="198"/>
        <v>0.7</v>
      </c>
      <c r="G985">
        <f t="shared" si="199"/>
        <v>61.375</v>
      </c>
      <c r="H985">
        <f t="shared" si="200"/>
        <v>1</v>
      </c>
      <c r="I985">
        <f t="shared" si="201"/>
        <v>1.0550699094292937</v>
      </c>
      <c r="J985">
        <f t="shared" si="202"/>
        <v>0.48409124700904599</v>
      </c>
      <c r="K985">
        <f t="shared" si="203"/>
        <v>0.99999684829179236</v>
      </c>
      <c r="L985">
        <f t="shared" si="204"/>
        <v>-3.1517131742809638E-6</v>
      </c>
      <c r="M985">
        <f t="shared" si="205"/>
        <v>0.570264765784114</v>
      </c>
      <c r="N985">
        <f t="shared" si="206"/>
        <v>0.42973523421588594</v>
      </c>
      <c r="P985">
        <f t="shared" si="207"/>
        <v>128.5</v>
      </c>
      <c r="Q985">
        <f t="shared" si="208"/>
        <v>448.5</v>
      </c>
    </row>
    <row r="986" spans="1:17" x14ac:dyDescent="0.35">
      <c r="A986">
        <v>2025</v>
      </c>
      <c r="B986" s="1">
        <v>186</v>
      </c>
      <c r="C986" s="1">
        <v>38</v>
      </c>
      <c r="D986" s="12">
        <f t="shared" si="196"/>
        <v>23.25</v>
      </c>
      <c r="E986" s="27">
        <f t="shared" si="197"/>
        <v>0.46500000000000002</v>
      </c>
      <c r="F986" s="27">
        <f t="shared" si="198"/>
        <v>0.76</v>
      </c>
      <c r="G986">
        <f t="shared" si="199"/>
        <v>61.25</v>
      </c>
      <c r="H986">
        <f t="shared" si="200"/>
        <v>1</v>
      </c>
      <c r="I986">
        <f t="shared" si="201"/>
        <v>0.16630678632505219</v>
      </c>
      <c r="J986">
        <f t="shared" si="202"/>
        <v>0.83070826225106287</v>
      </c>
      <c r="K986">
        <f t="shared" si="203"/>
        <v>0.99999324998421202</v>
      </c>
      <c r="L986">
        <f t="shared" si="204"/>
        <v>-6.75003856944093E-6</v>
      </c>
      <c r="M986">
        <f t="shared" si="205"/>
        <v>0.62040816326530612</v>
      </c>
      <c r="N986">
        <f t="shared" si="206"/>
        <v>0.37959183673469388</v>
      </c>
      <c r="P986">
        <f t="shared" si="207"/>
        <v>411.5</v>
      </c>
      <c r="Q986">
        <f t="shared" si="208"/>
        <v>297.5</v>
      </c>
    </row>
    <row r="987" spans="1:17" x14ac:dyDescent="0.35">
      <c r="A987">
        <v>2025</v>
      </c>
      <c r="B987" s="1">
        <v>226</v>
      </c>
      <c r="C987" s="1">
        <v>33</v>
      </c>
      <c r="D987" s="12">
        <f t="shared" si="196"/>
        <v>28.25</v>
      </c>
      <c r="E987" s="27">
        <f t="shared" si="197"/>
        <v>0.56499999999999995</v>
      </c>
      <c r="F987" s="27">
        <f t="shared" si="198"/>
        <v>0.66</v>
      </c>
      <c r="G987">
        <f t="shared" si="199"/>
        <v>61.25</v>
      </c>
      <c r="H987">
        <f t="shared" si="200"/>
        <v>1</v>
      </c>
      <c r="I987">
        <f t="shared" si="201"/>
        <v>1.5883277832918385</v>
      </c>
      <c r="J987">
        <f t="shared" si="202"/>
        <v>0.25301323684770138</v>
      </c>
      <c r="K987">
        <f t="shared" si="203"/>
        <v>0.99999754182882727</v>
      </c>
      <c r="L987">
        <f t="shared" si="204"/>
        <v>-2.4581741940333289E-6</v>
      </c>
      <c r="M987">
        <f t="shared" si="205"/>
        <v>0.53877551020408165</v>
      </c>
      <c r="N987">
        <f t="shared" si="206"/>
        <v>0.46122448979591835</v>
      </c>
      <c r="P987">
        <f t="shared" si="207"/>
        <v>71</v>
      </c>
      <c r="Q987">
        <f t="shared" si="208"/>
        <v>523.5</v>
      </c>
    </row>
    <row r="988" spans="1:17" x14ac:dyDescent="0.35">
      <c r="A988">
        <v>2025</v>
      </c>
      <c r="B988" s="1">
        <v>162</v>
      </c>
      <c r="C988" s="1">
        <v>41</v>
      </c>
      <c r="D988" s="12">
        <f t="shared" si="196"/>
        <v>20.25</v>
      </c>
      <c r="E988" s="27">
        <f t="shared" si="197"/>
        <v>0.40500000000000003</v>
      </c>
      <c r="F988" s="27">
        <f t="shared" si="198"/>
        <v>0.82</v>
      </c>
      <c r="G988">
        <f t="shared" si="199"/>
        <v>61.25</v>
      </c>
      <c r="H988">
        <f t="shared" si="200"/>
        <v>1</v>
      </c>
      <c r="I988">
        <f t="shared" si="201"/>
        <v>-0.68690581185501953</v>
      </c>
      <c r="J988">
        <f t="shared" si="202"/>
        <v>1.1773252774930798</v>
      </c>
      <c r="K988">
        <f t="shared" si="203"/>
        <v>0.99998762574490418</v>
      </c>
      <c r="L988">
        <f t="shared" si="204"/>
        <v>-1.2374331657541209E-5</v>
      </c>
      <c r="M988">
        <f t="shared" si="205"/>
        <v>0.66938775510204085</v>
      </c>
      <c r="N988">
        <f t="shared" si="206"/>
        <v>0.33061224489795921</v>
      </c>
      <c r="P988">
        <f t="shared" si="207"/>
        <v>876</v>
      </c>
      <c r="Q988">
        <f t="shared" si="208"/>
        <v>129.5</v>
      </c>
    </row>
    <row r="989" spans="1:17" x14ac:dyDescent="0.35">
      <c r="A989">
        <v>2025</v>
      </c>
      <c r="B989" s="1">
        <v>177</v>
      </c>
      <c r="C989" s="1">
        <v>39</v>
      </c>
      <c r="D989" s="12">
        <f t="shared" si="196"/>
        <v>22.125</v>
      </c>
      <c r="E989" s="27">
        <f t="shared" si="197"/>
        <v>0.4425</v>
      </c>
      <c r="F989" s="27">
        <f t="shared" si="198"/>
        <v>0.78</v>
      </c>
      <c r="G989">
        <f t="shared" si="199"/>
        <v>61.125</v>
      </c>
      <c r="H989">
        <f t="shared" si="200"/>
        <v>1</v>
      </c>
      <c r="I989">
        <f t="shared" si="201"/>
        <v>-0.15364793799247473</v>
      </c>
      <c r="J989">
        <f t="shared" si="202"/>
        <v>0.94624726733173525</v>
      </c>
      <c r="K989">
        <f t="shared" si="203"/>
        <v>0.99999034869445791</v>
      </c>
      <c r="L989">
        <f t="shared" si="204"/>
        <v>-9.6513521162400381E-6</v>
      </c>
      <c r="M989">
        <f t="shared" si="205"/>
        <v>0.6380368098159509</v>
      </c>
      <c r="N989">
        <f t="shared" si="206"/>
        <v>0.3619631901840491</v>
      </c>
      <c r="P989">
        <f t="shared" si="207"/>
        <v>585</v>
      </c>
      <c r="Q989">
        <f t="shared" si="208"/>
        <v>233</v>
      </c>
    </row>
    <row r="990" spans="1:17" x14ac:dyDescent="0.35">
      <c r="A990">
        <v>2025</v>
      </c>
      <c r="B990" s="1">
        <v>169</v>
      </c>
      <c r="C990" s="1">
        <v>40</v>
      </c>
      <c r="D990" s="12">
        <f t="shared" si="196"/>
        <v>21.125</v>
      </c>
      <c r="E990" s="27">
        <f t="shared" si="197"/>
        <v>0.42249999999999999</v>
      </c>
      <c r="F990" s="27">
        <f t="shared" si="198"/>
        <v>0.8</v>
      </c>
      <c r="G990">
        <f t="shared" si="199"/>
        <v>61.125</v>
      </c>
      <c r="H990">
        <f t="shared" si="200"/>
        <v>1</v>
      </c>
      <c r="I990">
        <f t="shared" si="201"/>
        <v>-0.43805213738583199</v>
      </c>
      <c r="J990">
        <f t="shared" si="202"/>
        <v>1.0617862724124074</v>
      </c>
      <c r="K990">
        <f t="shared" si="203"/>
        <v>0.99998818798383515</v>
      </c>
      <c r="L990">
        <f t="shared" si="204"/>
        <v>-1.1812085927259468E-5</v>
      </c>
      <c r="M990">
        <f t="shared" si="205"/>
        <v>0.65439672801635995</v>
      </c>
      <c r="N990">
        <f t="shared" si="206"/>
        <v>0.3456032719836401</v>
      </c>
      <c r="P990">
        <f t="shared" si="207"/>
        <v>744.5</v>
      </c>
      <c r="Q990">
        <f t="shared" si="208"/>
        <v>173</v>
      </c>
    </row>
    <row r="991" spans="1:17" x14ac:dyDescent="0.35">
      <c r="A991">
        <v>2025</v>
      </c>
      <c r="B991" s="1">
        <v>201</v>
      </c>
      <c r="C991" s="1">
        <v>36</v>
      </c>
      <c r="D991" s="12">
        <f t="shared" si="196"/>
        <v>25.125</v>
      </c>
      <c r="E991" s="27">
        <f t="shared" si="197"/>
        <v>0.50249999999999995</v>
      </c>
      <c r="F991" s="27">
        <f t="shared" si="198"/>
        <v>0.72</v>
      </c>
      <c r="G991">
        <f t="shared" si="199"/>
        <v>61.125</v>
      </c>
      <c r="H991">
        <f t="shared" si="200"/>
        <v>1</v>
      </c>
      <c r="I991">
        <f t="shared" si="201"/>
        <v>0.69956466018759711</v>
      </c>
      <c r="J991">
        <f t="shared" si="202"/>
        <v>0.59963025208971832</v>
      </c>
      <c r="K991">
        <f t="shared" si="203"/>
        <v>0.99999473532882166</v>
      </c>
      <c r="L991">
        <f t="shared" si="204"/>
        <v>-5.2646850367699005E-6</v>
      </c>
      <c r="M991">
        <f t="shared" si="205"/>
        <v>0.58895705521472397</v>
      </c>
      <c r="N991">
        <f t="shared" si="206"/>
        <v>0.41104294478527609</v>
      </c>
      <c r="P991">
        <f t="shared" si="207"/>
        <v>219.5</v>
      </c>
      <c r="Q991">
        <f t="shared" si="208"/>
        <v>403.5</v>
      </c>
    </row>
    <row r="992" spans="1:17" x14ac:dyDescent="0.35">
      <c r="A992">
        <v>2025</v>
      </c>
      <c r="B992" s="1">
        <v>161</v>
      </c>
      <c r="C992" s="1">
        <v>41</v>
      </c>
      <c r="D992" s="12">
        <f t="shared" si="196"/>
        <v>20.125</v>
      </c>
      <c r="E992" s="27">
        <f t="shared" si="197"/>
        <v>0.40250000000000002</v>
      </c>
      <c r="F992" s="27">
        <f t="shared" si="198"/>
        <v>0.82</v>
      </c>
      <c r="G992">
        <f t="shared" si="199"/>
        <v>61.125</v>
      </c>
      <c r="H992">
        <f t="shared" si="200"/>
        <v>1</v>
      </c>
      <c r="I992">
        <f t="shared" si="201"/>
        <v>-0.72245633677918919</v>
      </c>
      <c r="J992">
        <f t="shared" si="202"/>
        <v>1.1773252774930798</v>
      </c>
      <c r="K992">
        <f t="shared" si="203"/>
        <v>0.99998554354560854</v>
      </c>
      <c r="L992">
        <f t="shared" si="204"/>
        <v>-1.4456558887008801E-5</v>
      </c>
      <c r="M992">
        <f t="shared" si="205"/>
        <v>0.67075664621676889</v>
      </c>
      <c r="N992">
        <f t="shared" si="206"/>
        <v>0.32924335378323111</v>
      </c>
      <c r="P992">
        <f t="shared" si="207"/>
        <v>892.5</v>
      </c>
      <c r="Q992">
        <f t="shared" si="208"/>
        <v>129.5</v>
      </c>
    </row>
    <row r="993" spans="1:17" x14ac:dyDescent="0.35">
      <c r="A993">
        <v>2025</v>
      </c>
      <c r="B993" s="1">
        <v>207</v>
      </c>
      <c r="C993" s="1">
        <v>35</v>
      </c>
      <c r="D993" s="12">
        <f t="shared" si="196"/>
        <v>25.875</v>
      </c>
      <c r="E993" s="27">
        <f t="shared" si="197"/>
        <v>0.51749999999999996</v>
      </c>
      <c r="F993" s="27">
        <f t="shared" si="198"/>
        <v>0.7</v>
      </c>
      <c r="G993">
        <f t="shared" si="199"/>
        <v>60.875</v>
      </c>
      <c r="H993">
        <f t="shared" si="200"/>
        <v>1</v>
      </c>
      <c r="I993">
        <f t="shared" si="201"/>
        <v>0.91286780973261505</v>
      </c>
      <c r="J993">
        <f t="shared" si="202"/>
        <v>0.48409124700904599</v>
      </c>
      <c r="K993">
        <f t="shared" si="203"/>
        <v>0.99999412890184147</v>
      </c>
      <c r="L993">
        <f t="shared" si="204"/>
        <v>-5.8711153934917406E-6</v>
      </c>
      <c r="M993">
        <f t="shared" si="205"/>
        <v>0.57494866529774125</v>
      </c>
      <c r="N993">
        <f t="shared" si="206"/>
        <v>0.42505133470225875</v>
      </c>
      <c r="P993">
        <f t="shared" si="207"/>
        <v>168</v>
      </c>
      <c r="Q993">
        <f t="shared" si="208"/>
        <v>448.5</v>
      </c>
    </row>
    <row r="994" spans="1:17" x14ac:dyDescent="0.35">
      <c r="A994">
        <v>2025</v>
      </c>
      <c r="B994" s="1">
        <v>175</v>
      </c>
      <c r="C994" s="1">
        <v>39</v>
      </c>
      <c r="D994" s="12">
        <f t="shared" si="196"/>
        <v>21.875</v>
      </c>
      <c r="E994" s="27">
        <f t="shared" si="197"/>
        <v>0.4375</v>
      </c>
      <c r="F994" s="27">
        <f t="shared" si="198"/>
        <v>0.78</v>
      </c>
      <c r="G994">
        <f t="shared" si="199"/>
        <v>60.875</v>
      </c>
      <c r="H994">
        <f t="shared" si="200"/>
        <v>1</v>
      </c>
      <c r="I994">
        <f t="shared" si="201"/>
        <v>-0.22474898784081401</v>
      </c>
      <c r="J994">
        <f t="shared" si="202"/>
        <v>0.94624726733173525</v>
      </c>
      <c r="K994">
        <f t="shared" si="203"/>
        <v>0.99998682739117029</v>
      </c>
      <c r="L994">
        <f t="shared" si="204"/>
        <v>-1.3172695589288195E-5</v>
      </c>
      <c r="M994">
        <f t="shared" si="205"/>
        <v>0.64065708418891165</v>
      </c>
      <c r="N994">
        <f t="shared" si="206"/>
        <v>0.35934291581108829</v>
      </c>
      <c r="P994">
        <f t="shared" si="207"/>
        <v>631.5</v>
      </c>
      <c r="Q994">
        <f t="shared" si="208"/>
        <v>233</v>
      </c>
    </row>
    <row r="995" spans="1:17" x14ac:dyDescent="0.35">
      <c r="A995">
        <v>2025</v>
      </c>
      <c r="B995" s="1">
        <v>157</v>
      </c>
      <c r="C995" s="1">
        <v>41</v>
      </c>
      <c r="D995" s="12">
        <f t="shared" si="196"/>
        <v>19.625</v>
      </c>
      <c r="E995" s="27">
        <f t="shared" si="197"/>
        <v>0.39250000000000002</v>
      </c>
      <c r="F995" s="27">
        <f t="shared" si="198"/>
        <v>0.82</v>
      </c>
      <c r="G995">
        <f t="shared" si="199"/>
        <v>60.625</v>
      </c>
      <c r="H995">
        <f t="shared" si="200"/>
        <v>1</v>
      </c>
      <c r="I995">
        <f t="shared" si="201"/>
        <v>-0.86465843647586782</v>
      </c>
      <c r="J995">
        <f t="shared" si="202"/>
        <v>1.1773252774930798</v>
      </c>
      <c r="K995">
        <f t="shared" si="203"/>
        <v>0.99997307033859462</v>
      </c>
      <c r="L995">
        <f t="shared" si="204"/>
        <v>-2.6930024015225468E-5</v>
      </c>
      <c r="M995">
        <f t="shared" si="205"/>
        <v>0.67628865979381447</v>
      </c>
      <c r="N995">
        <f t="shared" si="206"/>
        <v>0.32371134020618558</v>
      </c>
      <c r="P995">
        <f t="shared" si="207"/>
        <v>954</v>
      </c>
      <c r="Q995">
        <f t="shared" si="208"/>
        <v>129.5</v>
      </c>
    </row>
    <row r="996" spans="1:17" x14ac:dyDescent="0.35">
      <c r="A996">
        <v>2025</v>
      </c>
      <c r="B996" s="1">
        <v>165</v>
      </c>
      <c r="C996" s="1">
        <v>40</v>
      </c>
      <c r="D996" s="12">
        <f t="shared" si="196"/>
        <v>20.625</v>
      </c>
      <c r="E996" s="27">
        <f t="shared" si="197"/>
        <v>0.41249999999999998</v>
      </c>
      <c r="F996" s="27">
        <f t="shared" si="198"/>
        <v>0.8</v>
      </c>
      <c r="G996">
        <f t="shared" si="199"/>
        <v>60.625</v>
      </c>
      <c r="H996">
        <f t="shared" si="200"/>
        <v>1</v>
      </c>
      <c r="I996">
        <f t="shared" si="201"/>
        <v>-0.58025423708251056</v>
      </c>
      <c r="J996">
        <f t="shared" si="202"/>
        <v>1.0617862724124074</v>
      </c>
      <c r="K996">
        <f t="shared" si="203"/>
        <v>0.99997799638050855</v>
      </c>
      <c r="L996">
        <f t="shared" si="204"/>
        <v>-2.2003861574637303E-5</v>
      </c>
      <c r="M996">
        <f t="shared" si="205"/>
        <v>0.65979381443298968</v>
      </c>
      <c r="N996">
        <f t="shared" si="206"/>
        <v>0.34020618556701032</v>
      </c>
      <c r="P996">
        <f t="shared" si="207"/>
        <v>826.5</v>
      </c>
      <c r="Q996">
        <f t="shared" si="208"/>
        <v>173</v>
      </c>
    </row>
    <row r="997" spans="1:17" x14ac:dyDescent="0.35">
      <c r="A997">
        <v>2025</v>
      </c>
      <c r="B997" s="1">
        <v>172</v>
      </c>
      <c r="C997" s="1">
        <v>39</v>
      </c>
      <c r="D997" s="12">
        <f t="shared" si="196"/>
        <v>21.5</v>
      </c>
      <c r="E997" s="27">
        <f t="shared" si="197"/>
        <v>0.43</v>
      </c>
      <c r="F997" s="27">
        <f t="shared" si="198"/>
        <v>0.78</v>
      </c>
      <c r="G997">
        <f t="shared" si="199"/>
        <v>60.5</v>
      </c>
      <c r="H997">
        <f t="shared" si="200"/>
        <v>1</v>
      </c>
      <c r="I997">
        <f t="shared" si="201"/>
        <v>-0.33140056261332301</v>
      </c>
      <c r="J997">
        <f t="shared" si="202"/>
        <v>0.94624726733173525</v>
      </c>
      <c r="K997">
        <f t="shared" si="203"/>
        <v>0.99997899613182173</v>
      </c>
      <c r="L997">
        <f t="shared" si="204"/>
        <v>-2.1004088762598916E-5</v>
      </c>
      <c r="M997">
        <f t="shared" si="205"/>
        <v>0.64462809917355368</v>
      </c>
      <c r="N997">
        <f t="shared" si="206"/>
        <v>0.35537190082644626</v>
      </c>
      <c r="P997">
        <f t="shared" si="207"/>
        <v>684</v>
      </c>
      <c r="Q997">
        <f t="shared" si="208"/>
        <v>233</v>
      </c>
    </row>
    <row r="998" spans="1:17" x14ac:dyDescent="0.35">
      <c r="A998">
        <v>2025</v>
      </c>
      <c r="B998" s="1">
        <v>172</v>
      </c>
      <c r="C998" s="1">
        <v>39</v>
      </c>
      <c r="D998" s="12">
        <f t="shared" si="196"/>
        <v>21.5</v>
      </c>
      <c r="E998" s="27">
        <f t="shared" si="197"/>
        <v>0.43</v>
      </c>
      <c r="F998" s="27">
        <f t="shared" si="198"/>
        <v>0.78</v>
      </c>
      <c r="G998">
        <f t="shared" si="199"/>
        <v>60.5</v>
      </c>
      <c r="H998">
        <f t="shared" si="200"/>
        <v>1</v>
      </c>
      <c r="I998">
        <f t="shared" si="201"/>
        <v>-0.33140056261332301</v>
      </c>
      <c r="J998">
        <f t="shared" si="202"/>
        <v>0.94624726733173525</v>
      </c>
      <c r="K998">
        <f t="shared" si="203"/>
        <v>0.99997899613182173</v>
      </c>
      <c r="L998">
        <f t="shared" si="204"/>
        <v>-2.1004088762598916E-5</v>
      </c>
      <c r="M998">
        <f t="shared" si="205"/>
        <v>0.64462809917355368</v>
      </c>
      <c r="N998">
        <f t="shared" si="206"/>
        <v>0.35537190082644626</v>
      </c>
      <c r="P998">
        <f t="shared" si="207"/>
        <v>684</v>
      </c>
      <c r="Q998">
        <f t="shared" si="208"/>
        <v>233</v>
      </c>
    </row>
    <row r="999" spans="1:17" x14ac:dyDescent="0.35">
      <c r="A999">
        <v>2025</v>
      </c>
      <c r="B999" s="1">
        <v>203</v>
      </c>
      <c r="C999" s="1">
        <v>35</v>
      </c>
      <c r="D999" s="12">
        <f t="shared" si="196"/>
        <v>25.375</v>
      </c>
      <c r="E999" s="27">
        <f t="shared" si="197"/>
        <v>0.50749999999999995</v>
      </c>
      <c r="F999" s="27">
        <f t="shared" si="198"/>
        <v>0.7</v>
      </c>
      <c r="G999">
        <f t="shared" si="199"/>
        <v>60.375</v>
      </c>
      <c r="H999">
        <f t="shared" si="200"/>
        <v>1</v>
      </c>
      <c r="I999">
        <f t="shared" si="201"/>
        <v>0.77066571003593642</v>
      </c>
      <c r="J999">
        <f t="shared" si="202"/>
        <v>0.48409124700904599</v>
      </c>
      <c r="K999">
        <f t="shared" si="203"/>
        <v>0.99998906316497727</v>
      </c>
      <c r="L999">
        <f t="shared" si="204"/>
        <v>-1.0936894830350798E-5</v>
      </c>
      <c r="M999">
        <f t="shared" si="205"/>
        <v>0.57971014492753625</v>
      </c>
      <c r="N999">
        <f t="shared" si="206"/>
        <v>0.42028985507246375</v>
      </c>
      <c r="P999">
        <f t="shared" si="207"/>
        <v>203</v>
      </c>
      <c r="Q999">
        <f t="shared" si="208"/>
        <v>448.5</v>
      </c>
    </row>
    <row r="1000" spans="1:17" x14ac:dyDescent="0.35">
      <c r="A1000">
        <v>2025</v>
      </c>
      <c r="B1000" s="1">
        <v>186</v>
      </c>
      <c r="C1000" s="1">
        <v>37</v>
      </c>
      <c r="D1000" s="12">
        <f t="shared" si="196"/>
        <v>23.25</v>
      </c>
      <c r="E1000" s="27">
        <f t="shared" si="197"/>
        <v>0.46500000000000002</v>
      </c>
      <c r="F1000" s="27">
        <f t="shared" si="198"/>
        <v>0.74</v>
      </c>
      <c r="G1000">
        <f t="shared" si="199"/>
        <v>60.25</v>
      </c>
      <c r="H1000">
        <f t="shared" si="200"/>
        <v>1</v>
      </c>
      <c r="I1000">
        <f t="shared" si="201"/>
        <v>0.16630678632505219</v>
      </c>
      <c r="J1000">
        <f t="shared" si="202"/>
        <v>0.71516925717039059</v>
      </c>
      <c r="K1000">
        <f t="shared" si="203"/>
        <v>0.99998086142751108</v>
      </c>
      <c r="L1000">
        <f t="shared" si="204"/>
        <v>-1.9138755633734473E-5</v>
      </c>
      <c r="M1000">
        <f t="shared" si="205"/>
        <v>0.61410788381742742</v>
      </c>
      <c r="N1000">
        <f t="shared" si="206"/>
        <v>0.38589211618257263</v>
      </c>
      <c r="P1000">
        <f t="shared" si="207"/>
        <v>411.5</v>
      </c>
      <c r="Q1000">
        <f t="shared" si="208"/>
        <v>351</v>
      </c>
    </row>
    <row r="1001" spans="1:17" x14ac:dyDescent="0.35">
      <c r="A1001">
        <v>2025</v>
      </c>
      <c r="B1001" s="1">
        <v>210</v>
      </c>
      <c r="C1001" s="1">
        <v>34</v>
      </c>
      <c r="D1001" s="12">
        <f t="shared" si="196"/>
        <v>26.25</v>
      </c>
      <c r="E1001" s="27">
        <f t="shared" si="197"/>
        <v>0.52500000000000002</v>
      </c>
      <c r="F1001" s="27">
        <f t="shared" si="198"/>
        <v>0.68</v>
      </c>
      <c r="G1001">
        <f t="shared" si="199"/>
        <v>60.25</v>
      </c>
      <c r="H1001">
        <f t="shared" si="200"/>
        <v>1</v>
      </c>
      <c r="I1001">
        <f t="shared" si="201"/>
        <v>1.019519384505124</v>
      </c>
      <c r="J1001">
        <f t="shared" si="202"/>
        <v>0.36855224192837371</v>
      </c>
      <c r="K1001">
        <f t="shared" si="203"/>
        <v>0.99998956009370721</v>
      </c>
      <c r="L1001">
        <f t="shared" si="204"/>
        <v>-1.0439960788992782E-5</v>
      </c>
      <c r="M1001">
        <f t="shared" si="205"/>
        <v>0.56431535269709543</v>
      </c>
      <c r="N1001">
        <f t="shared" si="206"/>
        <v>0.43568464730290457</v>
      </c>
      <c r="P1001">
        <f t="shared" si="207"/>
        <v>138.5</v>
      </c>
      <c r="Q1001">
        <f t="shared" si="208"/>
        <v>484.5</v>
      </c>
    </row>
    <row r="1002" spans="1:17" x14ac:dyDescent="0.35">
      <c r="A1002">
        <v>2025</v>
      </c>
      <c r="B1002" s="1">
        <v>178</v>
      </c>
      <c r="C1002" s="1">
        <v>38</v>
      </c>
      <c r="D1002" s="12">
        <f t="shared" si="196"/>
        <v>22.25</v>
      </c>
      <c r="E1002" s="27">
        <f t="shared" si="197"/>
        <v>0.44500000000000001</v>
      </c>
      <c r="F1002" s="27">
        <f t="shared" si="198"/>
        <v>0.76</v>
      </c>
      <c r="G1002">
        <f t="shared" si="199"/>
        <v>60.25</v>
      </c>
      <c r="H1002">
        <f t="shared" si="200"/>
        <v>1</v>
      </c>
      <c r="I1002">
        <f t="shared" si="201"/>
        <v>-0.11809741306830505</v>
      </c>
      <c r="J1002">
        <f t="shared" si="202"/>
        <v>0.83070826225106287</v>
      </c>
      <c r="K1002">
        <f t="shared" si="203"/>
        <v>0.99997657678057483</v>
      </c>
      <c r="L1002">
        <f t="shared" si="204"/>
        <v>-2.3423493753055009E-5</v>
      </c>
      <c r="M1002">
        <f t="shared" si="205"/>
        <v>0.63070539419087135</v>
      </c>
      <c r="N1002">
        <f t="shared" si="206"/>
        <v>0.36929460580912865</v>
      </c>
      <c r="P1002">
        <f t="shared" si="207"/>
        <v>564.5</v>
      </c>
      <c r="Q1002">
        <f t="shared" si="208"/>
        <v>297.5</v>
      </c>
    </row>
    <row r="1003" spans="1:17" x14ac:dyDescent="0.35">
      <c r="A1003">
        <v>2025</v>
      </c>
      <c r="B1003" s="1">
        <v>169</v>
      </c>
      <c r="C1003" s="1">
        <v>39</v>
      </c>
      <c r="D1003" s="12">
        <f t="shared" si="196"/>
        <v>21.125</v>
      </c>
      <c r="E1003" s="27">
        <f t="shared" si="197"/>
        <v>0.42249999999999999</v>
      </c>
      <c r="F1003" s="27">
        <f t="shared" si="198"/>
        <v>0.78</v>
      </c>
      <c r="G1003">
        <f t="shared" si="199"/>
        <v>60.125</v>
      </c>
      <c r="H1003">
        <f t="shared" si="200"/>
        <v>1</v>
      </c>
      <c r="I1003">
        <f t="shared" si="201"/>
        <v>-0.43805213738583199</v>
      </c>
      <c r="J1003">
        <f t="shared" si="202"/>
        <v>0.94624726733173525</v>
      </c>
      <c r="K1003">
        <f t="shared" si="203"/>
        <v>0.99996650925946529</v>
      </c>
      <c r="L1003">
        <f t="shared" si="204"/>
        <v>-3.3491301362086512E-5</v>
      </c>
      <c r="M1003">
        <f t="shared" si="205"/>
        <v>0.64864864864864868</v>
      </c>
      <c r="N1003">
        <f t="shared" si="206"/>
        <v>0.35135135135135137</v>
      </c>
      <c r="P1003">
        <f t="shared" si="207"/>
        <v>744.5</v>
      </c>
      <c r="Q1003">
        <f t="shared" si="208"/>
        <v>233</v>
      </c>
    </row>
    <row r="1004" spans="1:17" x14ac:dyDescent="0.35">
      <c r="A1004">
        <v>2025</v>
      </c>
      <c r="B1004" s="1">
        <v>169</v>
      </c>
      <c r="C1004" s="1">
        <v>39</v>
      </c>
      <c r="D1004" s="12">
        <f t="shared" si="196"/>
        <v>21.125</v>
      </c>
      <c r="E1004" s="27">
        <f t="shared" si="197"/>
        <v>0.42249999999999999</v>
      </c>
      <c r="F1004" s="27">
        <f t="shared" si="198"/>
        <v>0.78</v>
      </c>
      <c r="G1004">
        <f t="shared" si="199"/>
        <v>60.125</v>
      </c>
      <c r="H1004">
        <f t="shared" si="200"/>
        <v>1</v>
      </c>
      <c r="I1004">
        <f t="shared" si="201"/>
        <v>-0.43805213738583199</v>
      </c>
      <c r="J1004">
        <f t="shared" si="202"/>
        <v>0.94624726733173525</v>
      </c>
      <c r="K1004">
        <f t="shared" si="203"/>
        <v>0.99996650925946529</v>
      </c>
      <c r="L1004">
        <f t="shared" si="204"/>
        <v>-3.3491301362086512E-5</v>
      </c>
      <c r="M1004">
        <f t="shared" si="205"/>
        <v>0.64864864864864868</v>
      </c>
      <c r="N1004">
        <f t="shared" si="206"/>
        <v>0.35135135135135137</v>
      </c>
      <c r="P1004">
        <f t="shared" si="207"/>
        <v>744.5</v>
      </c>
      <c r="Q1004">
        <f t="shared" si="208"/>
        <v>233</v>
      </c>
    </row>
    <row r="1005" spans="1:17" x14ac:dyDescent="0.35">
      <c r="A1005">
        <v>2025</v>
      </c>
      <c r="B1005" s="1">
        <v>183</v>
      </c>
      <c r="C1005" s="1">
        <v>37</v>
      </c>
      <c r="D1005" s="12">
        <f t="shared" si="196"/>
        <v>22.875</v>
      </c>
      <c r="E1005" s="27">
        <f t="shared" si="197"/>
        <v>0.45750000000000002</v>
      </c>
      <c r="F1005" s="27">
        <f t="shared" si="198"/>
        <v>0.74</v>
      </c>
      <c r="G1005">
        <f t="shared" si="199"/>
        <v>59.875</v>
      </c>
      <c r="H1005">
        <f t="shared" si="200"/>
        <v>1</v>
      </c>
      <c r="I1005">
        <f t="shared" si="201"/>
        <v>5.9655211552543233E-2</v>
      </c>
      <c r="J1005">
        <f t="shared" si="202"/>
        <v>0.71516925717039059</v>
      </c>
      <c r="K1005">
        <f t="shared" si="203"/>
        <v>0.99996948344605918</v>
      </c>
      <c r="L1005">
        <f t="shared" si="204"/>
        <v>-3.051701958032347E-5</v>
      </c>
      <c r="M1005">
        <f t="shared" si="205"/>
        <v>0.6179540709812108</v>
      </c>
      <c r="N1005">
        <f t="shared" si="206"/>
        <v>0.38204592901878914</v>
      </c>
      <c r="P1005">
        <f t="shared" si="207"/>
        <v>465</v>
      </c>
      <c r="Q1005">
        <f t="shared" si="208"/>
        <v>351</v>
      </c>
    </row>
    <row r="1006" spans="1:17" x14ac:dyDescent="0.35">
      <c r="A1006">
        <v>2025</v>
      </c>
      <c r="B1006" s="1">
        <v>167</v>
      </c>
      <c r="C1006" s="1">
        <v>39</v>
      </c>
      <c r="D1006" s="12">
        <f t="shared" si="196"/>
        <v>20.875</v>
      </c>
      <c r="E1006" s="27">
        <f t="shared" si="197"/>
        <v>0.41749999999999998</v>
      </c>
      <c r="F1006" s="27">
        <f t="shared" si="198"/>
        <v>0.78</v>
      </c>
      <c r="G1006">
        <f t="shared" si="199"/>
        <v>59.875</v>
      </c>
      <c r="H1006">
        <f t="shared" si="200"/>
        <v>1</v>
      </c>
      <c r="I1006">
        <f t="shared" si="201"/>
        <v>-0.50915318723417125</v>
      </c>
      <c r="J1006">
        <f t="shared" si="202"/>
        <v>0.94624726733173525</v>
      </c>
      <c r="K1006">
        <f t="shared" si="203"/>
        <v>0.99995429047548012</v>
      </c>
      <c r="L1006">
        <f t="shared" si="204"/>
        <v>-4.5710569232028431E-5</v>
      </c>
      <c r="M1006">
        <f t="shared" si="205"/>
        <v>0.65135699373695199</v>
      </c>
      <c r="N1006">
        <f t="shared" si="206"/>
        <v>0.34864300626304801</v>
      </c>
      <c r="P1006">
        <f t="shared" si="207"/>
        <v>789.5</v>
      </c>
      <c r="Q1006">
        <f t="shared" si="208"/>
        <v>233</v>
      </c>
    </row>
    <row r="1007" spans="1:17" x14ac:dyDescent="0.35">
      <c r="A1007">
        <v>2025</v>
      </c>
      <c r="B1007" s="1">
        <v>151</v>
      </c>
      <c r="C1007" s="1">
        <v>41</v>
      </c>
      <c r="D1007" s="12">
        <f t="shared" si="196"/>
        <v>18.875</v>
      </c>
      <c r="E1007" s="27">
        <f t="shared" si="197"/>
        <v>0.3775</v>
      </c>
      <c r="F1007" s="27">
        <f t="shared" si="198"/>
        <v>0.82</v>
      </c>
      <c r="G1007">
        <f t="shared" si="199"/>
        <v>59.875</v>
      </c>
      <c r="H1007">
        <f t="shared" si="200"/>
        <v>1</v>
      </c>
      <c r="I1007">
        <f t="shared" si="201"/>
        <v>-1.0779615860208858</v>
      </c>
      <c r="J1007">
        <f t="shared" si="202"/>
        <v>1.1773252774930798</v>
      </c>
      <c r="K1007">
        <f t="shared" si="203"/>
        <v>0.99993153405094004</v>
      </c>
      <c r="L1007">
        <f t="shared" si="204"/>
        <v>-6.8468292960035133E-5</v>
      </c>
      <c r="M1007">
        <f t="shared" si="205"/>
        <v>0.68475991649269308</v>
      </c>
      <c r="N1007">
        <f t="shared" si="206"/>
        <v>0.31524008350730687</v>
      </c>
      <c r="P1007">
        <f t="shared" si="207"/>
        <v>1029</v>
      </c>
      <c r="Q1007">
        <f t="shared" si="208"/>
        <v>129.5</v>
      </c>
    </row>
    <row r="1008" spans="1:17" x14ac:dyDescent="0.35">
      <c r="A1008">
        <v>2025</v>
      </c>
      <c r="B1008" s="1">
        <v>165</v>
      </c>
      <c r="C1008" s="1">
        <v>39</v>
      </c>
      <c r="D1008" s="12">
        <f t="shared" si="196"/>
        <v>20.625</v>
      </c>
      <c r="E1008" s="27">
        <f t="shared" si="197"/>
        <v>0.41249999999999998</v>
      </c>
      <c r="F1008" s="27">
        <f t="shared" si="198"/>
        <v>0.78</v>
      </c>
      <c r="G1008">
        <f t="shared" si="199"/>
        <v>59.625</v>
      </c>
      <c r="H1008">
        <f t="shared" si="200"/>
        <v>1</v>
      </c>
      <c r="I1008">
        <f t="shared" si="201"/>
        <v>-0.58025423708251056</v>
      </c>
      <c r="J1008">
        <f t="shared" si="202"/>
        <v>0.94624726733173525</v>
      </c>
      <c r="K1008">
        <f t="shared" si="203"/>
        <v>0.99993761406036374</v>
      </c>
      <c r="L1008">
        <f t="shared" si="204"/>
        <v>-6.2387885719927236E-5</v>
      </c>
      <c r="M1008">
        <f t="shared" si="205"/>
        <v>0.65408805031446537</v>
      </c>
      <c r="N1008">
        <f t="shared" si="206"/>
        <v>0.34591194968553457</v>
      </c>
      <c r="P1008">
        <f t="shared" si="207"/>
        <v>826.5</v>
      </c>
      <c r="Q1008">
        <f t="shared" si="208"/>
        <v>233</v>
      </c>
    </row>
    <row r="1009" spans="1:17" x14ac:dyDescent="0.35">
      <c r="A1009">
        <v>2025</v>
      </c>
      <c r="B1009" s="1">
        <v>156</v>
      </c>
      <c r="C1009" s="1">
        <v>40</v>
      </c>
      <c r="D1009" s="12">
        <f t="shared" si="196"/>
        <v>19.5</v>
      </c>
      <c r="E1009" s="27">
        <f t="shared" si="197"/>
        <v>0.39</v>
      </c>
      <c r="F1009" s="27">
        <f t="shared" si="198"/>
        <v>0.8</v>
      </c>
      <c r="G1009">
        <f t="shared" si="199"/>
        <v>59.5</v>
      </c>
      <c r="H1009">
        <f t="shared" si="200"/>
        <v>1</v>
      </c>
      <c r="I1009">
        <f t="shared" si="201"/>
        <v>-0.90020896140003748</v>
      </c>
      <c r="J1009">
        <f t="shared" si="202"/>
        <v>1.0617862724124074</v>
      </c>
      <c r="K1009">
        <f t="shared" si="203"/>
        <v>0.9999108014876259</v>
      </c>
      <c r="L1009">
        <f t="shared" si="204"/>
        <v>-8.9202490797986444E-5</v>
      </c>
      <c r="M1009">
        <f t="shared" si="205"/>
        <v>0.67226890756302526</v>
      </c>
      <c r="N1009">
        <f t="shared" si="206"/>
        <v>0.32773109243697479</v>
      </c>
      <c r="P1009">
        <f t="shared" si="207"/>
        <v>968</v>
      </c>
      <c r="Q1009">
        <f t="shared" si="208"/>
        <v>173</v>
      </c>
    </row>
    <row r="1010" spans="1:17" x14ac:dyDescent="0.35">
      <c r="A1010">
        <v>2025</v>
      </c>
      <c r="B1010" s="1">
        <v>163</v>
      </c>
      <c r="C1010" s="1">
        <v>39</v>
      </c>
      <c r="D1010" s="12">
        <f t="shared" si="196"/>
        <v>20.375</v>
      </c>
      <c r="E1010" s="27">
        <f t="shared" si="197"/>
        <v>0.40749999999999997</v>
      </c>
      <c r="F1010" s="27">
        <f t="shared" si="198"/>
        <v>0.78</v>
      </c>
      <c r="G1010">
        <f t="shared" si="199"/>
        <v>59.375</v>
      </c>
      <c r="H1010">
        <f t="shared" si="200"/>
        <v>1</v>
      </c>
      <c r="I1010">
        <f t="shared" si="201"/>
        <v>-0.65135528693084987</v>
      </c>
      <c r="J1010">
        <f t="shared" si="202"/>
        <v>0.94624726733173525</v>
      </c>
      <c r="K1010">
        <f t="shared" si="203"/>
        <v>0.99991485403042846</v>
      </c>
      <c r="L1010">
        <f t="shared" si="204"/>
        <v>-8.5149594695387913E-5</v>
      </c>
      <c r="M1010">
        <f t="shared" si="205"/>
        <v>0.65684210526315789</v>
      </c>
      <c r="N1010">
        <f t="shared" si="206"/>
        <v>0.34315789473684211</v>
      </c>
      <c r="P1010">
        <f t="shared" si="207"/>
        <v>860.5</v>
      </c>
      <c r="Q1010">
        <f t="shared" si="208"/>
        <v>233</v>
      </c>
    </row>
    <row r="1011" spans="1:17" x14ac:dyDescent="0.35">
      <c r="A1011">
        <v>2025</v>
      </c>
      <c r="B1011" s="1">
        <v>163</v>
      </c>
      <c r="C1011" s="1">
        <v>39</v>
      </c>
      <c r="D1011" s="12">
        <f t="shared" si="196"/>
        <v>20.375</v>
      </c>
      <c r="E1011" s="27">
        <f t="shared" si="197"/>
        <v>0.40749999999999997</v>
      </c>
      <c r="F1011" s="27">
        <f t="shared" si="198"/>
        <v>0.78</v>
      </c>
      <c r="G1011">
        <f t="shared" si="199"/>
        <v>59.375</v>
      </c>
      <c r="H1011">
        <f t="shared" si="200"/>
        <v>1</v>
      </c>
      <c r="I1011">
        <f t="shared" si="201"/>
        <v>-0.65135528693084987</v>
      </c>
      <c r="J1011">
        <f t="shared" si="202"/>
        <v>0.94624726733173525</v>
      </c>
      <c r="K1011">
        <f t="shared" si="203"/>
        <v>0.99991485403042846</v>
      </c>
      <c r="L1011">
        <f t="shared" si="204"/>
        <v>-8.5149594695387913E-5</v>
      </c>
      <c r="M1011">
        <f t="shared" si="205"/>
        <v>0.65684210526315789</v>
      </c>
      <c r="N1011">
        <f t="shared" si="206"/>
        <v>0.34315789473684211</v>
      </c>
      <c r="P1011">
        <f t="shared" si="207"/>
        <v>860.5</v>
      </c>
      <c r="Q1011">
        <f t="shared" si="208"/>
        <v>233</v>
      </c>
    </row>
    <row r="1012" spans="1:17" x14ac:dyDescent="0.35">
      <c r="A1012">
        <v>2025</v>
      </c>
      <c r="B1012" s="1">
        <v>154</v>
      </c>
      <c r="C1012" s="1">
        <v>40</v>
      </c>
      <c r="D1012" s="12">
        <f t="shared" si="196"/>
        <v>19.25</v>
      </c>
      <c r="E1012" s="27">
        <f t="shared" si="197"/>
        <v>0.38500000000000001</v>
      </c>
      <c r="F1012" s="27">
        <f t="shared" si="198"/>
        <v>0.8</v>
      </c>
      <c r="G1012">
        <f t="shared" si="199"/>
        <v>59.25</v>
      </c>
      <c r="H1012">
        <f t="shared" si="200"/>
        <v>1</v>
      </c>
      <c r="I1012">
        <f t="shared" si="201"/>
        <v>-0.97131001124837679</v>
      </c>
      <c r="J1012">
        <f t="shared" si="202"/>
        <v>1.0617862724124074</v>
      </c>
      <c r="K1012">
        <f t="shared" si="203"/>
        <v>0.99987826071759012</v>
      </c>
      <c r="L1012">
        <f t="shared" si="204"/>
        <v>-1.2174669323778904E-4</v>
      </c>
      <c r="M1012">
        <f t="shared" si="205"/>
        <v>0.67510548523206748</v>
      </c>
      <c r="N1012">
        <f t="shared" si="206"/>
        <v>0.32489451476793246</v>
      </c>
      <c r="P1012">
        <f t="shared" si="207"/>
        <v>995.5</v>
      </c>
      <c r="Q1012">
        <f t="shared" si="208"/>
        <v>173</v>
      </c>
    </row>
    <row r="1013" spans="1:17" x14ac:dyDescent="0.35">
      <c r="A1013">
        <v>2025</v>
      </c>
      <c r="B1013" s="1">
        <v>160</v>
      </c>
      <c r="C1013" s="1">
        <v>39</v>
      </c>
      <c r="D1013" s="12">
        <f t="shared" si="196"/>
        <v>20</v>
      </c>
      <c r="E1013" s="27">
        <f t="shared" si="197"/>
        <v>0.4</v>
      </c>
      <c r="F1013" s="27">
        <f t="shared" si="198"/>
        <v>0.78</v>
      </c>
      <c r="G1013">
        <f t="shared" si="199"/>
        <v>59</v>
      </c>
      <c r="H1013">
        <f t="shared" si="200"/>
        <v>1</v>
      </c>
      <c r="I1013">
        <f t="shared" si="201"/>
        <v>-0.75800686170335885</v>
      </c>
      <c r="J1013">
        <f t="shared" si="202"/>
        <v>0.94624726733173525</v>
      </c>
      <c r="K1013">
        <f t="shared" si="203"/>
        <v>0.99986423963372417</v>
      </c>
      <c r="L1013">
        <f t="shared" si="204"/>
        <v>-1.3576958254849926E-4</v>
      </c>
      <c r="M1013">
        <f t="shared" si="205"/>
        <v>0.66101694915254239</v>
      </c>
      <c r="N1013">
        <f t="shared" si="206"/>
        <v>0.33898305084745761</v>
      </c>
      <c r="P1013">
        <f t="shared" si="207"/>
        <v>908</v>
      </c>
      <c r="Q1013">
        <f t="shared" si="208"/>
        <v>233</v>
      </c>
    </row>
    <row r="1014" spans="1:17" x14ac:dyDescent="0.35">
      <c r="A1014">
        <v>2025</v>
      </c>
      <c r="B1014" s="1">
        <v>175</v>
      </c>
      <c r="C1014" s="1">
        <v>37</v>
      </c>
      <c r="D1014" s="12">
        <f t="shared" si="196"/>
        <v>21.875</v>
      </c>
      <c r="E1014" s="27">
        <f t="shared" si="197"/>
        <v>0.4375</v>
      </c>
      <c r="F1014" s="27">
        <f t="shared" si="198"/>
        <v>0.74</v>
      </c>
      <c r="G1014">
        <f t="shared" si="199"/>
        <v>58.875</v>
      </c>
      <c r="H1014">
        <f t="shared" si="200"/>
        <v>1</v>
      </c>
      <c r="I1014">
        <f t="shared" si="201"/>
        <v>-0.22474898784081401</v>
      </c>
      <c r="J1014">
        <f t="shared" si="202"/>
        <v>0.71516925717039059</v>
      </c>
      <c r="K1014">
        <f t="shared" si="203"/>
        <v>0.99989411076935375</v>
      </c>
      <c r="L1014">
        <f t="shared" si="204"/>
        <v>-1.0589483730662689E-4</v>
      </c>
      <c r="M1014">
        <f t="shared" si="205"/>
        <v>0.6284501061571125</v>
      </c>
      <c r="N1014">
        <f t="shared" si="206"/>
        <v>0.37154989384288745</v>
      </c>
      <c r="P1014">
        <f t="shared" si="207"/>
        <v>631.5</v>
      </c>
      <c r="Q1014">
        <f t="shared" si="208"/>
        <v>351</v>
      </c>
    </row>
    <row r="1015" spans="1:17" x14ac:dyDescent="0.35">
      <c r="A1015">
        <v>2025</v>
      </c>
      <c r="B1015" s="1">
        <v>151</v>
      </c>
      <c r="C1015" s="1">
        <v>40</v>
      </c>
      <c r="D1015" s="12">
        <f t="shared" si="196"/>
        <v>18.875</v>
      </c>
      <c r="E1015" s="27">
        <f t="shared" si="197"/>
        <v>0.3775</v>
      </c>
      <c r="F1015" s="27">
        <f t="shared" si="198"/>
        <v>0.8</v>
      </c>
      <c r="G1015">
        <f t="shared" si="199"/>
        <v>58.875</v>
      </c>
      <c r="H1015">
        <f t="shared" si="200"/>
        <v>1</v>
      </c>
      <c r="I1015">
        <f t="shared" si="201"/>
        <v>-1.0779615860208858</v>
      </c>
      <c r="J1015">
        <f t="shared" si="202"/>
        <v>1.0617862724124074</v>
      </c>
      <c r="K1015">
        <f t="shared" si="203"/>
        <v>0.99980589791722607</v>
      </c>
      <c r="L1015">
        <f t="shared" si="204"/>
        <v>-1.9412092302119034E-4</v>
      </c>
      <c r="M1015">
        <f t="shared" si="205"/>
        <v>0.67940552016985134</v>
      </c>
      <c r="N1015">
        <f t="shared" si="206"/>
        <v>0.3205944798301486</v>
      </c>
      <c r="P1015">
        <f t="shared" si="207"/>
        <v>1029</v>
      </c>
      <c r="Q1015">
        <f t="shared" si="208"/>
        <v>173</v>
      </c>
    </row>
    <row r="1016" spans="1:17" x14ac:dyDescent="0.35">
      <c r="A1016">
        <v>2025</v>
      </c>
      <c r="B1016" s="1">
        <v>215</v>
      </c>
      <c r="C1016" s="1">
        <v>32</v>
      </c>
      <c r="D1016" s="12">
        <f t="shared" si="196"/>
        <v>26.875</v>
      </c>
      <c r="E1016" s="27">
        <f t="shared" si="197"/>
        <v>0.53749999999999998</v>
      </c>
      <c r="F1016" s="27">
        <f t="shared" si="198"/>
        <v>0.64</v>
      </c>
      <c r="G1016">
        <f t="shared" si="199"/>
        <v>58.875</v>
      </c>
      <c r="H1016">
        <f t="shared" si="200"/>
        <v>1</v>
      </c>
      <c r="I1016">
        <f t="shared" si="201"/>
        <v>1.1972720091259723</v>
      </c>
      <c r="J1016">
        <f t="shared" si="202"/>
        <v>0.13747423176702911</v>
      </c>
      <c r="K1016">
        <f t="shared" si="203"/>
        <v>0.99996143560677153</v>
      </c>
      <c r="L1016">
        <f t="shared" si="204"/>
        <v>-3.8565136853799405E-5</v>
      </c>
      <c r="M1016">
        <f t="shared" si="205"/>
        <v>0.54352441613588109</v>
      </c>
      <c r="N1016">
        <f t="shared" si="206"/>
        <v>0.45647558386411891</v>
      </c>
      <c r="P1016">
        <f t="shared" si="207"/>
        <v>105.5</v>
      </c>
      <c r="Q1016">
        <f t="shared" si="208"/>
        <v>564</v>
      </c>
    </row>
    <row r="1017" spans="1:17" x14ac:dyDescent="0.35">
      <c r="A1017">
        <v>2025</v>
      </c>
      <c r="B1017" s="1">
        <v>182</v>
      </c>
      <c r="C1017" s="1">
        <v>36</v>
      </c>
      <c r="D1017" s="12">
        <f t="shared" si="196"/>
        <v>22.75</v>
      </c>
      <c r="E1017" s="27">
        <f t="shared" si="197"/>
        <v>0.45500000000000002</v>
      </c>
      <c r="F1017" s="27">
        <f t="shared" si="198"/>
        <v>0.72</v>
      </c>
      <c r="G1017">
        <f t="shared" si="199"/>
        <v>58.75</v>
      </c>
      <c r="H1017">
        <f t="shared" si="200"/>
        <v>1</v>
      </c>
      <c r="I1017">
        <f t="shared" si="201"/>
        <v>2.4104686628373572E-2</v>
      </c>
      <c r="J1017">
        <f t="shared" si="202"/>
        <v>0.59963025208971832</v>
      </c>
      <c r="K1017">
        <f t="shared" si="203"/>
        <v>0.99989892154243254</v>
      </c>
      <c r="L1017">
        <f t="shared" si="204"/>
        <v>-1.0108356633901343E-4</v>
      </c>
      <c r="M1017">
        <f t="shared" si="205"/>
        <v>0.61276595744680851</v>
      </c>
      <c r="N1017">
        <f t="shared" si="206"/>
        <v>0.38723404255319149</v>
      </c>
      <c r="P1017">
        <f t="shared" si="207"/>
        <v>484.5</v>
      </c>
      <c r="Q1017">
        <f t="shared" si="208"/>
        <v>403.5</v>
      </c>
    </row>
    <row r="1018" spans="1:17" x14ac:dyDescent="0.35">
      <c r="A1018">
        <v>2025</v>
      </c>
      <c r="B1018" s="1">
        <v>181</v>
      </c>
      <c r="C1018" s="1">
        <v>36</v>
      </c>
      <c r="D1018" s="12">
        <f t="shared" si="196"/>
        <v>22.625</v>
      </c>
      <c r="E1018" s="27">
        <f t="shared" si="197"/>
        <v>0.45250000000000001</v>
      </c>
      <c r="F1018" s="27">
        <f t="shared" si="198"/>
        <v>0.72</v>
      </c>
      <c r="G1018">
        <f t="shared" si="199"/>
        <v>58.625</v>
      </c>
      <c r="H1018">
        <f t="shared" si="200"/>
        <v>1</v>
      </c>
      <c r="I1018">
        <f t="shared" si="201"/>
        <v>-1.1445838295796084E-2</v>
      </c>
      <c r="J1018">
        <f t="shared" si="202"/>
        <v>0.59963025208971832</v>
      </c>
      <c r="K1018">
        <f t="shared" si="203"/>
        <v>0.99988191496862444</v>
      </c>
      <c r="L1018">
        <f t="shared" si="204"/>
        <v>-1.1809200396178707E-4</v>
      </c>
      <c r="M1018">
        <f t="shared" si="205"/>
        <v>0.61407249466950964</v>
      </c>
      <c r="N1018">
        <f t="shared" si="206"/>
        <v>0.38592750533049042</v>
      </c>
      <c r="P1018">
        <f t="shared" si="207"/>
        <v>505</v>
      </c>
      <c r="Q1018">
        <f t="shared" si="208"/>
        <v>403.5</v>
      </c>
    </row>
    <row r="1019" spans="1:17" x14ac:dyDescent="0.35">
      <c r="A1019">
        <v>2025</v>
      </c>
      <c r="B1019" s="1">
        <v>192</v>
      </c>
      <c r="C1019" s="1">
        <v>34</v>
      </c>
      <c r="D1019" s="12">
        <f t="shared" si="196"/>
        <v>24</v>
      </c>
      <c r="E1019" s="27">
        <f t="shared" si="197"/>
        <v>0.48</v>
      </c>
      <c r="F1019" s="27">
        <f t="shared" si="198"/>
        <v>0.68</v>
      </c>
      <c r="G1019">
        <f t="shared" si="199"/>
        <v>58</v>
      </c>
      <c r="H1019">
        <f t="shared" si="200"/>
        <v>1</v>
      </c>
      <c r="I1019">
        <f t="shared" si="201"/>
        <v>0.37960993587007014</v>
      </c>
      <c r="J1019">
        <f t="shared" si="202"/>
        <v>0.36855224192837371</v>
      </c>
      <c r="K1019">
        <f t="shared" si="203"/>
        <v>0.99982844161079976</v>
      </c>
      <c r="L1019">
        <f t="shared" si="204"/>
        <v>-1.71573107024031E-4</v>
      </c>
      <c r="M1019">
        <f t="shared" si="205"/>
        <v>0.58620689655172409</v>
      </c>
      <c r="N1019">
        <f t="shared" si="206"/>
        <v>0.41379310344827586</v>
      </c>
      <c r="P1019">
        <f t="shared" si="207"/>
        <v>318.5</v>
      </c>
      <c r="Q1019">
        <f t="shared" si="208"/>
        <v>484.5</v>
      </c>
    </row>
    <row r="1020" spans="1:17" x14ac:dyDescent="0.35">
      <c r="A1020">
        <v>2025</v>
      </c>
      <c r="B1020" s="1">
        <v>141</v>
      </c>
      <c r="C1020" s="1">
        <v>40</v>
      </c>
      <c r="D1020" s="12">
        <f t="shared" si="196"/>
        <v>17.625</v>
      </c>
      <c r="E1020" s="27">
        <f t="shared" si="197"/>
        <v>0.35249999999999998</v>
      </c>
      <c r="F1020" s="27">
        <f t="shared" si="198"/>
        <v>0.8</v>
      </c>
      <c r="G1020">
        <f t="shared" si="199"/>
        <v>57.625</v>
      </c>
      <c r="H1020">
        <f t="shared" si="200"/>
        <v>1</v>
      </c>
      <c r="I1020">
        <f t="shared" si="201"/>
        <v>-1.4334668352625823</v>
      </c>
      <c r="J1020">
        <f t="shared" si="202"/>
        <v>1.0617862724124074</v>
      </c>
      <c r="K1020">
        <f t="shared" si="203"/>
        <v>0.99908134667565296</v>
      </c>
      <c r="L1020">
        <f t="shared" si="204"/>
        <v>-9.1907554491489857E-4</v>
      </c>
      <c r="M1020">
        <f t="shared" si="205"/>
        <v>0.69414316702819956</v>
      </c>
      <c r="N1020">
        <f t="shared" si="206"/>
        <v>0.30585683297180044</v>
      </c>
      <c r="P1020">
        <f t="shared" si="207"/>
        <v>1101.5</v>
      </c>
      <c r="Q1020">
        <f t="shared" si="208"/>
        <v>173</v>
      </c>
    </row>
    <row r="1021" spans="1:17" x14ac:dyDescent="0.35">
      <c r="A1021">
        <v>2025</v>
      </c>
      <c r="B1021" s="1">
        <v>147</v>
      </c>
      <c r="C1021" s="1">
        <v>39</v>
      </c>
      <c r="D1021" s="12">
        <f t="shared" si="196"/>
        <v>18.375</v>
      </c>
      <c r="E1021" s="27">
        <f t="shared" si="197"/>
        <v>0.36749999999999999</v>
      </c>
      <c r="F1021" s="27">
        <f t="shared" si="198"/>
        <v>0.78</v>
      </c>
      <c r="G1021">
        <f t="shared" si="199"/>
        <v>57.375</v>
      </c>
      <c r="H1021">
        <f t="shared" si="200"/>
        <v>1</v>
      </c>
      <c r="I1021">
        <f t="shared" si="201"/>
        <v>-1.2201636857175644</v>
      </c>
      <c r="J1021">
        <f t="shared" si="202"/>
        <v>0.94624726733173525</v>
      </c>
      <c r="K1021">
        <f t="shared" si="203"/>
        <v>0.99897563660548838</v>
      </c>
      <c r="L1021">
        <f t="shared" si="204"/>
        <v>-1.0248884132642432E-3</v>
      </c>
      <c r="M1021">
        <f t="shared" si="205"/>
        <v>0.6797385620915033</v>
      </c>
      <c r="N1021">
        <f t="shared" si="206"/>
        <v>0.3202614379084967</v>
      </c>
      <c r="P1021">
        <f t="shared" si="207"/>
        <v>1069.5</v>
      </c>
      <c r="Q1021">
        <f t="shared" si="208"/>
        <v>233</v>
      </c>
    </row>
    <row r="1022" spans="1:17" x14ac:dyDescent="0.35">
      <c r="A1022">
        <v>2025</v>
      </c>
      <c r="B1022" s="1">
        <v>163</v>
      </c>
      <c r="C1022" s="1">
        <v>37</v>
      </c>
      <c r="D1022" s="12">
        <f t="shared" si="196"/>
        <v>20.375</v>
      </c>
      <c r="E1022" s="27">
        <f t="shared" si="197"/>
        <v>0.40749999999999997</v>
      </c>
      <c r="F1022" s="27">
        <f t="shared" si="198"/>
        <v>0.74</v>
      </c>
      <c r="G1022">
        <f t="shared" si="199"/>
        <v>57.375</v>
      </c>
      <c r="H1022">
        <f t="shared" si="200"/>
        <v>1</v>
      </c>
      <c r="I1022">
        <f t="shared" si="201"/>
        <v>-0.65135528693084987</v>
      </c>
      <c r="J1022">
        <f t="shared" si="202"/>
        <v>0.71516925717039059</v>
      </c>
      <c r="K1022">
        <f t="shared" si="203"/>
        <v>0.99931589283998146</v>
      </c>
      <c r="L1022">
        <f t="shared" si="204"/>
        <v>-6.8434126809783558E-4</v>
      </c>
      <c r="M1022">
        <f t="shared" si="205"/>
        <v>0.644880174291939</v>
      </c>
      <c r="N1022">
        <f t="shared" si="206"/>
        <v>0.355119825708061</v>
      </c>
      <c r="P1022">
        <f t="shared" si="207"/>
        <v>860.5</v>
      </c>
      <c r="Q1022">
        <f t="shared" si="208"/>
        <v>351</v>
      </c>
    </row>
    <row r="1023" spans="1:17" x14ac:dyDescent="0.35">
      <c r="A1023">
        <v>2025</v>
      </c>
      <c r="B1023" s="1">
        <v>154</v>
      </c>
      <c r="C1023" s="1">
        <v>38</v>
      </c>
      <c r="D1023" s="12">
        <f t="shared" si="196"/>
        <v>19.25</v>
      </c>
      <c r="E1023" s="27">
        <f t="shared" si="197"/>
        <v>0.38500000000000001</v>
      </c>
      <c r="F1023" s="27">
        <f t="shared" si="198"/>
        <v>0.76</v>
      </c>
      <c r="G1023">
        <f t="shared" si="199"/>
        <v>57.25</v>
      </c>
      <c r="H1023">
        <f t="shared" si="200"/>
        <v>1</v>
      </c>
      <c r="I1023">
        <f t="shared" si="201"/>
        <v>-0.97131001124837679</v>
      </c>
      <c r="J1023">
        <f t="shared" si="202"/>
        <v>0.83070826225106287</v>
      </c>
      <c r="K1023">
        <f t="shared" si="203"/>
        <v>0.99902213480541824</v>
      </c>
      <c r="L1023">
        <f t="shared" si="204"/>
        <v>-9.7834361666477979E-4</v>
      </c>
      <c r="M1023">
        <f t="shared" si="205"/>
        <v>0.66375545851528384</v>
      </c>
      <c r="N1023">
        <f t="shared" si="206"/>
        <v>0.33624454148471616</v>
      </c>
      <c r="P1023">
        <f t="shared" si="207"/>
        <v>995.5</v>
      </c>
      <c r="Q1023">
        <f t="shared" si="208"/>
        <v>297.5</v>
      </c>
    </row>
    <row r="1024" spans="1:17" x14ac:dyDescent="0.35">
      <c r="A1024">
        <v>2025</v>
      </c>
      <c r="B1024" s="1">
        <v>169</v>
      </c>
      <c r="C1024" s="1">
        <v>36</v>
      </c>
      <c r="D1024" s="12">
        <f t="shared" si="196"/>
        <v>21.125</v>
      </c>
      <c r="E1024" s="27">
        <f t="shared" si="197"/>
        <v>0.42249999999999999</v>
      </c>
      <c r="F1024" s="27">
        <f t="shared" si="198"/>
        <v>0.72</v>
      </c>
      <c r="G1024">
        <f t="shared" si="199"/>
        <v>57.125</v>
      </c>
      <c r="H1024">
        <f t="shared" si="200"/>
        <v>1</v>
      </c>
      <c r="I1024">
        <f t="shared" si="201"/>
        <v>-0.43805213738583199</v>
      </c>
      <c r="J1024">
        <f t="shared" si="202"/>
        <v>0.59963025208971832</v>
      </c>
      <c r="K1024">
        <f t="shared" si="203"/>
        <v>0.99923715155059445</v>
      </c>
      <c r="L1024">
        <f t="shared" si="204"/>
        <v>-7.6313956634541753E-4</v>
      </c>
      <c r="M1024">
        <f t="shared" si="205"/>
        <v>0.63019693654266962</v>
      </c>
      <c r="N1024">
        <f t="shared" si="206"/>
        <v>0.36980306345733044</v>
      </c>
      <c r="P1024">
        <f t="shared" si="207"/>
        <v>744.5</v>
      </c>
      <c r="Q1024">
        <f t="shared" si="208"/>
        <v>403.5</v>
      </c>
    </row>
    <row r="1025" spans="1:17" x14ac:dyDescent="0.35">
      <c r="A1025">
        <v>2025</v>
      </c>
      <c r="B1025" s="1">
        <v>185</v>
      </c>
      <c r="C1025" s="1">
        <v>34</v>
      </c>
      <c r="D1025" s="12">
        <f t="shared" si="196"/>
        <v>23.125</v>
      </c>
      <c r="E1025" s="27">
        <f t="shared" si="197"/>
        <v>0.46250000000000002</v>
      </c>
      <c r="F1025" s="27">
        <f t="shared" si="198"/>
        <v>0.68</v>
      </c>
      <c r="G1025">
        <f t="shared" si="199"/>
        <v>57.125</v>
      </c>
      <c r="H1025">
        <f t="shared" si="200"/>
        <v>1</v>
      </c>
      <c r="I1025">
        <f t="shared" si="201"/>
        <v>0.13075626140088253</v>
      </c>
      <c r="J1025">
        <f t="shared" si="202"/>
        <v>0.36855224192837371</v>
      </c>
      <c r="K1025">
        <f t="shared" si="203"/>
        <v>0.99949058633501586</v>
      </c>
      <c r="L1025">
        <f t="shared" si="204"/>
        <v>-5.0954346020668547E-4</v>
      </c>
      <c r="M1025">
        <f t="shared" si="205"/>
        <v>0.59518599562363239</v>
      </c>
      <c r="N1025">
        <f t="shared" si="206"/>
        <v>0.40481400437636761</v>
      </c>
      <c r="P1025">
        <f t="shared" si="207"/>
        <v>428.5</v>
      </c>
      <c r="Q1025">
        <f t="shared" si="208"/>
        <v>484.5</v>
      </c>
    </row>
    <row r="1026" spans="1:17" x14ac:dyDescent="0.35">
      <c r="A1026">
        <v>2025</v>
      </c>
      <c r="B1026" s="1">
        <v>161</v>
      </c>
      <c r="C1026" s="1">
        <v>37</v>
      </c>
      <c r="D1026" s="12">
        <f t="shared" si="196"/>
        <v>20.125</v>
      </c>
      <c r="E1026" s="27">
        <f t="shared" si="197"/>
        <v>0.40250000000000002</v>
      </c>
      <c r="F1026" s="27">
        <f t="shared" si="198"/>
        <v>0.74</v>
      </c>
      <c r="G1026">
        <f t="shared" si="199"/>
        <v>57.125</v>
      </c>
      <c r="H1026">
        <f t="shared" si="200"/>
        <v>1</v>
      </c>
      <c r="I1026">
        <f t="shared" si="201"/>
        <v>-0.72245633677918919</v>
      </c>
      <c r="J1026">
        <f t="shared" si="202"/>
        <v>0.71516925717039059</v>
      </c>
      <c r="K1026">
        <f t="shared" si="203"/>
        <v>0.99906652431785736</v>
      </c>
      <c r="L1026">
        <f t="shared" si="204"/>
        <v>-9.3391164189354542E-4</v>
      </c>
      <c r="M1026">
        <f t="shared" si="205"/>
        <v>0.64770240700218817</v>
      </c>
      <c r="N1026">
        <f t="shared" si="206"/>
        <v>0.35229759299781183</v>
      </c>
      <c r="P1026">
        <f t="shared" si="207"/>
        <v>892.5</v>
      </c>
      <c r="Q1026">
        <f t="shared" si="208"/>
        <v>351</v>
      </c>
    </row>
    <row r="1027" spans="1:17" x14ac:dyDescent="0.35">
      <c r="A1027">
        <v>2025</v>
      </c>
      <c r="B1027" s="1">
        <v>161</v>
      </c>
      <c r="C1027" s="1">
        <v>37</v>
      </c>
      <c r="D1027" s="12">
        <f t="shared" ref="D1027:D1090" si="209">B1027/8</f>
        <v>20.125</v>
      </c>
      <c r="E1027" s="27">
        <f t="shared" ref="E1027:E1090" si="210">B1027/400</f>
        <v>0.40250000000000002</v>
      </c>
      <c r="F1027" s="27">
        <f t="shared" ref="F1027:F1090" si="211">C1027/50</f>
        <v>0.74</v>
      </c>
      <c r="G1027">
        <f t="shared" ref="G1027:G1090" si="212">SUM(C1027+D1027)</f>
        <v>57.125</v>
      </c>
      <c r="H1027">
        <f t="shared" ref="H1027:H1090" si="213">IF(G1027&gt;=50,1,0)</f>
        <v>1</v>
      </c>
      <c r="I1027">
        <f t="shared" ref="I1027:I1090" si="214" xml:space="preserve"> (D:D - AVERAGE(D:D)) / STDEV(D:D)</f>
        <v>-0.72245633677918919</v>
      </c>
      <c r="J1027">
        <f t="shared" ref="J1027:J1090" si="215" xml:space="preserve"> (C:C - AVERAGE(C:C)) / STDEV(C:C)</f>
        <v>0.71516925717039059</v>
      </c>
      <c r="K1027">
        <f t="shared" ref="K1027:K1090" si="216">1/(1+EXP(-($AD$25 +$AD$26 * I1027 +$AD$27 * J1027 )))</f>
        <v>0.99906652431785736</v>
      </c>
      <c r="L1027">
        <f t="shared" ref="L1027:L1090" si="217">IF(K1027=0, -1000, IF(K1027=1, -1000, H1027 * LN(K1027) + (1 - H1027) * LN(1 - K1027)))</f>
        <v>-9.3391164189354542E-4</v>
      </c>
      <c r="M1027">
        <f t="shared" ref="M1027:M1090" si="218">IF(G1027=0, 0,  C1027  / G1027 )</f>
        <v>0.64770240700218817</v>
      </c>
      <c r="N1027">
        <f t="shared" ref="N1027:N1090" si="219">IF(G1027=0, 0,  D1027  / G1027 )</f>
        <v>0.35229759299781183</v>
      </c>
      <c r="P1027">
        <f t="shared" ref="P1027:P1090" si="220">_xlfn.RANK.AVG(B1027,$B$2:$B$1144)</f>
        <v>892.5</v>
      </c>
      <c r="Q1027">
        <f t="shared" ref="Q1027:Q1090" si="221">_xlfn.RANK.AVG(C1027,$C$2:$C$1144)</f>
        <v>351</v>
      </c>
    </row>
    <row r="1028" spans="1:17" x14ac:dyDescent="0.35">
      <c r="A1028">
        <v>2025</v>
      </c>
      <c r="B1028" s="1">
        <v>184</v>
      </c>
      <c r="C1028" s="1">
        <v>34</v>
      </c>
      <c r="D1028" s="12">
        <f t="shared" si="209"/>
        <v>23</v>
      </c>
      <c r="E1028" s="27">
        <f t="shared" si="210"/>
        <v>0.46</v>
      </c>
      <c r="F1028" s="27">
        <f t="shared" si="211"/>
        <v>0.68</v>
      </c>
      <c r="G1028">
        <f t="shared" si="212"/>
        <v>57</v>
      </c>
      <c r="H1028">
        <f t="shared" si="213"/>
        <v>1</v>
      </c>
      <c r="I1028">
        <f t="shared" si="214"/>
        <v>9.5205736476712891E-2</v>
      </c>
      <c r="J1028">
        <f t="shared" si="215"/>
        <v>0.36855224192837371</v>
      </c>
      <c r="K1028">
        <f t="shared" si="216"/>
        <v>0.99940491775237172</v>
      </c>
      <c r="L1028">
        <f t="shared" si="217"/>
        <v>-5.9525937934444269E-4</v>
      </c>
      <c r="M1028">
        <f t="shared" si="218"/>
        <v>0.59649122807017541</v>
      </c>
      <c r="N1028">
        <f t="shared" si="219"/>
        <v>0.40350877192982454</v>
      </c>
      <c r="P1028">
        <f t="shared" si="220"/>
        <v>445</v>
      </c>
      <c r="Q1028">
        <f t="shared" si="221"/>
        <v>484.5</v>
      </c>
    </row>
    <row r="1029" spans="1:17" x14ac:dyDescent="0.35">
      <c r="A1029">
        <v>2025</v>
      </c>
      <c r="B1029" s="1">
        <v>176</v>
      </c>
      <c r="C1029" s="1">
        <v>35</v>
      </c>
      <c r="D1029" s="12">
        <f t="shared" si="209"/>
        <v>22</v>
      </c>
      <c r="E1029" s="27">
        <f t="shared" si="210"/>
        <v>0.44</v>
      </c>
      <c r="F1029" s="27">
        <f t="shared" si="211"/>
        <v>0.7</v>
      </c>
      <c r="G1029">
        <f t="shared" si="212"/>
        <v>57</v>
      </c>
      <c r="H1029">
        <f t="shared" si="213"/>
        <v>1</v>
      </c>
      <c r="I1029">
        <f t="shared" si="214"/>
        <v>-0.18919846291664436</v>
      </c>
      <c r="J1029">
        <f t="shared" si="215"/>
        <v>0.48409124700904599</v>
      </c>
      <c r="K1029">
        <f t="shared" si="216"/>
        <v>0.99927178764168312</v>
      </c>
      <c r="L1029">
        <f t="shared" si="217"/>
        <v>-7.2847763372865847E-4</v>
      </c>
      <c r="M1029">
        <f t="shared" si="218"/>
        <v>0.61403508771929827</v>
      </c>
      <c r="N1029">
        <f t="shared" si="219"/>
        <v>0.38596491228070173</v>
      </c>
      <c r="P1029">
        <f t="shared" si="220"/>
        <v>607.5</v>
      </c>
      <c r="Q1029">
        <f t="shared" si="221"/>
        <v>448.5</v>
      </c>
    </row>
    <row r="1030" spans="1:17" x14ac:dyDescent="0.35">
      <c r="A1030">
        <v>2025</v>
      </c>
      <c r="B1030" s="1">
        <v>199</v>
      </c>
      <c r="C1030" s="1">
        <v>32</v>
      </c>
      <c r="D1030" s="12">
        <f t="shared" si="209"/>
        <v>24.875</v>
      </c>
      <c r="E1030" s="27">
        <f t="shared" si="210"/>
        <v>0.4975</v>
      </c>
      <c r="F1030" s="27">
        <f t="shared" si="211"/>
        <v>0.64</v>
      </c>
      <c r="G1030">
        <f t="shared" si="212"/>
        <v>56.875</v>
      </c>
      <c r="H1030">
        <f t="shared" si="213"/>
        <v>1</v>
      </c>
      <c r="I1030">
        <f t="shared" si="214"/>
        <v>0.62846361033925779</v>
      </c>
      <c r="J1030">
        <f t="shared" si="215"/>
        <v>0.13747423176702911</v>
      </c>
      <c r="K1030">
        <f t="shared" si="216"/>
        <v>0.99953580582517088</v>
      </c>
      <c r="L1030">
        <f t="shared" si="217"/>
        <v>-4.6430194629764617E-4</v>
      </c>
      <c r="M1030">
        <f t="shared" si="218"/>
        <v>0.56263736263736264</v>
      </c>
      <c r="N1030">
        <f t="shared" si="219"/>
        <v>0.43736263736263736</v>
      </c>
      <c r="P1030">
        <f t="shared" si="220"/>
        <v>239</v>
      </c>
      <c r="Q1030">
        <f t="shared" si="221"/>
        <v>564</v>
      </c>
    </row>
    <row r="1031" spans="1:17" x14ac:dyDescent="0.35">
      <c r="A1031">
        <v>2025</v>
      </c>
      <c r="B1031" s="1">
        <v>175</v>
      </c>
      <c r="C1031" s="1">
        <v>35</v>
      </c>
      <c r="D1031" s="12">
        <f t="shared" si="209"/>
        <v>21.875</v>
      </c>
      <c r="E1031" s="27">
        <f t="shared" si="210"/>
        <v>0.4375</v>
      </c>
      <c r="F1031" s="27">
        <f t="shared" si="211"/>
        <v>0.7</v>
      </c>
      <c r="G1031">
        <f t="shared" si="212"/>
        <v>56.875</v>
      </c>
      <c r="H1031">
        <f t="shared" si="213"/>
        <v>1</v>
      </c>
      <c r="I1031">
        <f t="shared" si="214"/>
        <v>-0.22474898784081401</v>
      </c>
      <c r="J1031">
        <f t="shared" si="215"/>
        <v>0.48409124700904599</v>
      </c>
      <c r="K1031">
        <f t="shared" si="216"/>
        <v>0.99914935478972089</v>
      </c>
      <c r="L1031">
        <f t="shared" si="217"/>
        <v>-8.5100721422183513E-4</v>
      </c>
      <c r="M1031">
        <f t="shared" si="218"/>
        <v>0.61538461538461542</v>
      </c>
      <c r="N1031">
        <f t="shared" si="219"/>
        <v>0.38461538461538464</v>
      </c>
      <c r="P1031">
        <f t="shared" si="220"/>
        <v>631.5</v>
      </c>
      <c r="Q1031">
        <f t="shared" si="221"/>
        <v>448.5</v>
      </c>
    </row>
    <row r="1032" spans="1:17" x14ac:dyDescent="0.35">
      <c r="A1032">
        <v>2025</v>
      </c>
      <c r="B1032" s="1">
        <v>140</v>
      </c>
      <c r="C1032" s="1">
        <v>39</v>
      </c>
      <c r="D1032" s="12">
        <f t="shared" si="209"/>
        <v>17.5</v>
      </c>
      <c r="E1032" s="27">
        <f t="shared" si="210"/>
        <v>0.35</v>
      </c>
      <c r="F1032" s="27">
        <f t="shared" si="211"/>
        <v>0.78</v>
      </c>
      <c r="G1032">
        <f t="shared" si="212"/>
        <v>56.5</v>
      </c>
      <c r="H1032">
        <f t="shared" si="213"/>
        <v>1</v>
      </c>
      <c r="I1032">
        <f t="shared" si="214"/>
        <v>-1.469017360186752</v>
      </c>
      <c r="J1032">
        <f t="shared" si="215"/>
        <v>0.94624726733173525</v>
      </c>
      <c r="K1032">
        <f t="shared" si="216"/>
        <v>0.9969634265531675</v>
      </c>
      <c r="L1032">
        <f t="shared" si="217"/>
        <v>-3.0411931904791409E-3</v>
      </c>
      <c r="M1032">
        <f t="shared" si="218"/>
        <v>0.69026548672566368</v>
      </c>
      <c r="N1032">
        <f t="shared" si="219"/>
        <v>0.30973451327433627</v>
      </c>
      <c r="P1032">
        <f t="shared" si="220"/>
        <v>1106.5</v>
      </c>
      <c r="Q1032">
        <f t="shared" si="221"/>
        <v>233</v>
      </c>
    </row>
    <row r="1033" spans="1:17" x14ac:dyDescent="0.35">
      <c r="A1033">
        <v>2025</v>
      </c>
      <c r="B1033" s="1">
        <v>164</v>
      </c>
      <c r="C1033" s="1">
        <v>36</v>
      </c>
      <c r="D1033" s="12">
        <f t="shared" si="209"/>
        <v>20.5</v>
      </c>
      <c r="E1033" s="27">
        <f t="shared" si="210"/>
        <v>0.41</v>
      </c>
      <c r="F1033" s="27">
        <f t="shared" si="211"/>
        <v>0.72</v>
      </c>
      <c r="G1033">
        <f t="shared" si="212"/>
        <v>56.5</v>
      </c>
      <c r="H1033">
        <f t="shared" si="213"/>
        <v>1</v>
      </c>
      <c r="I1033">
        <f t="shared" si="214"/>
        <v>-0.61580476200668022</v>
      </c>
      <c r="J1033">
        <f t="shared" si="215"/>
        <v>0.59963025208971832</v>
      </c>
      <c r="K1033">
        <f t="shared" si="216"/>
        <v>0.99834130366916274</v>
      </c>
      <c r="L1033">
        <f t="shared" si="217"/>
        <v>-1.6600734906668823E-3</v>
      </c>
      <c r="M1033">
        <f t="shared" si="218"/>
        <v>0.63716814159292035</v>
      </c>
      <c r="N1033">
        <f t="shared" si="219"/>
        <v>0.36283185840707965</v>
      </c>
      <c r="P1033">
        <f t="shared" si="220"/>
        <v>844.5</v>
      </c>
      <c r="Q1033">
        <f t="shared" si="221"/>
        <v>403.5</v>
      </c>
    </row>
    <row r="1034" spans="1:17" x14ac:dyDescent="0.35">
      <c r="A1034">
        <v>2025</v>
      </c>
      <c r="B1034" s="1">
        <v>170</v>
      </c>
      <c r="C1034" s="1">
        <v>35</v>
      </c>
      <c r="D1034" s="12">
        <f t="shared" si="209"/>
        <v>21.25</v>
      </c>
      <c r="E1034" s="27">
        <f t="shared" si="210"/>
        <v>0.42499999999999999</v>
      </c>
      <c r="F1034" s="27">
        <f t="shared" si="211"/>
        <v>0.7</v>
      </c>
      <c r="G1034">
        <f t="shared" si="212"/>
        <v>56.25</v>
      </c>
      <c r="H1034">
        <f t="shared" si="213"/>
        <v>1</v>
      </c>
      <c r="I1034">
        <f t="shared" si="214"/>
        <v>-0.40250161246166233</v>
      </c>
      <c r="J1034">
        <f t="shared" si="215"/>
        <v>0.48409124700904599</v>
      </c>
      <c r="K1034">
        <f t="shared" si="216"/>
        <v>0.99815059397617012</v>
      </c>
      <c r="L1034">
        <f t="shared" si="217"/>
        <v>-1.8511182865887565E-3</v>
      </c>
      <c r="M1034">
        <f t="shared" si="218"/>
        <v>0.62222222222222223</v>
      </c>
      <c r="N1034">
        <f t="shared" si="219"/>
        <v>0.37777777777777777</v>
      </c>
      <c r="P1034">
        <f t="shared" si="220"/>
        <v>720</v>
      </c>
      <c r="Q1034">
        <f t="shared" si="221"/>
        <v>448.5</v>
      </c>
    </row>
    <row r="1035" spans="1:17" x14ac:dyDescent="0.35">
      <c r="A1035">
        <v>2025</v>
      </c>
      <c r="B1035" s="1">
        <v>177</v>
      </c>
      <c r="C1035" s="1">
        <v>34</v>
      </c>
      <c r="D1035" s="12">
        <f t="shared" si="209"/>
        <v>22.125</v>
      </c>
      <c r="E1035" s="27">
        <f t="shared" si="210"/>
        <v>0.4425</v>
      </c>
      <c r="F1035" s="27">
        <f t="shared" si="211"/>
        <v>0.68</v>
      </c>
      <c r="G1035">
        <f t="shared" si="212"/>
        <v>56.125</v>
      </c>
      <c r="H1035">
        <f t="shared" si="213"/>
        <v>1</v>
      </c>
      <c r="I1035">
        <f t="shared" si="214"/>
        <v>-0.15364793799247473</v>
      </c>
      <c r="J1035">
        <f t="shared" si="215"/>
        <v>0.36855224192837371</v>
      </c>
      <c r="K1035">
        <f t="shared" si="216"/>
        <v>0.99823447656245246</v>
      </c>
      <c r="L1035">
        <f t="shared" si="217"/>
        <v>-1.7670838109060992E-3</v>
      </c>
      <c r="M1035">
        <f t="shared" si="218"/>
        <v>0.60579064587973275</v>
      </c>
      <c r="N1035">
        <f t="shared" si="219"/>
        <v>0.39420935412026725</v>
      </c>
      <c r="P1035">
        <f t="shared" si="220"/>
        <v>585</v>
      </c>
      <c r="Q1035">
        <f t="shared" si="221"/>
        <v>484.5</v>
      </c>
    </row>
    <row r="1036" spans="1:17" x14ac:dyDescent="0.35">
      <c r="A1036">
        <v>2025</v>
      </c>
      <c r="B1036" s="1">
        <v>177</v>
      </c>
      <c r="C1036" s="1">
        <v>34</v>
      </c>
      <c r="D1036" s="12">
        <f t="shared" si="209"/>
        <v>22.125</v>
      </c>
      <c r="E1036" s="27">
        <f t="shared" si="210"/>
        <v>0.4425</v>
      </c>
      <c r="F1036" s="27">
        <f t="shared" si="211"/>
        <v>0.68</v>
      </c>
      <c r="G1036">
        <f t="shared" si="212"/>
        <v>56.125</v>
      </c>
      <c r="H1036">
        <f t="shared" si="213"/>
        <v>1</v>
      </c>
      <c r="I1036">
        <f t="shared" si="214"/>
        <v>-0.15364793799247473</v>
      </c>
      <c r="J1036">
        <f t="shared" si="215"/>
        <v>0.36855224192837371</v>
      </c>
      <c r="K1036">
        <f t="shared" si="216"/>
        <v>0.99823447656245246</v>
      </c>
      <c r="L1036">
        <f t="shared" si="217"/>
        <v>-1.7670838109060992E-3</v>
      </c>
      <c r="M1036">
        <f t="shared" si="218"/>
        <v>0.60579064587973275</v>
      </c>
      <c r="N1036">
        <f t="shared" si="219"/>
        <v>0.39420935412026725</v>
      </c>
      <c r="P1036">
        <f t="shared" si="220"/>
        <v>585</v>
      </c>
      <c r="Q1036">
        <f t="shared" si="221"/>
        <v>484.5</v>
      </c>
    </row>
    <row r="1037" spans="1:17" x14ac:dyDescent="0.35">
      <c r="A1037">
        <v>2025</v>
      </c>
      <c r="B1037" s="1">
        <v>175</v>
      </c>
      <c r="C1037" s="1">
        <v>34</v>
      </c>
      <c r="D1037" s="12">
        <f t="shared" si="209"/>
        <v>21.875</v>
      </c>
      <c r="E1037" s="27">
        <f t="shared" si="210"/>
        <v>0.4375</v>
      </c>
      <c r="F1037" s="27">
        <f t="shared" si="211"/>
        <v>0.68</v>
      </c>
      <c r="G1037">
        <f t="shared" si="212"/>
        <v>55.875</v>
      </c>
      <c r="H1037">
        <f t="shared" si="213"/>
        <v>1</v>
      </c>
      <c r="I1037">
        <f t="shared" si="214"/>
        <v>-0.22474898784081401</v>
      </c>
      <c r="J1037">
        <f t="shared" si="215"/>
        <v>0.36855224192837371</v>
      </c>
      <c r="K1037">
        <f t="shared" si="216"/>
        <v>0.99759186361152363</v>
      </c>
      <c r="L1037">
        <f t="shared" si="217"/>
        <v>-2.4110406123574587E-3</v>
      </c>
      <c r="M1037">
        <f t="shared" si="218"/>
        <v>0.60850111856823264</v>
      </c>
      <c r="N1037">
        <f t="shared" si="219"/>
        <v>0.39149888143176736</v>
      </c>
      <c r="P1037">
        <f t="shared" si="220"/>
        <v>631.5</v>
      </c>
      <c r="Q1037">
        <f t="shared" si="221"/>
        <v>484.5</v>
      </c>
    </row>
    <row r="1038" spans="1:17" x14ac:dyDescent="0.35">
      <c r="A1038">
        <v>2025</v>
      </c>
      <c r="B1038" s="1">
        <v>151</v>
      </c>
      <c r="C1038" s="1">
        <v>37</v>
      </c>
      <c r="D1038" s="12">
        <f t="shared" si="209"/>
        <v>18.875</v>
      </c>
      <c r="E1038" s="27">
        <f t="shared" si="210"/>
        <v>0.3775</v>
      </c>
      <c r="F1038" s="27">
        <f t="shared" si="211"/>
        <v>0.74</v>
      </c>
      <c r="G1038">
        <f t="shared" si="212"/>
        <v>55.875</v>
      </c>
      <c r="H1038">
        <f t="shared" si="213"/>
        <v>1</v>
      </c>
      <c r="I1038">
        <f t="shared" si="214"/>
        <v>-1.0779615860208858</v>
      </c>
      <c r="J1038">
        <f t="shared" si="215"/>
        <v>0.71516925717039059</v>
      </c>
      <c r="K1038">
        <f t="shared" si="216"/>
        <v>0.99559417495302216</v>
      </c>
      <c r="L1038">
        <f t="shared" si="217"/>
        <v>-4.4155592962719006E-3</v>
      </c>
      <c r="M1038">
        <f t="shared" si="218"/>
        <v>0.6621923937360179</v>
      </c>
      <c r="N1038">
        <f t="shared" si="219"/>
        <v>0.3378076062639821</v>
      </c>
      <c r="P1038">
        <f t="shared" si="220"/>
        <v>1029</v>
      </c>
      <c r="Q1038">
        <f t="shared" si="221"/>
        <v>351</v>
      </c>
    </row>
    <row r="1039" spans="1:17" x14ac:dyDescent="0.35">
      <c r="A1039">
        <v>2025</v>
      </c>
      <c r="B1039" s="1">
        <v>159</v>
      </c>
      <c r="C1039" s="1">
        <v>36</v>
      </c>
      <c r="D1039" s="12">
        <f t="shared" si="209"/>
        <v>19.875</v>
      </c>
      <c r="E1039" s="27">
        <f t="shared" si="210"/>
        <v>0.39750000000000002</v>
      </c>
      <c r="F1039" s="27">
        <f t="shared" si="211"/>
        <v>0.72</v>
      </c>
      <c r="G1039">
        <f t="shared" si="212"/>
        <v>55.875</v>
      </c>
      <c r="H1039">
        <f t="shared" si="213"/>
        <v>1</v>
      </c>
      <c r="I1039">
        <f t="shared" si="214"/>
        <v>-0.7935573866275285</v>
      </c>
      <c r="J1039">
        <f t="shared" si="215"/>
        <v>0.59963025208971832</v>
      </c>
      <c r="K1039">
        <f t="shared" si="216"/>
        <v>0.99639721373195478</v>
      </c>
      <c r="L1039">
        <f t="shared" si="217"/>
        <v>-3.6092919328721321E-3</v>
      </c>
      <c r="M1039">
        <f t="shared" si="218"/>
        <v>0.64429530201342278</v>
      </c>
      <c r="N1039">
        <f t="shared" si="219"/>
        <v>0.35570469798657717</v>
      </c>
      <c r="P1039">
        <f t="shared" si="220"/>
        <v>923</v>
      </c>
      <c r="Q1039">
        <f t="shared" si="221"/>
        <v>403.5</v>
      </c>
    </row>
    <row r="1040" spans="1:17" x14ac:dyDescent="0.35">
      <c r="A1040">
        <v>2025</v>
      </c>
      <c r="B1040" s="1">
        <v>173</v>
      </c>
      <c r="C1040" s="1">
        <v>34</v>
      </c>
      <c r="D1040" s="12">
        <f t="shared" si="209"/>
        <v>21.625</v>
      </c>
      <c r="E1040" s="27">
        <f t="shared" si="210"/>
        <v>0.4325</v>
      </c>
      <c r="F1040" s="27">
        <f t="shared" si="211"/>
        <v>0.68</v>
      </c>
      <c r="G1040">
        <f t="shared" si="212"/>
        <v>55.625</v>
      </c>
      <c r="H1040">
        <f t="shared" si="213"/>
        <v>1</v>
      </c>
      <c r="I1040">
        <f t="shared" si="214"/>
        <v>-0.29585003768915336</v>
      </c>
      <c r="J1040">
        <f t="shared" si="215"/>
        <v>0.36855224192837371</v>
      </c>
      <c r="K1040">
        <f t="shared" si="216"/>
        <v>0.99671612267386567</v>
      </c>
      <c r="L1040">
        <f t="shared" si="217"/>
        <v>-3.2892810847108146E-3</v>
      </c>
      <c r="M1040">
        <f t="shared" si="218"/>
        <v>0.61123595505617978</v>
      </c>
      <c r="N1040">
        <f t="shared" si="219"/>
        <v>0.38876404494382022</v>
      </c>
      <c r="P1040">
        <f t="shared" si="220"/>
        <v>669</v>
      </c>
      <c r="Q1040">
        <f t="shared" si="221"/>
        <v>484.5</v>
      </c>
    </row>
    <row r="1041" spans="1:17" x14ac:dyDescent="0.35">
      <c r="A1041">
        <v>2025</v>
      </c>
      <c r="B1041" s="1">
        <v>215</v>
      </c>
      <c r="C1041" s="1">
        <v>28</v>
      </c>
      <c r="D1041" s="12">
        <f t="shared" si="209"/>
        <v>26.875</v>
      </c>
      <c r="E1041" s="27">
        <f t="shared" si="210"/>
        <v>0.53749999999999998</v>
      </c>
      <c r="F1041" s="27">
        <f t="shared" si="211"/>
        <v>0.56000000000000005</v>
      </c>
      <c r="G1041">
        <f t="shared" si="212"/>
        <v>54.875</v>
      </c>
      <c r="H1041">
        <f t="shared" si="213"/>
        <v>1</v>
      </c>
      <c r="I1041">
        <f t="shared" si="214"/>
        <v>1.1972720091259723</v>
      </c>
      <c r="J1041">
        <f t="shared" si="215"/>
        <v>-0.3246817885556601</v>
      </c>
      <c r="K1041">
        <f t="shared" si="216"/>
        <v>0.99751364790177466</v>
      </c>
      <c r="L1041">
        <f t="shared" si="217"/>
        <v>-2.4894482046754394E-3</v>
      </c>
      <c r="M1041">
        <f t="shared" si="218"/>
        <v>0.51025056947608205</v>
      </c>
      <c r="N1041">
        <f t="shared" si="219"/>
        <v>0.48974943052391801</v>
      </c>
      <c r="P1041">
        <f t="shared" si="220"/>
        <v>105.5</v>
      </c>
      <c r="Q1041">
        <f t="shared" si="221"/>
        <v>709.5</v>
      </c>
    </row>
    <row r="1042" spans="1:17" x14ac:dyDescent="0.35">
      <c r="A1042">
        <v>2025</v>
      </c>
      <c r="B1042" s="1">
        <v>167</v>
      </c>
      <c r="C1042" s="1">
        <v>34</v>
      </c>
      <c r="D1042" s="12">
        <f t="shared" si="209"/>
        <v>20.875</v>
      </c>
      <c r="E1042" s="27">
        <f t="shared" si="210"/>
        <v>0.41749999999999998</v>
      </c>
      <c r="F1042" s="27">
        <f t="shared" si="211"/>
        <v>0.68</v>
      </c>
      <c r="G1042">
        <f t="shared" si="212"/>
        <v>54.875</v>
      </c>
      <c r="H1042">
        <f t="shared" si="213"/>
        <v>1</v>
      </c>
      <c r="I1042">
        <f t="shared" si="214"/>
        <v>-0.50915318723417125</v>
      </c>
      <c r="J1042">
        <f t="shared" si="215"/>
        <v>0.36855224192837371</v>
      </c>
      <c r="K1042">
        <f t="shared" si="216"/>
        <v>0.99169280540782734</v>
      </c>
      <c r="L1042">
        <f t="shared" si="217"/>
        <v>-8.3418916234452474E-3</v>
      </c>
      <c r="M1042">
        <f t="shared" si="218"/>
        <v>0.61958997722095677</v>
      </c>
      <c r="N1042">
        <f t="shared" si="219"/>
        <v>0.38041002277904329</v>
      </c>
      <c r="P1042">
        <f t="shared" si="220"/>
        <v>789.5</v>
      </c>
      <c r="Q1042">
        <f t="shared" si="221"/>
        <v>484.5</v>
      </c>
    </row>
    <row r="1043" spans="1:17" x14ac:dyDescent="0.35">
      <c r="A1043">
        <v>2025</v>
      </c>
      <c r="B1043" s="1">
        <v>182</v>
      </c>
      <c r="C1043" s="1">
        <v>32</v>
      </c>
      <c r="D1043" s="12">
        <f t="shared" si="209"/>
        <v>22.75</v>
      </c>
      <c r="E1043" s="27">
        <f t="shared" si="210"/>
        <v>0.45500000000000002</v>
      </c>
      <c r="F1043" s="27">
        <f t="shared" si="211"/>
        <v>0.64</v>
      </c>
      <c r="G1043">
        <f t="shared" si="212"/>
        <v>54.75</v>
      </c>
      <c r="H1043">
        <f t="shared" si="213"/>
        <v>1</v>
      </c>
      <c r="I1043">
        <f t="shared" si="214"/>
        <v>2.4104686628373572E-2</v>
      </c>
      <c r="J1043">
        <f t="shared" si="215"/>
        <v>0.13747423176702911</v>
      </c>
      <c r="K1043">
        <f t="shared" si="216"/>
        <v>0.99350895196040856</v>
      </c>
      <c r="L1043">
        <f t="shared" si="217"/>
        <v>-6.5122065020140254E-3</v>
      </c>
      <c r="M1043">
        <f t="shared" si="218"/>
        <v>0.58447488584474883</v>
      </c>
      <c r="N1043">
        <f t="shared" si="219"/>
        <v>0.41552511415525112</v>
      </c>
      <c r="P1043">
        <f t="shared" si="220"/>
        <v>484.5</v>
      </c>
      <c r="Q1043">
        <f t="shared" si="221"/>
        <v>564</v>
      </c>
    </row>
    <row r="1044" spans="1:17" x14ac:dyDescent="0.35">
      <c r="A1044">
        <v>2025</v>
      </c>
      <c r="B1044" s="1">
        <v>166</v>
      </c>
      <c r="C1044" s="1">
        <v>34</v>
      </c>
      <c r="D1044" s="12">
        <f t="shared" si="209"/>
        <v>20.75</v>
      </c>
      <c r="E1044" s="27">
        <f t="shared" si="210"/>
        <v>0.41499999999999998</v>
      </c>
      <c r="F1044" s="27">
        <f t="shared" si="211"/>
        <v>0.68</v>
      </c>
      <c r="G1044">
        <f t="shared" si="212"/>
        <v>54.75</v>
      </c>
      <c r="H1044">
        <f t="shared" si="213"/>
        <v>1</v>
      </c>
      <c r="I1044">
        <f t="shared" si="214"/>
        <v>-0.5447037121583409</v>
      </c>
      <c r="J1044">
        <f t="shared" si="215"/>
        <v>0.36855224192837371</v>
      </c>
      <c r="K1044">
        <f t="shared" si="216"/>
        <v>0.9903084920939037</v>
      </c>
      <c r="L1044">
        <f t="shared" si="217"/>
        <v>-9.7387762175853796E-3</v>
      </c>
      <c r="M1044">
        <f t="shared" si="218"/>
        <v>0.62100456621004563</v>
      </c>
      <c r="N1044">
        <f t="shared" si="219"/>
        <v>0.37899543378995432</v>
      </c>
      <c r="P1044">
        <f t="shared" si="220"/>
        <v>809</v>
      </c>
      <c r="Q1044">
        <f t="shared" si="221"/>
        <v>484.5</v>
      </c>
    </row>
    <row r="1045" spans="1:17" x14ac:dyDescent="0.35">
      <c r="A1045">
        <v>2025</v>
      </c>
      <c r="B1045" s="1">
        <v>189</v>
      </c>
      <c r="C1045" s="1">
        <v>31</v>
      </c>
      <c r="D1045" s="12">
        <f t="shared" si="209"/>
        <v>23.625</v>
      </c>
      <c r="E1045" s="27">
        <f t="shared" si="210"/>
        <v>0.47249999999999998</v>
      </c>
      <c r="F1045" s="27">
        <f t="shared" si="211"/>
        <v>0.62</v>
      </c>
      <c r="G1045">
        <f t="shared" si="212"/>
        <v>54.625</v>
      </c>
      <c r="H1045">
        <f t="shared" si="213"/>
        <v>1</v>
      </c>
      <c r="I1045">
        <f t="shared" si="214"/>
        <v>0.27295836109756116</v>
      </c>
      <c r="J1045">
        <f t="shared" si="215"/>
        <v>2.1935226686356796E-2</v>
      </c>
      <c r="K1045">
        <f t="shared" si="216"/>
        <v>0.99380205592530246</v>
      </c>
      <c r="L1045">
        <f t="shared" si="217"/>
        <v>-6.2172310644945643E-3</v>
      </c>
      <c r="M1045">
        <f t="shared" si="218"/>
        <v>0.56750572082379858</v>
      </c>
      <c r="N1045">
        <f t="shared" si="219"/>
        <v>0.43249427917620137</v>
      </c>
      <c r="P1045">
        <f t="shared" si="220"/>
        <v>357.5</v>
      </c>
      <c r="Q1045">
        <f t="shared" si="221"/>
        <v>605</v>
      </c>
    </row>
    <row r="1046" spans="1:17" x14ac:dyDescent="0.35">
      <c r="A1046">
        <v>2025</v>
      </c>
      <c r="B1046" s="1">
        <v>229</v>
      </c>
      <c r="C1046" s="1">
        <v>26</v>
      </c>
      <c r="D1046" s="12">
        <f t="shared" si="209"/>
        <v>28.625</v>
      </c>
      <c r="E1046" s="27">
        <f t="shared" si="210"/>
        <v>0.57250000000000001</v>
      </c>
      <c r="F1046" s="27">
        <f t="shared" si="211"/>
        <v>0.52</v>
      </c>
      <c r="G1046">
        <f t="shared" si="212"/>
        <v>54.625</v>
      </c>
      <c r="H1046">
        <f t="shared" si="213"/>
        <v>1</v>
      </c>
      <c r="I1046">
        <f t="shared" si="214"/>
        <v>1.6949793580643475</v>
      </c>
      <c r="J1046">
        <f t="shared" si="215"/>
        <v>-0.55575979871700476</v>
      </c>
      <c r="K1046">
        <f t="shared" si="216"/>
        <v>0.99773395784486107</v>
      </c>
      <c r="L1046">
        <f t="shared" si="217"/>
        <v>-2.2686135139360773E-3</v>
      </c>
      <c r="M1046">
        <f t="shared" si="218"/>
        <v>0.47597254004576661</v>
      </c>
      <c r="N1046">
        <f t="shared" si="219"/>
        <v>0.52402745995423339</v>
      </c>
      <c r="P1046">
        <f t="shared" si="220"/>
        <v>63.5</v>
      </c>
      <c r="Q1046">
        <f t="shared" si="221"/>
        <v>796</v>
      </c>
    </row>
    <row r="1047" spans="1:17" x14ac:dyDescent="0.35">
      <c r="A1047">
        <v>2025</v>
      </c>
      <c r="B1047" s="1">
        <v>147</v>
      </c>
      <c r="C1047" s="1">
        <v>36</v>
      </c>
      <c r="D1047" s="12">
        <f t="shared" si="209"/>
        <v>18.375</v>
      </c>
      <c r="E1047" s="27">
        <f t="shared" si="210"/>
        <v>0.36749999999999999</v>
      </c>
      <c r="F1047" s="27">
        <f t="shared" si="211"/>
        <v>0.72</v>
      </c>
      <c r="G1047">
        <f t="shared" si="212"/>
        <v>54.375</v>
      </c>
      <c r="H1047">
        <f t="shared" si="213"/>
        <v>1</v>
      </c>
      <c r="I1047">
        <f t="shared" si="214"/>
        <v>-1.2201636857175644</v>
      </c>
      <c r="J1047">
        <f t="shared" si="215"/>
        <v>0.59963025208971832</v>
      </c>
      <c r="K1047">
        <f t="shared" si="216"/>
        <v>0.97716004446843074</v>
      </c>
      <c r="L1047">
        <f t="shared" si="217"/>
        <v>-2.3104828207268259E-2</v>
      </c>
      <c r="M1047">
        <f t="shared" si="218"/>
        <v>0.66206896551724137</v>
      </c>
      <c r="N1047">
        <f t="shared" si="219"/>
        <v>0.33793103448275863</v>
      </c>
      <c r="P1047">
        <f t="shared" si="220"/>
        <v>1069.5</v>
      </c>
      <c r="Q1047">
        <f t="shared" si="221"/>
        <v>403.5</v>
      </c>
    </row>
    <row r="1048" spans="1:17" x14ac:dyDescent="0.35">
      <c r="A1048">
        <v>2025</v>
      </c>
      <c r="B1048" s="1">
        <v>145</v>
      </c>
      <c r="C1048" s="1">
        <v>36</v>
      </c>
      <c r="D1048" s="12">
        <f t="shared" si="209"/>
        <v>18.125</v>
      </c>
      <c r="E1048" s="27">
        <f t="shared" si="210"/>
        <v>0.36249999999999999</v>
      </c>
      <c r="F1048" s="27">
        <f t="shared" si="211"/>
        <v>0.72</v>
      </c>
      <c r="G1048">
        <f t="shared" si="212"/>
        <v>54.125</v>
      </c>
      <c r="H1048">
        <f t="shared" si="213"/>
        <v>1</v>
      </c>
      <c r="I1048">
        <f t="shared" si="214"/>
        <v>-1.2912647355659037</v>
      </c>
      <c r="J1048">
        <f t="shared" si="215"/>
        <v>0.59963025208971832</v>
      </c>
      <c r="K1048">
        <f t="shared" si="216"/>
        <v>0.96908434921335163</v>
      </c>
      <c r="L1048">
        <f t="shared" si="217"/>
        <v>-3.1403623188003951E-2</v>
      </c>
      <c r="M1048">
        <f t="shared" si="218"/>
        <v>0.66512702078521935</v>
      </c>
      <c r="N1048">
        <f t="shared" si="219"/>
        <v>0.3348729792147806</v>
      </c>
      <c r="P1048">
        <f t="shared" si="220"/>
        <v>1086</v>
      </c>
      <c r="Q1048">
        <f t="shared" si="221"/>
        <v>403.5</v>
      </c>
    </row>
    <row r="1049" spans="1:17" x14ac:dyDescent="0.35">
      <c r="A1049">
        <v>2025</v>
      </c>
      <c r="B1049" s="1">
        <v>163</v>
      </c>
      <c r="C1049" s="1">
        <v>33</v>
      </c>
      <c r="D1049" s="12">
        <f t="shared" si="209"/>
        <v>20.375</v>
      </c>
      <c r="E1049" s="27">
        <f t="shared" si="210"/>
        <v>0.40749999999999997</v>
      </c>
      <c r="F1049" s="27">
        <f t="shared" si="211"/>
        <v>0.66</v>
      </c>
      <c r="G1049">
        <f t="shared" si="212"/>
        <v>53.375</v>
      </c>
      <c r="H1049">
        <f t="shared" si="213"/>
        <v>1</v>
      </c>
      <c r="I1049">
        <f t="shared" si="214"/>
        <v>-0.65135528693084987</v>
      </c>
      <c r="J1049">
        <f t="shared" si="215"/>
        <v>0.25301323684770138</v>
      </c>
      <c r="K1049">
        <f t="shared" si="216"/>
        <v>0.95762989228202877</v>
      </c>
      <c r="L1049">
        <f t="shared" si="217"/>
        <v>-4.3293909392214266E-2</v>
      </c>
      <c r="M1049">
        <f t="shared" si="218"/>
        <v>0.61826697892271665</v>
      </c>
      <c r="N1049">
        <f t="shared" si="219"/>
        <v>0.38173302107728335</v>
      </c>
      <c r="P1049">
        <f t="shared" si="220"/>
        <v>860.5</v>
      </c>
      <c r="Q1049">
        <f t="shared" si="221"/>
        <v>523.5</v>
      </c>
    </row>
    <row r="1050" spans="1:17" x14ac:dyDescent="0.35">
      <c r="A1050">
        <v>2025</v>
      </c>
      <c r="B1050" s="1">
        <v>211</v>
      </c>
      <c r="C1050" s="1">
        <v>26</v>
      </c>
      <c r="D1050" s="12">
        <f t="shared" si="209"/>
        <v>26.375</v>
      </c>
      <c r="E1050" s="27">
        <f t="shared" si="210"/>
        <v>0.52749999999999997</v>
      </c>
      <c r="F1050" s="27">
        <f t="shared" si="211"/>
        <v>0.52</v>
      </c>
      <c r="G1050">
        <f t="shared" si="212"/>
        <v>52.375</v>
      </c>
      <c r="H1050">
        <f t="shared" si="213"/>
        <v>1</v>
      </c>
      <c r="I1050">
        <f t="shared" si="214"/>
        <v>1.0550699094292937</v>
      </c>
      <c r="J1050">
        <f t="shared" si="215"/>
        <v>-0.55575979871700476</v>
      </c>
      <c r="K1050">
        <f t="shared" si="216"/>
        <v>0.96401493176568254</v>
      </c>
      <c r="L1050">
        <f t="shared" si="217"/>
        <v>-3.664849510806259E-2</v>
      </c>
      <c r="M1050">
        <f t="shared" si="218"/>
        <v>0.49642004773269688</v>
      </c>
      <c r="N1050">
        <f t="shared" si="219"/>
        <v>0.50357995226730312</v>
      </c>
      <c r="P1050">
        <f t="shared" si="220"/>
        <v>128.5</v>
      </c>
      <c r="Q1050">
        <f t="shared" si="221"/>
        <v>796</v>
      </c>
    </row>
    <row r="1051" spans="1:17" x14ac:dyDescent="0.35">
      <c r="A1051">
        <v>2025</v>
      </c>
      <c r="B1051" s="1">
        <v>202</v>
      </c>
      <c r="C1051" s="1">
        <v>27</v>
      </c>
      <c r="D1051" s="12">
        <f t="shared" si="209"/>
        <v>25.25</v>
      </c>
      <c r="E1051" s="27">
        <f t="shared" si="210"/>
        <v>0.505</v>
      </c>
      <c r="F1051" s="27">
        <f t="shared" si="211"/>
        <v>0.54</v>
      </c>
      <c r="G1051">
        <f t="shared" si="212"/>
        <v>52.25</v>
      </c>
      <c r="H1051">
        <f t="shared" si="213"/>
        <v>1</v>
      </c>
      <c r="I1051">
        <f t="shared" si="214"/>
        <v>0.73511518511176677</v>
      </c>
      <c r="J1051">
        <f t="shared" si="215"/>
        <v>-0.44022079363633243</v>
      </c>
      <c r="K1051">
        <f t="shared" si="216"/>
        <v>0.94933139479263196</v>
      </c>
      <c r="L1051">
        <f t="shared" si="217"/>
        <v>-5.1997337122608553E-2</v>
      </c>
      <c r="M1051">
        <f t="shared" si="218"/>
        <v>0.51674641148325362</v>
      </c>
      <c r="N1051">
        <f t="shared" si="219"/>
        <v>0.48325358851674644</v>
      </c>
      <c r="P1051">
        <f t="shared" si="220"/>
        <v>211</v>
      </c>
      <c r="Q1051">
        <f t="shared" si="221"/>
        <v>752.5</v>
      </c>
    </row>
    <row r="1052" spans="1:17" x14ac:dyDescent="0.35">
      <c r="A1052">
        <v>2025</v>
      </c>
      <c r="B1052" s="3">
        <v>215</v>
      </c>
      <c r="C1052" s="3">
        <v>25</v>
      </c>
      <c r="D1052" s="12">
        <f t="shared" si="209"/>
        <v>26.875</v>
      </c>
      <c r="E1052" s="27">
        <f t="shared" si="210"/>
        <v>0.53749999999999998</v>
      </c>
      <c r="F1052" s="27">
        <f t="shared" si="211"/>
        <v>0.5</v>
      </c>
      <c r="G1052">
        <f t="shared" si="212"/>
        <v>51.875</v>
      </c>
      <c r="H1052">
        <f t="shared" si="213"/>
        <v>1</v>
      </c>
      <c r="I1052">
        <f t="shared" si="214"/>
        <v>1.1972720091259723</v>
      </c>
      <c r="J1052">
        <f t="shared" si="215"/>
        <v>-0.67129880379767704</v>
      </c>
      <c r="K1052">
        <f t="shared" si="216"/>
        <v>0.94623809938514525</v>
      </c>
      <c r="L1052">
        <f t="shared" si="217"/>
        <v>-5.5261050917073035E-2</v>
      </c>
      <c r="M1052">
        <f t="shared" si="218"/>
        <v>0.48192771084337349</v>
      </c>
      <c r="N1052">
        <f t="shared" si="219"/>
        <v>0.51807228915662651</v>
      </c>
      <c r="P1052">
        <f t="shared" si="220"/>
        <v>105.5</v>
      </c>
      <c r="Q1052">
        <f t="shared" si="221"/>
        <v>835</v>
      </c>
    </row>
    <row r="1053" spans="1:17" ht="16" thickBot="1" x14ac:dyDescent="0.4">
      <c r="A1053">
        <v>2025</v>
      </c>
      <c r="B1053" s="4">
        <v>184</v>
      </c>
      <c r="C1053" s="4">
        <v>28</v>
      </c>
      <c r="D1053" s="12">
        <f t="shared" si="209"/>
        <v>23</v>
      </c>
      <c r="E1053" s="27">
        <f t="shared" si="210"/>
        <v>0.46</v>
      </c>
      <c r="F1053" s="27">
        <f t="shared" si="211"/>
        <v>0.56000000000000005</v>
      </c>
      <c r="G1053">
        <f t="shared" si="212"/>
        <v>51</v>
      </c>
      <c r="H1053">
        <f t="shared" si="213"/>
        <v>1</v>
      </c>
      <c r="I1053">
        <f t="shared" si="214"/>
        <v>9.5205736476712891E-2</v>
      </c>
      <c r="J1053">
        <f t="shared" si="215"/>
        <v>-0.3246817885556601</v>
      </c>
      <c r="K1053">
        <f t="shared" si="216"/>
        <v>0.76371854029704367</v>
      </c>
      <c r="L1053">
        <f t="shared" si="217"/>
        <v>-0.26955596044514246</v>
      </c>
      <c r="M1053">
        <f t="shared" si="218"/>
        <v>0.5490196078431373</v>
      </c>
      <c r="N1053">
        <f t="shared" si="219"/>
        <v>0.45098039215686275</v>
      </c>
      <c r="P1053">
        <f t="shared" si="220"/>
        <v>445</v>
      </c>
      <c r="Q1053">
        <f t="shared" si="221"/>
        <v>709.5</v>
      </c>
    </row>
    <row r="1054" spans="1:17" x14ac:dyDescent="0.35">
      <c r="A1054">
        <v>2025</v>
      </c>
      <c r="B1054" s="5">
        <v>163</v>
      </c>
      <c r="C1054" s="5">
        <v>29</v>
      </c>
      <c r="D1054" s="12">
        <f t="shared" si="209"/>
        <v>20.375</v>
      </c>
      <c r="E1054" s="27">
        <f t="shared" si="210"/>
        <v>0.40749999999999997</v>
      </c>
      <c r="F1054" s="27">
        <f t="shared" si="211"/>
        <v>0.57999999999999996</v>
      </c>
      <c r="G1054">
        <f t="shared" si="212"/>
        <v>49.375</v>
      </c>
      <c r="H1054">
        <f t="shared" si="213"/>
        <v>0</v>
      </c>
      <c r="I1054">
        <f t="shared" si="214"/>
        <v>-0.65135528693084987</v>
      </c>
      <c r="J1054">
        <f t="shared" si="215"/>
        <v>-0.2091427834749878</v>
      </c>
      <c r="K1054">
        <f t="shared" si="216"/>
        <v>0.25909548044206498</v>
      </c>
      <c r="L1054">
        <f t="shared" si="217"/>
        <v>-0.29988351548643877</v>
      </c>
      <c r="M1054">
        <f t="shared" si="218"/>
        <v>0.58734177215189876</v>
      </c>
      <c r="N1054">
        <f t="shared" si="219"/>
        <v>0.41265822784810124</v>
      </c>
      <c r="P1054">
        <f t="shared" si="220"/>
        <v>860.5</v>
      </c>
      <c r="Q1054">
        <f t="shared" si="221"/>
        <v>671</v>
      </c>
    </row>
    <row r="1055" spans="1:17" x14ac:dyDescent="0.35">
      <c r="A1055">
        <v>2025</v>
      </c>
      <c r="B1055" s="1">
        <v>189</v>
      </c>
      <c r="C1055" s="1">
        <v>25</v>
      </c>
      <c r="D1055" s="12">
        <f t="shared" si="209"/>
        <v>23.625</v>
      </c>
      <c r="E1055" s="27">
        <f t="shared" si="210"/>
        <v>0.47249999999999998</v>
      </c>
      <c r="F1055" s="27">
        <f t="shared" si="211"/>
        <v>0.5</v>
      </c>
      <c r="G1055">
        <f t="shared" si="212"/>
        <v>48.625</v>
      </c>
      <c r="H1055">
        <f t="shared" si="213"/>
        <v>0</v>
      </c>
      <c r="I1055">
        <f t="shared" si="214"/>
        <v>0.27295836109756116</v>
      </c>
      <c r="J1055">
        <f t="shared" si="215"/>
        <v>-0.67129880379767704</v>
      </c>
      <c r="K1055">
        <f t="shared" si="216"/>
        <v>0.23582268513370239</v>
      </c>
      <c r="L1055">
        <f t="shared" si="217"/>
        <v>-0.26895542922242704</v>
      </c>
      <c r="M1055">
        <f t="shared" si="218"/>
        <v>0.51413881748071977</v>
      </c>
      <c r="N1055">
        <f t="shared" si="219"/>
        <v>0.48586118251928023</v>
      </c>
      <c r="P1055">
        <f t="shared" si="220"/>
        <v>357.5</v>
      </c>
      <c r="Q1055">
        <f t="shared" si="221"/>
        <v>835</v>
      </c>
    </row>
    <row r="1056" spans="1:17" x14ac:dyDescent="0.35">
      <c r="A1056">
        <v>2025</v>
      </c>
      <c r="B1056" s="1">
        <v>163</v>
      </c>
      <c r="C1056" s="1">
        <v>28</v>
      </c>
      <c r="D1056" s="12">
        <f t="shared" si="209"/>
        <v>20.375</v>
      </c>
      <c r="E1056" s="27">
        <f t="shared" si="210"/>
        <v>0.40749999999999997</v>
      </c>
      <c r="F1056" s="27">
        <f t="shared" si="211"/>
        <v>0.56000000000000005</v>
      </c>
      <c r="G1056">
        <f t="shared" si="212"/>
        <v>48.375</v>
      </c>
      <c r="H1056">
        <f t="shared" si="213"/>
        <v>0</v>
      </c>
      <c r="I1056">
        <f t="shared" si="214"/>
        <v>-0.65135528693084987</v>
      </c>
      <c r="J1056">
        <f t="shared" si="215"/>
        <v>-0.3246817885556601</v>
      </c>
      <c r="K1056">
        <f t="shared" si="216"/>
        <v>0.10979385817696734</v>
      </c>
      <c r="L1056">
        <f t="shared" si="217"/>
        <v>-0.11630222304984902</v>
      </c>
      <c r="M1056">
        <f t="shared" si="218"/>
        <v>0.57881136950904388</v>
      </c>
      <c r="N1056">
        <f t="shared" si="219"/>
        <v>0.42118863049095606</v>
      </c>
      <c r="P1056">
        <f t="shared" si="220"/>
        <v>860.5</v>
      </c>
      <c r="Q1056">
        <f t="shared" si="221"/>
        <v>709.5</v>
      </c>
    </row>
    <row r="1057" spans="1:17" x14ac:dyDescent="0.35">
      <c r="A1057">
        <v>2025</v>
      </c>
      <c r="B1057" s="1">
        <v>160</v>
      </c>
      <c r="C1057" s="1">
        <v>28</v>
      </c>
      <c r="D1057" s="12">
        <f t="shared" si="209"/>
        <v>20</v>
      </c>
      <c r="E1057" s="27">
        <f t="shared" si="210"/>
        <v>0.4</v>
      </c>
      <c r="F1057" s="27">
        <f t="shared" si="211"/>
        <v>0.56000000000000005</v>
      </c>
      <c r="G1057">
        <f t="shared" si="212"/>
        <v>48</v>
      </c>
      <c r="H1057">
        <f t="shared" si="213"/>
        <v>0</v>
      </c>
      <c r="I1057">
        <f t="shared" si="214"/>
        <v>-0.75800686170335885</v>
      </c>
      <c r="J1057">
        <f t="shared" si="215"/>
        <v>-0.3246817885556601</v>
      </c>
      <c r="K1057">
        <f t="shared" si="216"/>
        <v>7.1795962745887287E-2</v>
      </c>
      <c r="L1057">
        <f t="shared" si="217"/>
        <v>-7.450370263257873E-2</v>
      </c>
      <c r="M1057">
        <f t="shared" si="218"/>
        <v>0.58333333333333337</v>
      </c>
      <c r="N1057">
        <f t="shared" si="219"/>
        <v>0.41666666666666669</v>
      </c>
      <c r="P1057">
        <f t="shared" si="220"/>
        <v>908</v>
      </c>
      <c r="Q1057">
        <f t="shared" si="221"/>
        <v>709.5</v>
      </c>
    </row>
    <row r="1058" spans="1:17" x14ac:dyDescent="0.35">
      <c r="A1058">
        <v>2025</v>
      </c>
      <c r="B1058" s="1">
        <v>200</v>
      </c>
      <c r="C1058" s="1">
        <v>23</v>
      </c>
      <c r="D1058" s="12">
        <f t="shared" si="209"/>
        <v>25</v>
      </c>
      <c r="E1058" s="27">
        <f t="shared" si="210"/>
        <v>0.5</v>
      </c>
      <c r="F1058" s="27">
        <f t="shared" si="211"/>
        <v>0.46</v>
      </c>
      <c r="G1058">
        <f t="shared" si="212"/>
        <v>48</v>
      </c>
      <c r="H1058">
        <f t="shared" si="213"/>
        <v>0</v>
      </c>
      <c r="I1058">
        <f t="shared" si="214"/>
        <v>0.66401413526342745</v>
      </c>
      <c r="J1058">
        <f t="shared" si="215"/>
        <v>-0.90237681395902158</v>
      </c>
      <c r="K1058">
        <f t="shared" si="216"/>
        <v>0.17518857156293627</v>
      </c>
      <c r="L1058">
        <f t="shared" si="217"/>
        <v>-0.19260049036536137</v>
      </c>
      <c r="M1058">
        <f t="shared" si="218"/>
        <v>0.47916666666666669</v>
      </c>
      <c r="N1058">
        <f t="shared" si="219"/>
        <v>0.52083333333333337</v>
      </c>
      <c r="P1058">
        <f t="shared" si="220"/>
        <v>229</v>
      </c>
      <c r="Q1058">
        <f t="shared" si="221"/>
        <v>904</v>
      </c>
    </row>
    <row r="1059" spans="1:17" x14ac:dyDescent="0.35">
      <c r="A1059">
        <v>2025</v>
      </c>
      <c r="B1059" s="1">
        <v>207</v>
      </c>
      <c r="C1059" s="1">
        <v>21</v>
      </c>
      <c r="D1059" s="12">
        <f t="shared" si="209"/>
        <v>25.875</v>
      </c>
      <c r="E1059" s="27">
        <f t="shared" si="210"/>
        <v>0.51749999999999996</v>
      </c>
      <c r="F1059" s="27">
        <f t="shared" si="211"/>
        <v>0.42</v>
      </c>
      <c r="G1059">
        <f t="shared" si="212"/>
        <v>46.875</v>
      </c>
      <c r="H1059">
        <f t="shared" si="213"/>
        <v>0</v>
      </c>
      <c r="I1059">
        <f t="shared" si="214"/>
        <v>0.91286780973261505</v>
      </c>
      <c r="J1059">
        <f t="shared" si="215"/>
        <v>-1.1334548241203661</v>
      </c>
      <c r="K1059">
        <f t="shared" si="216"/>
        <v>7.2765548040321509E-2</v>
      </c>
      <c r="L1059">
        <f t="shared" si="217"/>
        <v>-7.554883065846224E-2</v>
      </c>
      <c r="M1059">
        <f t="shared" si="218"/>
        <v>0.44800000000000001</v>
      </c>
      <c r="N1059">
        <f t="shared" si="219"/>
        <v>0.55200000000000005</v>
      </c>
      <c r="P1059">
        <f t="shared" si="220"/>
        <v>168</v>
      </c>
      <c r="Q1059">
        <f t="shared" si="221"/>
        <v>967.5</v>
      </c>
    </row>
    <row r="1060" spans="1:17" x14ac:dyDescent="0.35">
      <c r="A1060">
        <v>2025</v>
      </c>
      <c r="B1060" s="1">
        <v>151</v>
      </c>
      <c r="C1060" s="1">
        <v>28</v>
      </c>
      <c r="D1060" s="12">
        <f t="shared" si="209"/>
        <v>18.875</v>
      </c>
      <c r="E1060" s="27">
        <f t="shared" si="210"/>
        <v>0.3775</v>
      </c>
      <c r="F1060" s="27">
        <f t="shared" si="211"/>
        <v>0.56000000000000005</v>
      </c>
      <c r="G1060">
        <f t="shared" si="212"/>
        <v>46.875</v>
      </c>
      <c r="H1060">
        <f t="shared" si="213"/>
        <v>0</v>
      </c>
      <c r="I1060">
        <f t="shared" si="214"/>
        <v>-1.0779615860208858</v>
      </c>
      <c r="J1060">
        <f t="shared" si="215"/>
        <v>-0.3246817885556601</v>
      </c>
      <c r="K1060">
        <f t="shared" si="216"/>
        <v>1.8722157467062139E-2</v>
      </c>
      <c r="L1060">
        <f t="shared" si="217"/>
        <v>-1.8899635732208764E-2</v>
      </c>
      <c r="M1060">
        <f t="shared" si="218"/>
        <v>0.59733333333333338</v>
      </c>
      <c r="N1060">
        <f t="shared" si="219"/>
        <v>0.40266666666666667</v>
      </c>
      <c r="P1060">
        <f t="shared" si="220"/>
        <v>1029</v>
      </c>
      <c r="Q1060">
        <f t="shared" si="221"/>
        <v>709.5</v>
      </c>
    </row>
    <row r="1061" spans="1:17" x14ac:dyDescent="0.35">
      <c r="A1061">
        <v>2025</v>
      </c>
      <c r="B1061" s="1">
        <v>185</v>
      </c>
      <c r="C1061" s="1">
        <v>22</v>
      </c>
      <c r="D1061" s="12">
        <f t="shared" si="209"/>
        <v>23.125</v>
      </c>
      <c r="E1061" s="27">
        <f t="shared" si="210"/>
        <v>0.46250000000000002</v>
      </c>
      <c r="F1061" s="27">
        <f t="shared" si="211"/>
        <v>0.44</v>
      </c>
      <c r="G1061">
        <f t="shared" si="212"/>
        <v>45.125</v>
      </c>
      <c r="H1061">
        <f t="shared" si="213"/>
        <v>0</v>
      </c>
      <c r="I1061">
        <f t="shared" si="214"/>
        <v>0.13075626140088253</v>
      </c>
      <c r="J1061">
        <f t="shared" si="215"/>
        <v>-1.017915819039694</v>
      </c>
      <c r="K1061">
        <f t="shared" si="216"/>
        <v>7.2150889170287573E-3</v>
      </c>
      <c r="L1061">
        <f t="shared" si="217"/>
        <v>-7.2412435523491444E-3</v>
      </c>
      <c r="M1061">
        <f t="shared" si="218"/>
        <v>0.48753462603878117</v>
      </c>
      <c r="N1061">
        <f t="shared" si="219"/>
        <v>0.51246537396121883</v>
      </c>
      <c r="P1061">
        <f t="shared" si="220"/>
        <v>428.5</v>
      </c>
      <c r="Q1061">
        <f t="shared" si="221"/>
        <v>936.5</v>
      </c>
    </row>
    <row r="1062" spans="1:17" x14ac:dyDescent="0.35">
      <c r="A1062">
        <v>2025</v>
      </c>
      <c r="B1062" s="1">
        <v>185</v>
      </c>
      <c r="C1062" s="1">
        <v>21</v>
      </c>
      <c r="D1062" s="12">
        <f t="shared" si="209"/>
        <v>23.125</v>
      </c>
      <c r="E1062" s="27">
        <f t="shared" si="210"/>
        <v>0.46250000000000002</v>
      </c>
      <c r="F1062" s="27">
        <f t="shared" si="211"/>
        <v>0.42</v>
      </c>
      <c r="G1062">
        <f t="shared" si="212"/>
        <v>44.125</v>
      </c>
      <c r="H1062">
        <f t="shared" si="213"/>
        <v>0</v>
      </c>
      <c r="I1062">
        <f t="shared" si="214"/>
        <v>0.13075626140088253</v>
      </c>
      <c r="J1062">
        <f t="shared" si="215"/>
        <v>-1.1334548241203661</v>
      </c>
      <c r="K1062">
        <f t="shared" si="216"/>
        <v>2.5566109389734328E-3</v>
      </c>
      <c r="L1062">
        <f t="shared" si="217"/>
        <v>-2.55988464964679E-3</v>
      </c>
      <c r="M1062">
        <f t="shared" si="218"/>
        <v>0.47592067988668557</v>
      </c>
      <c r="N1062">
        <f t="shared" si="219"/>
        <v>0.52407932011331448</v>
      </c>
      <c r="P1062">
        <f t="shared" si="220"/>
        <v>428.5</v>
      </c>
      <c r="Q1062">
        <f t="shared" si="221"/>
        <v>967.5</v>
      </c>
    </row>
    <row r="1063" spans="1:17" x14ac:dyDescent="0.35">
      <c r="A1063">
        <v>2025</v>
      </c>
      <c r="B1063" s="1">
        <v>200</v>
      </c>
      <c r="C1063" s="1">
        <v>19</v>
      </c>
      <c r="D1063" s="12">
        <f t="shared" si="209"/>
        <v>25</v>
      </c>
      <c r="E1063" s="27">
        <f t="shared" si="210"/>
        <v>0.5</v>
      </c>
      <c r="F1063" s="27">
        <f t="shared" si="211"/>
        <v>0.38</v>
      </c>
      <c r="G1063">
        <f t="shared" si="212"/>
        <v>44</v>
      </c>
      <c r="H1063">
        <f t="shared" si="213"/>
        <v>0</v>
      </c>
      <c r="I1063">
        <f t="shared" si="214"/>
        <v>0.66401413526342745</v>
      </c>
      <c r="J1063">
        <f t="shared" si="215"/>
        <v>-1.3645328342817109</v>
      </c>
      <c r="K1063">
        <f t="shared" si="216"/>
        <v>3.275560883774167E-3</v>
      </c>
      <c r="L1063">
        <f t="shared" si="217"/>
        <v>-3.2809372770050129E-3</v>
      </c>
      <c r="M1063">
        <f t="shared" si="218"/>
        <v>0.43181818181818182</v>
      </c>
      <c r="N1063">
        <f t="shared" si="219"/>
        <v>0.56818181818181823</v>
      </c>
      <c r="P1063">
        <f t="shared" si="220"/>
        <v>229</v>
      </c>
      <c r="Q1063">
        <f t="shared" si="221"/>
        <v>1022</v>
      </c>
    </row>
    <row r="1064" spans="1:17" x14ac:dyDescent="0.35">
      <c r="A1064">
        <v>2025</v>
      </c>
      <c r="B1064" s="1">
        <v>202</v>
      </c>
      <c r="C1064" s="1">
        <v>18</v>
      </c>
      <c r="D1064" s="12">
        <f t="shared" si="209"/>
        <v>25.25</v>
      </c>
      <c r="E1064" s="27">
        <f t="shared" si="210"/>
        <v>0.505</v>
      </c>
      <c r="F1064" s="27">
        <f t="shared" si="211"/>
        <v>0.36</v>
      </c>
      <c r="G1064">
        <f t="shared" si="212"/>
        <v>43.25</v>
      </c>
      <c r="H1064">
        <f t="shared" si="213"/>
        <v>0</v>
      </c>
      <c r="I1064">
        <f t="shared" si="214"/>
        <v>0.73511518511176677</v>
      </c>
      <c r="J1064">
        <f t="shared" si="215"/>
        <v>-1.4800718393623831</v>
      </c>
      <c r="K1064">
        <f t="shared" si="216"/>
        <v>1.5794330247598919E-3</v>
      </c>
      <c r="L1064">
        <f t="shared" si="217"/>
        <v>-1.5806816440133004E-3</v>
      </c>
      <c r="M1064">
        <f t="shared" si="218"/>
        <v>0.41618497109826591</v>
      </c>
      <c r="N1064">
        <f t="shared" si="219"/>
        <v>0.58381502890173409</v>
      </c>
      <c r="P1064">
        <f t="shared" si="220"/>
        <v>211</v>
      </c>
      <c r="Q1064">
        <f t="shared" si="221"/>
        <v>1044.5</v>
      </c>
    </row>
    <row r="1065" spans="1:17" x14ac:dyDescent="0.35">
      <c r="A1065">
        <v>2025</v>
      </c>
      <c r="B1065" s="1">
        <v>156</v>
      </c>
      <c r="C1065" s="1">
        <v>23</v>
      </c>
      <c r="D1065" s="12">
        <f t="shared" si="209"/>
        <v>19.5</v>
      </c>
      <c r="E1065" s="27">
        <f t="shared" si="210"/>
        <v>0.39</v>
      </c>
      <c r="F1065" s="27">
        <f t="shared" si="211"/>
        <v>0.46</v>
      </c>
      <c r="G1065">
        <f t="shared" si="212"/>
        <v>42.5</v>
      </c>
      <c r="H1065">
        <f t="shared" si="213"/>
        <v>0</v>
      </c>
      <c r="I1065">
        <f t="shared" si="214"/>
        <v>-0.90020896140003748</v>
      </c>
      <c r="J1065">
        <f t="shared" si="215"/>
        <v>-0.90237681395902158</v>
      </c>
      <c r="K1065">
        <f t="shared" si="216"/>
        <v>2.2653379031308489E-4</v>
      </c>
      <c r="L1065">
        <f t="shared" si="217"/>
        <v>-2.2655945296791045E-4</v>
      </c>
      <c r="M1065">
        <f t="shared" si="218"/>
        <v>0.54117647058823526</v>
      </c>
      <c r="N1065">
        <f t="shared" si="219"/>
        <v>0.45882352941176469</v>
      </c>
      <c r="P1065">
        <f t="shared" si="220"/>
        <v>968</v>
      </c>
      <c r="Q1065">
        <f t="shared" si="221"/>
        <v>904</v>
      </c>
    </row>
    <row r="1066" spans="1:17" x14ac:dyDescent="0.35">
      <c r="A1066">
        <v>2025</v>
      </c>
      <c r="B1066" s="1">
        <v>169</v>
      </c>
      <c r="C1066" s="1">
        <v>20</v>
      </c>
      <c r="D1066" s="12">
        <f t="shared" si="209"/>
        <v>21.125</v>
      </c>
      <c r="E1066" s="27">
        <f t="shared" si="210"/>
        <v>0.42249999999999999</v>
      </c>
      <c r="F1066" s="27">
        <f t="shared" si="211"/>
        <v>0.4</v>
      </c>
      <c r="G1066">
        <f t="shared" si="212"/>
        <v>41.125</v>
      </c>
      <c r="H1066">
        <f t="shared" si="213"/>
        <v>0</v>
      </c>
      <c r="I1066">
        <f t="shared" si="214"/>
        <v>-0.43805213738583199</v>
      </c>
      <c r="J1066">
        <f t="shared" si="215"/>
        <v>-1.2489938292010385</v>
      </c>
      <c r="K1066">
        <f t="shared" si="216"/>
        <v>7.5064668891644586E-5</v>
      </c>
      <c r="L1066">
        <f t="shared" si="217"/>
        <v>-7.5067486384877257E-5</v>
      </c>
      <c r="M1066">
        <f t="shared" si="218"/>
        <v>0.48632218844984804</v>
      </c>
      <c r="N1066">
        <f t="shared" si="219"/>
        <v>0.51367781155015202</v>
      </c>
      <c r="P1066">
        <f t="shared" si="220"/>
        <v>744.5</v>
      </c>
      <c r="Q1066">
        <f t="shared" si="221"/>
        <v>996</v>
      </c>
    </row>
    <row r="1067" spans="1:17" x14ac:dyDescent="0.35">
      <c r="A1067">
        <v>2025</v>
      </c>
      <c r="B1067" s="1">
        <v>176</v>
      </c>
      <c r="C1067" s="1">
        <v>18</v>
      </c>
      <c r="D1067" s="12">
        <f t="shared" si="209"/>
        <v>22</v>
      </c>
      <c r="E1067" s="27">
        <f t="shared" si="210"/>
        <v>0.44</v>
      </c>
      <c r="F1067" s="27">
        <f t="shared" si="211"/>
        <v>0.36</v>
      </c>
      <c r="G1067">
        <f t="shared" si="212"/>
        <v>40</v>
      </c>
      <c r="H1067">
        <f t="shared" si="213"/>
        <v>0</v>
      </c>
      <c r="I1067">
        <f t="shared" si="214"/>
        <v>-0.18919846291664436</v>
      </c>
      <c r="J1067">
        <f t="shared" si="215"/>
        <v>-1.4800718393623831</v>
      </c>
      <c r="K1067">
        <f t="shared" si="216"/>
        <v>2.7735836732224629E-5</v>
      </c>
      <c r="L1067">
        <f t="shared" si="217"/>
        <v>-2.7736221377644193E-5</v>
      </c>
      <c r="M1067">
        <f t="shared" si="218"/>
        <v>0.45</v>
      </c>
      <c r="N1067">
        <f t="shared" si="219"/>
        <v>0.55000000000000004</v>
      </c>
      <c r="P1067">
        <f t="shared" si="220"/>
        <v>607.5</v>
      </c>
      <c r="Q1067">
        <f t="shared" si="221"/>
        <v>1044.5</v>
      </c>
    </row>
    <row r="1068" spans="1:17" x14ac:dyDescent="0.35">
      <c r="A1068">
        <v>2025</v>
      </c>
      <c r="B1068" s="1">
        <v>172</v>
      </c>
      <c r="C1068" s="1">
        <v>18</v>
      </c>
      <c r="D1068" s="12">
        <f t="shared" si="209"/>
        <v>21.5</v>
      </c>
      <c r="E1068" s="27">
        <f t="shared" si="210"/>
        <v>0.43</v>
      </c>
      <c r="F1068" s="27">
        <f t="shared" si="211"/>
        <v>0.36</v>
      </c>
      <c r="G1068">
        <f t="shared" si="212"/>
        <v>39.5</v>
      </c>
      <c r="H1068">
        <f t="shared" si="213"/>
        <v>0</v>
      </c>
      <c r="I1068">
        <f t="shared" si="214"/>
        <v>-0.33140056261332301</v>
      </c>
      <c r="J1068">
        <f t="shared" si="215"/>
        <v>-1.4800718393623831</v>
      </c>
      <c r="K1068">
        <f t="shared" si="216"/>
        <v>1.4889233192227061E-5</v>
      </c>
      <c r="L1068">
        <f t="shared" si="217"/>
        <v>-1.4889344037994009E-5</v>
      </c>
      <c r="M1068">
        <f t="shared" si="218"/>
        <v>0.45569620253164556</v>
      </c>
      <c r="N1068">
        <f t="shared" si="219"/>
        <v>0.54430379746835444</v>
      </c>
      <c r="P1068">
        <f t="shared" si="220"/>
        <v>684</v>
      </c>
      <c r="Q1068">
        <f t="shared" si="221"/>
        <v>1044.5</v>
      </c>
    </row>
    <row r="1069" spans="1:17" x14ac:dyDescent="0.35">
      <c r="A1069">
        <v>2025</v>
      </c>
      <c r="B1069" s="1">
        <v>176</v>
      </c>
      <c r="C1069" s="1">
        <v>16</v>
      </c>
      <c r="D1069" s="12">
        <f t="shared" si="209"/>
        <v>22</v>
      </c>
      <c r="E1069" s="27">
        <f t="shared" si="210"/>
        <v>0.44</v>
      </c>
      <c r="F1069" s="27">
        <f t="shared" si="211"/>
        <v>0.32</v>
      </c>
      <c r="G1069">
        <f t="shared" si="212"/>
        <v>38</v>
      </c>
      <c r="H1069">
        <f t="shared" si="213"/>
        <v>0</v>
      </c>
      <c r="I1069">
        <f t="shared" si="214"/>
        <v>-0.18919846291664436</v>
      </c>
      <c r="J1069">
        <f t="shared" si="215"/>
        <v>-1.7111498495237276</v>
      </c>
      <c r="K1069">
        <f t="shared" si="216"/>
        <v>3.4500989679082501E-6</v>
      </c>
      <c r="L1069">
        <f t="shared" si="217"/>
        <v>-3.4501049195660242E-6</v>
      </c>
      <c r="M1069">
        <f t="shared" si="218"/>
        <v>0.42105263157894735</v>
      </c>
      <c r="N1069">
        <f t="shared" si="219"/>
        <v>0.57894736842105265</v>
      </c>
      <c r="P1069">
        <f t="shared" si="220"/>
        <v>607.5</v>
      </c>
      <c r="Q1069">
        <f t="shared" si="221"/>
        <v>1079.5</v>
      </c>
    </row>
    <row r="1070" spans="1:17" x14ac:dyDescent="0.35">
      <c r="A1070">
        <v>2025</v>
      </c>
      <c r="B1070" s="1">
        <v>158</v>
      </c>
      <c r="C1070" s="1">
        <v>15</v>
      </c>
      <c r="D1070" s="12">
        <f t="shared" si="209"/>
        <v>19.75</v>
      </c>
      <c r="E1070" s="27">
        <f t="shared" si="210"/>
        <v>0.39500000000000002</v>
      </c>
      <c r="F1070" s="27">
        <f t="shared" si="211"/>
        <v>0.3</v>
      </c>
      <c r="G1070">
        <f t="shared" si="212"/>
        <v>34.75</v>
      </c>
      <c r="H1070">
        <f t="shared" si="213"/>
        <v>0</v>
      </c>
      <c r="I1070">
        <f t="shared" si="214"/>
        <v>-0.82910791155169816</v>
      </c>
      <c r="J1070">
        <f t="shared" si="215"/>
        <v>-1.8266888546044</v>
      </c>
      <c r="K1070">
        <f t="shared" si="216"/>
        <v>7.4035079601723414E-8</v>
      </c>
      <c r="L1070">
        <f t="shared" si="217"/>
        <v>-7.4035082363044244E-8</v>
      </c>
      <c r="M1070">
        <f t="shared" si="218"/>
        <v>0.43165467625899279</v>
      </c>
      <c r="N1070">
        <f t="shared" si="219"/>
        <v>0.56834532374100721</v>
      </c>
      <c r="P1070">
        <f t="shared" si="220"/>
        <v>940.5</v>
      </c>
      <c r="Q1070">
        <f t="shared" si="221"/>
        <v>1094</v>
      </c>
    </row>
    <row r="1071" spans="1:17" x14ac:dyDescent="0.35">
      <c r="A1071">
        <v>2025</v>
      </c>
      <c r="B1071" s="1">
        <v>159</v>
      </c>
      <c r="C1071" s="1">
        <v>14</v>
      </c>
      <c r="D1071" s="12">
        <f t="shared" si="209"/>
        <v>19.875</v>
      </c>
      <c r="E1071" s="27">
        <f t="shared" si="210"/>
        <v>0.39750000000000002</v>
      </c>
      <c r="F1071" s="27">
        <f t="shared" si="211"/>
        <v>0.28000000000000003</v>
      </c>
      <c r="G1071">
        <f t="shared" si="212"/>
        <v>33.875</v>
      </c>
      <c r="H1071">
        <f t="shared" si="213"/>
        <v>0</v>
      </c>
      <c r="I1071">
        <f t="shared" si="214"/>
        <v>-0.7935573866275285</v>
      </c>
      <c r="J1071">
        <f t="shared" si="215"/>
        <v>-1.9422278596850724</v>
      </c>
      <c r="K1071">
        <f t="shared" si="216"/>
        <v>3.0505002390410914E-8</v>
      </c>
      <c r="L1071">
        <f t="shared" si="217"/>
        <v>-3.0505002878250308E-8</v>
      </c>
      <c r="M1071">
        <f t="shared" si="218"/>
        <v>0.41328413284132842</v>
      </c>
      <c r="N1071">
        <f t="shared" si="219"/>
        <v>0.58671586715867163</v>
      </c>
      <c r="P1071">
        <f t="shared" si="220"/>
        <v>923</v>
      </c>
      <c r="Q1071">
        <f t="shared" si="221"/>
        <v>1107.5</v>
      </c>
    </row>
    <row r="1072" spans="1:17" x14ac:dyDescent="0.35">
      <c r="A1072">
        <v>2025</v>
      </c>
      <c r="B1072" s="1">
        <v>165</v>
      </c>
      <c r="C1072" s="1">
        <v>10</v>
      </c>
      <c r="D1072" s="12">
        <f t="shared" si="209"/>
        <v>20.625</v>
      </c>
      <c r="E1072" s="27">
        <f t="shared" si="210"/>
        <v>0.41249999999999998</v>
      </c>
      <c r="F1072" s="27">
        <f t="shared" si="211"/>
        <v>0.2</v>
      </c>
      <c r="G1072">
        <f t="shared" si="212"/>
        <v>30.625</v>
      </c>
      <c r="H1072">
        <f t="shared" si="213"/>
        <v>0</v>
      </c>
      <c r="I1072">
        <f t="shared" si="214"/>
        <v>-0.58025423708251056</v>
      </c>
      <c r="J1072">
        <f t="shared" si="215"/>
        <v>-2.4043838800077615</v>
      </c>
      <c r="K1072">
        <f t="shared" si="216"/>
        <v>1.2000306073378549E-9</v>
      </c>
      <c r="L1072">
        <f t="shared" si="217"/>
        <v>-1.2000306311416591E-9</v>
      </c>
      <c r="M1072">
        <f t="shared" si="218"/>
        <v>0.32653061224489793</v>
      </c>
      <c r="N1072">
        <f t="shared" si="219"/>
        <v>0.67346938775510201</v>
      </c>
      <c r="P1072">
        <f t="shared" si="220"/>
        <v>826.5</v>
      </c>
      <c r="Q1072">
        <f t="shared" si="221"/>
        <v>1135</v>
      </c>
    </row>
    <row r="1073" spans="1:17" x14ac:dyDescent="0.35">
      <c r="A1073">
        <v>2025</v>
      </c>
      <c r="B1073" s="1">
        <v>182</v>
      </c>
      <c r="C1073" s="1">
        <v>39</v>
      </c>
      <c r="D1073" s="12">
        <f t="shared" si="209"/>
        <v>22.75</v>
      </c>
      <c r="E1073" s="27">
        <f t="shared" si="210"/>
        <v>0.45500000000000002</v>
      </c>
      <c r="F1073" s="27">
        <f t="shared" si="211"/>
        <v>0.78</v>
      </c>
      <c r="G1073">
        <f t="shared" si="212"/>
        <v>61.75</v>
      </c>
      <c r="H1073">
        <f t="shared" si="213"/>
        <v>1</v>
      </c>
      <c r="I1073">
        <f t="shared" si="214"/>
        <v>2.4104686628373572E-2</v>
      </c>
      <c r="J1073">
        <f t="shared" si="215"/>
        <v>0.94624726733173525</v>
      </c>
      <c r="K1073">
        <f t="shared" si="216"/>
        <v>0.99999556523939748</v>
      </c>
      <c r="L1073">
        <f t="shared" si="217"/>
        <v>-4.4347704361028876E-6</v>
      </c>
      <c r="M1073">
        <f t="shared" si="218"/>
        <v>0.63157894736842102</v>
      </c>
      <c r="N1073">
        <f t="shared" si="219"/>
        <v>0.36842105263157893</v>
      </c>
      <c r="P1073">
        <f t="shared" si="220"/>
        <v>484.5</v>
      </c>
      <c r="Q1073">
        <f t="shared" si="221"/>
        <v>233</v>
      </c>
    </row>
    <row r="1074" spans="1:17" x14ac:dyDescent="0.35">
      <c r="A1074">
        <v>2025</v>
      </c>
      <c r="B1074" s="1">
        <v>285</v>
      </c>
      <c r="C1074" s="1">
        <v>41</v>
      </c>
      <c r="D1074" s="12">
        <f t="shared" si="209"/>
        <v>35.625</v>
      </c>
      <c r="E1074" s="27">
        <f t="shared" si="210"/>
        <v>0.71250000000000002</v>
      </c>
      <c r="F1074" s="27">
        <f t="shared" si="211"/>
        <v>0.82</v>
      </c>
      <c r="G1074">
        <f t="shared" si="212"/>
        <v>76.625</v>
      </c>
      <c r="H1074">
        <f t="shared" si="213"/>
        <v>1</v>
      </c>
      <c r="I1074">
        <f t="shared" si="214"/>
        <v>3.6858087538178483</v>
      </c>
      <c r="J1074">
        <f t="shared" si="215"/>
        <v>1.1773252774930798</v>
      </c>
      <c r="K1074">
        <f t="shared" si="216"/>
        <v>0.99999999999993916</v>
      </c>
      <c r="L1074">
        <f t="shared" si="217"/>
        <v>-6.0840221749460434E-14</v>
      </c>
      <c r="M1074">
        <f t="shared" si="218"/>
        <v>0.53507340946166393</v>
      </c>
      <c r="N1074">
        <f t="shared" si="219"/>
        <v>0.46492659053833607</v>
      </c>
      <c r="P1074">
        <f t="shared" si="220"/>
        <v>10</v>
      </c>
      <c r="Q1074">
        <f t="shared" si="221"/>
        <v>129.5</v>
      </c>
    </row>
    <row r="1075" spans="1:17" x14ac:dyDescent="0.35">
      <c r="A1075">
        <v>2025</v>
      </c>
      <c r="B1075" s="1">
        <v>270</v>
      </c>
      <c r="C1075" s="1">
        <v>40</v>
      </c>
      <c r="D1075" s="12">
        <f t="shared" si="209"/>
        <v>33.75</v>
      </c>
      <c r="E1075" s="27">
        <f t="shared" si="210"/>
        <v>0.67500000000000004</v>
      </c>
      <c r="F1075" s="27">
        <f t="shared" si="211"/>
        <v>0.8</v>
      </c>
      <c r="G1075">
        <f t="shared" si="212"/>
        <v>73.75</v>
      </c>
      <c r="H1075">
        <f t="shared" si="213"/>
        <v>1</v>
      </c>
      <c r="I1075">
        <f t="shared" si="214"/>
        <v>3.1525508799553035</v>
      </c>
      <c r="J1075">
        <f t="shared" si="215"/>
        <v>1.0617862724124074</v>
      </c>
      <c r="K1075">
        <f t="shared" si="216"/>
        <v>0.99999999999822009</v>
      </c>
      <c r="L1075">
        <f t="shared" si="217"/>
        <v>-1.779909553080635E-12</v>
      </c>
      <c r="M1075">
        <f t="shared" si="218"/>
        <v>0.5423728813559322</v>
      </c>
      <c r="N1075">
        <f t="shared" si="219"/>
        <v>0.4576271186440678</v>
      </c>
      <c r="P1075">
        <f t="shared" si="220"/>
        <v>16.5</v>
      </c>
      <c r="Q1075">
        <f t="shared" si="221"/>
        <v>173</v>
      </c>
    </row>
    <row r="1076" spans="1:17" x14ac:dyDescent="0.35">
      <c r="A1076">
        <v>2025</v>
      </c>
      <c r="B1076" s="1">
        <v>200</v>
      </c>
      <c r="C1076" s="1">
        <v>39</v>
      </c>
      <c r="D1076" s="12">
        <f t="shared" si="209"/>
        <v>25</v>
      </c>
      <c r="E1076" s="27">
        <f t="shared" si="210"/>
        <v>0.5</v>
      </c>
      <c r="F1076" s="27">
        <f t="shared" si="211"/>
        <v>0.78</v>
      </c>
      <c r="G1076">
        <f t="shared" si="212"/>
        <v>64</v>
      </c>
      <c r="H1076">
        <f t="shared" si="213"/>
        <v>1</v>
      </c>
      <c r="I1076">
        <f t="shared" si="214"/>
        <v>0.66401413526342745</v>
      </c>
      <c r="J1076">
        <f t="shared" si="215"/>
        <v>0.94624726733173525</v>
      </c>
      <c r="K1076">
        <f t="shared" si="216"/>
        <v>0.99999973017222588</v>
      </c>
      <c r="L1076">
        <f t="shared" si="217"/>
        <v>-2.6982781052772982E-7</v>
      </c>
      <c r="M1076">
        <f t="shared" si="218"/>
        <v>0.609375</v>
      </c>
      <c r="N1076">
        <f t="shared" si="219"/>
        <v>0.390625</v>
      </c>
      <c r="P1076">
        <f t="shared" si="220"/>
        <v>229</v>
      </c>
      <c r="Q1076">
        <f t="shared" si="221"/>
        <v>233</v>
      </c>
    </row>
    <row r="1077" spans="1:17" x14ac:dyDescent="0.35">
      <c r="A1077">
        <v>2025</v>
      </c>
      <c r="B1077" s="1">
        <v>238</v>
      </c>
      <c r="C1077" s="1">
        <v>34</v>
      </c>
      <c r="D1077" s="12">
        <f t="shared" si="209"/>
        <v>29.75</v>
      </c>
      <c r="E1077" s="27">
        <f t="shared" si="210"/>
        <v>0.59499999999999997</v>
      </c>
      <c r="F1077" s="27">
        <f t="shared" si="211"/>
        <v>0.68</v>
      </c>
      <c r="G1077">
        <f t="shared" si="212"/>
        <v>63.75</v>
      </c>
      <c r="H1077">
        <f t="shared" si="213"/>
        <v>1</v>
      </c>
      <c r="I1077">
        <f t="shared" si="214"/>
        <v>2.0149340823818744</v>
      </c>
      <c r="J1077">
        <f t="shared" si="215"/>
        <v>0.36855224192837371</v>
      </c>
      <c r="K1077">
        <f t="shared" si="216"/>
        <v>0.9999998658843563</v>
      </c>
      <c r="L1077">
        <f t="shared" si="217"/>
        <v>-1.3411565269530803E-7</v>
      </c>
      <c r="M1077">
        <f t="shared" si="218"/>
        <v>0.53333333333333333</v>
      </c>
      <c r="N1077">
        <f t="shared" si="219"/>
        <v>0.46666666666666667</v>
      </c>
      <c r="P1077">
        <f t="shared" si="220"/>
        <v>45.5</v>
      </c>
      <c r="Q1077">
        <f t="shared" si="221"/>
        <v>484.5</v>
      </c>
    </row>
    <row r="1078" spans="1:17" x14ac:dyDescent="0.35">
      <c r="A1078">
        <v>2025</v>
      </c>
      <c r="B1078" s="1">
        <v>187</v>
      </c>
      <c r="C1078" s="1">
        <v>40</v>
      </c>
      <c r="D1078" s="12">
        <f t="shared" si="209"/>
        <v>23.375</v>
      </c>
      <c r="E1078" s="27">
        <f t="shared" si="210"/>
        <v>0.46750000000000003</v>
      </c>
      <c r="F1078" s="27">
        <f t="shared" si="211"/>
        <v>0.8</v>
      </c>
      <c r="G1078">
        <f t="shared" si="212"/>
        <v>63.375</v>
      </c>
      <c r="H1078">
        <f t="shared" si="213"/>
        <v>1</v>
      </c>
      <c r="I1078">
        <f t="shared" si="214"/>
        <v>0.20185731124922185</v>
      </c>
      <c r="J1078">
        <f t="shared" si="215"/>
        <v>1.0617862724124074</v>
      </c>
      <c r="K1078">
        <f t="shared" si="216"/>
        <v>0.99999928130683946</v>
      </c>
      <c r="L1078">
        <f t="shared" si="217"/>
        <v>-7.186934187996829E-7</v>
      </c>
      <c r="M1078">
        <f t="shared" si="218"/>
        <v>0.63116370808678501</v>
      </c>
      <c r="N1078">
        <f t="shared" si="219"/>
        <v>0.36883629191321499</v>
      </c>
      <c r="P1078">
        <f t="shared" si="220"/>
        <v>393</v>
      </c>
      <c r="Q1078">
        <f t="shared" si="221"/>
        <v>173</v>
      </c>
    </row>
    <row r="1079" spans="1:17" x14ac:dyDescent="0.35">
      <c r="A1079">
        <v>2025</v>
      </c>
      <c r="B1079" s="1">
        <v>189</v>
      </c>
      <c r="C1079" s="1">
        <v>39</v>
      </c>
      <c r="D1079" s="12">
        <f t="shared" si="209"/>
        <v>23.625</v>
      </c>
      <c r="E1079" s="27">
        <f t="shared" si="210"/>
        <v>0.47249999999999998</v>
      </c>
      <c r="F1079" s="27">
        <f t="shared" si="211"/>
        <v>0.78</v>
      </c>
      <c r="G1079">
        <f t="shared" si="212"/>
        <v>62.625</v>
      </c>
      <c r="H1079">
        <f t="shared" si="213"/>
        <v>1</v>
      </c>
      <c r="I1079">
        <f t="shared" si="214"/>
        <v>0.27295836109756116</v>
      </c>
      <c r="J1079">
        <f t="shared" si="215"/>
        <v>0.94624726733173525</v>
      </c>
      <c r="K1079">
        <f t="shared" si="216"/>
        <v>0.99999850697854442</v>
      </c>
      <c r="L1079">
        <f t="shared" si="217"/>
        <v>-1.4930225701362563E-6</v>
      </c>
      <c r="M1079">
        <f t="shared" si="218"/>
        <v>0.6227544910179641</v>
      </c>
      <c r="N1079">
        <f t="shared" si="219"/>
        <v>0.3772455089820359</v>
      </c>
      <c r="P1079">
        <f t="shared" si="220"/>
        <v>357.5</v>
      </c>
      <c r="Q1079">
        <f t="shared" si="221"/>
        <v>233</v>
      </c>
    </row>
    <row r="1080" spans="1:17" x14ac:dyDescent="0.35">
      <c r="A1080">
        <v>2025</v>
      </c>
      <c r="B1080" s="1">
        <v>193</v>
      </c>
      <c r="C1080" s="1">
        <v>38</v>
      </c>
      <c r="D1080" s="12">
        <f t="shared" si="209"/>
        <v>24.125</v>
      </c>
      <c r="E1080" s="27">
        <f t="shared" si="210"/>
        <v>0.48249999999999998</v>
      </c>
      <c r="F1080" s="27">
        <f t="shared" si="211"/>
        <v>0.76</v>
      </c>
      <c r="G1080">
        <f t="shared" si="212"/>
        <v>62.125</v>
      </c>
      <c r="H1080">
        <f t="shared" si="213"/>
        <v>1</v>
      </c>
      <c r="I1080">
        <f t="shared" si="214"/>
        <v>0.41516046079423979</v>
      </c>
      <c r="J1080">
        <f t="shared" si="215"/>
        <v>0.83070826225106287</v>
      </c>
      <c r="K1080">
        <f t="shared" si="216"/>
        <v>0.99999772751343807</v>
      </c>
      <c r="L1080">
        <f t="shared" si="217"/>
        <v>-2.2724891440287439E-6</v>
      </c>
      <c r="M1080">
        <f t="shared" si="218"/>
        <v>0.61167002012072436</v>
      </c>
      <c r="N1080">
        <f t="shared" si="219"/>
        <v>0.38832997987927564</v>
      </c>
      <c r="P1080">
        <f t="shared" si="220"/>
        <v>307</v>
      </c>
      <c r="Q1080">
        <f t="shared" si="221"/>
        <v>297.5</v>
      </c>
    </row>
    <row r="1081" spans="1:17" x14ac:dyDescent="0.35">
      <c r="A1081">
        <v>2025</v>
      </c>
      <c r="B1081" s="1">
        <v>183</v>
      </c>
      <c r="C1081" s="1">
        <v>39</v>
      </c>
      <c r="D1081" s="12">
        <f t="shared" si="209"/>
        <v>22.875</v>
      </c>
      <c r="E1081" s="27">
        <f t="shared" si="210"/>
        <v>0.45750000000000002</v>
      </c>
      <c r="F1081" s="27">
        <f t="shared" si="211"/>
        <v>0.78</v>
      </c>
      <c r="G1081">
        <f t="shared" si="212"/>
        <v>61.875</v>
      </c>
      <c r="H1081">
        <f t="shared" si="213"/>
        <v>1</v>
      </c>
      <c r="I1081">
        <f t="shared" si="214"/>
        <v>5.9655211552543233E-2</v>
      </c>
      <c r="J1081">
        <f t="shared" si="215"/>
        <v>0.94624726733173525</v>
      </c>
      <c r="K1081">
        <f t="shared" si="216"/>
        <v>0.99999620399454214</v>
      </c>
      <c r="L1081">
        <f t="shared" si="217"/>
        <v>-3.7960126627036948E-6</v>
      </c>
      <c r="M1081">
        <f t="shared" si="218"/>
        <v>0.63030303030303025</v>
      </c>
      <c r="N1081">
        <f t="shared" si="219"/>
        <v>0.36969696969696969</v>
      </c>
      <c r="P1081">
        <f t="shared" si="220"/>
        <v>465</v>
      </c>
      <c r="Q1081">
        <f t="shared" si="221"/>
        <v>233</v>
      </c>
    </row>
    <row r="1082" spans="1:17" x14ac:dyDescent="0.35">
      <c r="A1082">
        <v>2025</v>
      </c>
      <c r="B1082" s="1">
        <v>178</v>
      </c>
      <c r="C1082" s="1">
        <v>39</v>
      </c>
      <c r="D1082" s="12">
        <f t="shared" si="209"/>
        <v>22.25</v>
      </c>
      <c r="E1082" s="27">
        <f t="shared" si="210"/>
        <v>0.44500000000000001</v>
      </c>
      <c r="F1082" s="27">
        <f t="shared" si="211"/>
        <v>0.78</v>
      </c>
      <c r="G1082">
        <f t="shared" si="212"/>
        <v>61.25</v>
      </c>
      <c r="H1082">
        <f t="shared" si="213"/>
        <v>1</v>
      </c>
      <c r="I1082">
        <f t="shared" si="214"/>
        <v>-0.11809741306830505</v>
      </c>
      <c r="J1082">
        <f t="shared" si="215"/>
        <v>0.94624726733173525</v>
      </c>
      <c r="K1082">
        <f t="shared" si="216"/>
        <v>0.99999173880186032</v>
      </c>
      <c r="L1082">
        <f t="shared" si="217"/>
        <v>-8.2612322635660251E-6</v>
      </c>
      <c r="M1082">
        <f t="shared" si="218"/>
        <v>0.63673469387755099</v>
      </c>
      <c r="N1082">
        <f t="shared" si="219"/>
        <v>0.36326530612244901</v>
      </c>
      <c r="P1082">
        <f t="shared" si="220"/>
        <v>564.5</v>
      </c>
      <c r="Q1082">
        <f t="shared" si="221"/>
        <v>233</v>
      </c>
    </row>
    <row r="1083" spans="1:17" x14ac:dyDescent="0.35">
      <c r="A1083">
        <v>2025</v>
      </c>
      <c r="B1083" s="1">
        <v>193</v>
      </c>
      <c r="C1083" s="1">
        <v>37</v>
      </c>
      <c r="D1083" s="12">
        <f t="shared" si="209"/>
        <v>24.125</v>
      </c>
      <c r="E1083" s="27">
        <f t="shared" si="210"/>
        <v>0.48249999999999998</v>
      </c>
      <c r="F1083" s="27">
        <f t="shared" si="211"/>
        <v>0.74</v>
      </c>
      <c r="G1083">
        <f t="shared" si="212"/>
        <v>61.125</v>
      </c>
      <c r="H1083">
        <f t="shared" si="213"/>
        <v>1</v>
      </c>
      <c r="I1083">
        <f t="shared" si="214"/>
        <v>0.41516046079423979</v>
      </c>
      <c r="J1083">
        <f t="shared" si="215"/>
        <v>0.71516925717039059</v>
      </c>
      <c r="K1083">
        <f t="shared" si="216"/>
        <v>0.99999355668081769</v>
      </c>
      <c r="L1083">
        <f t="shared" si="217"/>
        <v>-6.4433399405845436E-6</v>
      </c>
      <c r="M1083">
        <f t="shared" si="218"/>
        <v>0.60531697341513291</v>
      </c>
      <c r="N1083">
        <f t="shared" si="219"/>
        <v>0.39468302658486709</v>
      </c>
      <c r="P1083">
        <f t="shared" si="220"/>
        <v>307</v>
      </c>
      <c r="Q1083">
        <f t="shared" si="221"/>
        <v>351</v>
      </c>
    </row>
    <row r="1084" spans="1:17" x14ac:dyDescent="0.35">
      <c r="A1084">
        <v>2025</v>
      </c>
      <c r="B1084" s="1">
        <v>190</v>
      </c>
      <c r="C1084" s="1">
        <v>37</v>
      </c>
      <c r="D1084" s="12">
        <f t="shared" si="209"/>
        <v>23.75</v>
      </c>
      <c r="E1084" s="27">
        <f t="shared" si="210"/>
        <v>0.47499999999999998</v>
      </c>
      <c r="F1084" s="27">
        <f t="shared" si="211"/>
        <v>0.74</v>
      </c>
      <c r="G1084">
        <f t="shared" si="212"/>
        <v>60.75</v>
      </c>
      <c r="H1084">
        <f t="shared" si="213"/>
        <v>1</v>
      </c>
      <c r="I1084">
        <f t="shared" si="214"/>
        <v>0.30850888602173082</v>
      </c>
      <c r="J1084">
        <f t="shared" si="215"/>
        <v>0.71516925717039059</v>
      </c>
      <c r="K1084">
        <f t="shared" si="216"/>
        <v>0.99998972601631753</v>
      </c>
      <c r="L1084">
        <f t="shared" si="217"/>
        <v>-1.0274036460205743E-5</v>
      </c>
      <c r="M1084">
        <f t="shared" si="218"/>
        <v>0.60905349794238683</v>
      </c>
      <c r="N1084">
        <f t="shared" si="219"/>
        <v>0.39094650205761317</v>
      </c>
      <c r="P1084">
        <f t="shared" si="220"/>
        <v>341</v>
      </c>
      <c r="Q1084">
        <f t="shared" si="221"/>
        <v>351</v>
      </c>
    </row>
    <row r="1085" spans="1:17" x14ac:dyDescent="0.35">
      <c r="A1085">
        <v>2025</v>
      </c>
      <c r="B1085" s="1">
        <v>166</v>
      </c>
      <c r="C1085" s="1">
        <v>40</v>
      </c>
      <c r="D1085" s="12">
        <f t="shared" si="209"/>
        <v>20.75</v>
      </c>
      <c r="E1085" s="27">
        <f t="shared" si="210"/>
        <v>0.41499999999999998</v>
      </c>
      <c r="F1085" s="27">
        <f t="shared" si="211"/>
        <v>0.8</v>
      </c>
      <c r="G1085">
        <f t="shared" si="212"/>
        <v>60.75</v>
      </c>
      <c r="H1085">
        <f t="shared" si="213"/>
        <v>1</v>
      </c>
      <c r="I1085">
        <f t="shared" si="214"/>
        <v>-0.5447037121583409</v>
      </c>
      <c r="J1085">
        <f t="shared" si="215"/>
        <v>1.0617862724124074</v>
      </c>
      <c r="K1085">
        <f t="shared" si="216"/>
        <v>0.99998116559640249</v>
      </c>
      <c r="L1085">
        <f t="shared" si="217"/>
        <v>-1.8834580967118414E-5</v>
      </c>
      <c r="M1085">
        <f t="shared" si="218"/>
        <v>0.65843621399176955</v>
      </c>
      <c r="N1085">
        <f t="shared" si="219"/>
        <v>0.34156378600823045</v>
      </c>
      <c r="P1085">
        <f t="shared" si="220"/>
        <v>809</v>
      </c>
      <c r="Q1085">
        <f t="shared" si="221"/>
        <v>173</v>
      </c>
    </row>
    <row r="1086" spans="1:17" x14ac:dyDescent="0.35">
      <c r="A1086">
        <v>2025</v>
      </c>
      <c r="B1086" s="1">
        <v>158</v>
      </c>
      <c r="C1086" s="1">
        <v>41</v>
      </c>
      <c r="D1086" s="12">
        <f t="shared" si="209"/>
        <v>19.75</v>
      </c>
      <c r="E1086" s="27">
        <f t="shared" si="210"/>
        <v>0.39500000000000002</v>
      </c>
      <c r="F1086" s="27">
        <f t="shared" si="211"/>
        <v>0.82</v>
      </c>
      <c r="G1086">
        <f t="shared" si="212"/>
        <v>60.75</v>
      </c>
      <c r="H1086">
        <f t="shared" si="213"/>
        <v>1</v>
      </c>
      <c r="I1086">
        <f t="shared" si="214"/>
        <v>-0.82910791155169816</v>
      </c>
      <c r="J1086">
        <f t="shared" si="215"/>
        <v>1.1773252774930798</v>
      </c>
      <c r="K1086">
        <f t="shared" si="216"/>
        <v>0.9999769490436915</v>
      </c>
      <c r="L1086">
        <f t="shared" si="217"/>
        <v>-2.3051221985877414E-5</v>
      </c>
      <c r="M1086">
        <f t="shared" si="218"/>
        <v>0.67489711934156382</v>
      </c>
      <c r="N1086">
        <f t="shared" si="219"/>
        <v>0.32510288065843623</v>
      </c>
      <c r="P1086">
        <f t="shared" si="220"/>
        <v>940.5</v>
      </c>
      <c r="Q1086">
        <f t="shared" si="221"/>
        <v>129.5</v>
      </c>
    </row>
    <row r="1087" spans="1:17" x14ac:dyDescent="0.35">
      <c r="A1087">
        <v>2025</v>
      </c>
      <c r="B1087" s="1">
        <v>232</v>
      </c>
      <c r="C1087" s="1">
        <v>31</v>
      </c>
      <c r="D1087" s="12">
        <f t="shared" si="209"/>
        <v>29</v>
      </c>
      <c r="E1087" s="27">
        <f t="shared" si="210"/>
        <v>0.57999999999999996</v>
      </c>
      <c r="F1087" s="27">
        <f t="shared" si="211"/>
        <v>0.62</v>
      </c>
      <c r="G1087">
        <f t="shared" si="212"/>
        <v>60</v>
      </c>
      <c r="H1087">
        <f t="shared" si="213"/>
        <v>1</v>
      </c>
      <c r="I1087">
        <f t="shared" si="214"/>
        <v>1.8016309328368565</v>
      </c>
      <c r="J1087">
        <f t="shared" si="215"/>
        <v>2.1935226686356796E-2</v>
      </c>
      <c r="K1087">
        <f t="shared" si="216"/>
        <v>0.9999922273645323</v>
      </c>
      <c r="L1087">
        <f t="shared" si="217"/>
        <v>-7.772665674783048E-6</v>
      </c>
      <c r="M1087">
        <f t="shared" si="218"/>
        <v>0.51666666666666672</v>
      </c>
      <c r="N1087">
        <f t="shared" si="219"/>
        <v>0.48333333333333334</v>
      </c>
      <c r="P1087">
        <f t="shared" si="220"/>
        <v>57.5</v>
      </c>
      <c r="Q1087">
        <f t="shared" si="221"/>
        <v>605</v>
      </c>
    </row>
    <row r="1088" spans="1:17" x14ac:dyDescent="0.35">
      <c r="A1088">
        <v>2025</v>
      </c>
      <c r="B1088" s="1">
        <v>157</v>
      </c>
      <c r="C1088" s="1">
        <v>40</v>
      </c>
      <c r="D1088" s="12">
        <f t="shared" si="209"/>
        <v>19.625</v>
      </c>
      <c r="E1088" s="27">
        <f t="shared" si="210"/>
        <v>0.39250000000000002</v>
      </c>
      <c r="F1088" s="27">
        <f t="shared" si="211"/>
        <v>0.8</v>
      </c>
      <c r="G1088">
        <f t="shared" si="212"/>
        <v>59.625</v>
      </c>
      <c r="H1088">
        <f t="shared" si="213"/>
        <v>1</v>
      </c>
      <c r="I1088">
        <f t="shared" si="214"/>
        <v>-0.86465843647586782</v>
      </c>
      <c r="J1088">
        <f t="shared" si="215"/>
        <v>1.0617862724124074</v>
      </c>
      <c r="K1088">
        <f t="shared" si="216"/>
        <v>0.99992364815057422</v>
      </c>
      <c r="L1088">
        <f t="shared" si="217"/>
        <v>-7.6354764376612903E-5</v>
      </c>
      <c r="M1088">
        <f t="shared" si="218"/>
        <v>0.67085953878406712</v>
      </c>
      <c r="N1088">
        <f t="shared" si="219"/>
        <v>0.32914046121593293</v>
      </c>
      <c r="P1088">
        <f t="shared" si="220"/>
        <v>954</v>
      </c>
      <c r="Q1088">
        <f t="shared" si="221"/>
        <v>173</v>
      </c>
    </row>
    <row r="1089" spans="1:17" x14ac:dyDescent="0.35">
      <c r="A1089">
        <v>2025</v>
      </c>
      <c r="B1089" s="1">
        <v>181</v>
      </c>
      <c r="C1089" s="1">
        <v>37</v>
      </c>
      <c r="D1089" s="12">
        <f t="shared" si="209"/>
        <v>22.625</v>
      </c>
      <c r="E1089" s="27">
        <f t="shared" si="210"/>
        <v>0.45250000000000001</v>
      </c>
      <c r="F1089" s="27">
        <f t="shared" si="211"/>
        <v>0.74</v>
      </c>
      <c r="G1089">
        <f t="shared" si="212"/>
        <v>59.625</v>
      </c>
      <c r="H1089">
        <f t="shared" si="213"/>
        <v>1</v>
      </c>
      <c r="I1089">
        <f t="shared" si="214"/>
        <v>-1.1445838295796084E-2</v>
      </c>
      <c r="J1089">
        <f t="shared" si="215"/>
        <v>0.71516925717039059</v>
      </c>
      <c r="K1089">
        <f t="shared" si="216"/>
        <v>0.99995834972108677</v>
      </c>
      <c r="L1089">
        <f t="shared" si="217"/>
        <v>-4.1651146310181776E-5</v>
      </c>
      <c r="M1089">
        <f t="shared" si="218"/>
        <v>0.6205450733752621</v>
      </c>
      <c r="N1089">
        <f t="shared" si="219"/>
        <v>0.37945492662473795</v>
      </c>
      <c r="P1089">
        <f t="shared" si="220"/>
        <v>505</v>
      </c>
      <c r="Q1089">
        <f t="shared" si="221"/>
        <v>351</v>
      </c>
    </row>
    <row r="1090" spans="1:17" x14ac:dyDescent="0.35">
      <c r="A1090">
        <v>2025</v>
      </c>
      <c r="B1090" s="1">
        <v>165</v>
      </c>
      <c r="C1090" s="1">
        <v>39</v>
      </c>
      <c r="D1090" s="12">
        <f t="shared" si="209"/>
        <v>20.625</v>
      </c>
      <c r="E1090" s="27">
        <f t="shared" si="210"/>
        <v>0.41249999999999998</v>
      </c>
      <c r="F1090" s="27">
        <f t="shared" si="211"/>
        <v>0.78</v>
      </c>
      <c r="G1090">
        <f t="shared" si="212"/>
        <v>59.625</v>
      </c>
      <c r="H1090">
        <f t="shared" si="213"/>
        <v>1</v>
      </c>
      <c r="I1090">
        <f t="shared" si="214"/>
        <v>-0.58025423708251056</v>
      </c>
      <c r="J1090">
        <f t="shared" si="215"/>
        <v>0.94624726733173525</v>
      </c>
      <c r="K1090">
        <f t="shared" si="216"/>
        <v>0.99993761406036374</v>
      </c>
      <c r="L1090">
        <f t="shared" si="217"/>
        <v>-6.2387885719927236E-5</v>
      </c>
      <c r="M1090">
        <f t="shared" si="218"/>
        <v>0.65408805031446537</v>
      </c>
      <c r="N1090">
        <f t="shared" si="219"/>
        <v>0.34591194968553457</v>
      </c>
      <c r="P1090">
        <f t="shared" si="220"/>
        <v>826.5</v>
      </c>
      <c r="Q1090">
        <f t="shared" si="221"/>
        <v>233</v>
      </c>
    </row>
    <row r="1091" spans="1:17" x14ac:dyDescent="0.35">
      <c r="A1091">
        <v>2025</v>
      </c>
      <c r="B1091" s="1">
        <v>194</v>
      </c>
      <c r="C1091" s="1">
        <v>35</v>
      </c>
      <c r="D1091" s="12">
        <f t="shared" ref="D1091:D1144" si="222">B1091/8</f>
        <v>24.25</v>
      </c>
      <c r="E1091" s="27">
        <f t="shared" ref="E1091:E1144" si="223">B1091/400</f>
        <v>0.48499999999999999</v>
      </c>
      <c r="F1091" s="27">
        <f t="shared" ref="F1091:F1144" si="224">C1091/50</f>
        <v>0.7</v>
      </c>
      <c r="G1091">
        <f t="shared" ref="G1091:G1144" si="225">SUM(C1091+D1091)</f>
        <v>59.25</v>
      </c>
      <c r="H1091">
        <f t="shared" ref="H1091:H1144" si="226">IF(G1091&gt;=50,1,0)</f>
        <v>1</v>
      </c>
      <c r="I1091">
        <f t="shared" ref="I1091:I1144" si="227" xml:space="preserve"> (D:D - AVERAGE(D:D)) / STDEV(D:D)</f>
        <v>0.45071098571840945</v>
      </c>
      <c r="J1091">
        <f t="shared" ref="J1091:J1144" si="228" xml:space="preserve"> (C:C - AVERAGE(C:C)) / STDEV(C:C)</f>
        <v>0.48409124700904599</v>
      </c>
      <c r="K1091">
        <f t="shared" ref="K1091:K1144" si="229">1/(1+EXP(-($AD$25 +$AD$26 * I1091 +$AD$27 * J1091 )))</f>
        <v>0.99995566264060032</v>
      </c>
      <c r="L1091">
        <f t="shared" ref="L1091:L1144" si="230">IF(K1091=0, -1000, IF(K1091=1, -1000, H1091 * LN(K1091) + (1 - H1091) * LN(1 - K1091)))</f>
        <v>-4.4338342329455135E-5</v>
      </c>
      <c r="M1091">
        <f t="shared" ref="M1091:M1143" si="231">IF(G1091=0, 0,  C1091  / G1091 )</f>
        <v>0.59071729957805907</v>
      </c>
      <c r="N1091">
        <f t="shared" ref="N1091:N1144" si="232">IF(G1091=0, 0,  D1091  / G1091 )</f>
        <v>0.40928270042194093</v>
      </c>
      <c r="P1091">
        <f t="shared" ref="P1091:P1144" si="233">_xlfn.RANK.AVG(B1091,$B$2:$B$1144)</f>
        <v>293.5</v>
      </c>
      <c r="Q1091">
        <f t="shared" ref="Q1091:Q1144" si="234">_xlfn.RANK.AVG(C1091,$C$2:$C$1144)</f>
        <v>448.5</v>
      </c>
    </row>
    <row r="1092" spans="1:17" x14ac:dyDescent="0.35">
      <c r="A1092">
        <v>2025</v>
      </c>
      <c r="B1092" s="1">
        <v>251</v>
      </c>
      <c r="C1092" s="1">
        <v>27</v>
      </c>
      <c r="D1092" s="12">
        <f t="shared" si="222"/>
        <v>31.375</v>
      </c>
      <c r="E1092" s="27">
        <f t="shared" si="223"/>
        <v>0.62749999999999995</v>
      </c>
      <c r="F1092" s="27">
        <f t="shared" si="224"/>
        <v>0.54</v>
      </c>
      <c r="G1092">
        <f t="shared" si="225"/>
        <v>58.375</v>
      </c>
      <c r="H1092">
        <f t="shared" si="226"/>
        <v>1</v>
      </c>
      <c r="I1092">
        <f t="shared" si="227"/>
        <v>2.47709090639608</v>
      </c>
      <c r="J1092">
        <f t="shared" si="228"/>
        <v>-0.44022079363633243</v>
      </c>
      <c r="K1092">
        <f t="shared" si="229"/>
        <v>0.99997383794360628</v>
      </c>
      <c r="L1092">
        <f t="shared" si="230"/>
        <v>-2.6162398626285661E-5</v>
      </c>
      <c r="M1092">
        <f t="shared" si="231"/>
        <v>0.46252676659528907</v>
      </c>
      <c r="N1092">
        <f t="shared" si="232"/>
        <v>0.53747323340471087</v>
      </c>
      <c r="P1092">
        <f t="shared" si="233"/>
        <v>32.5</v>
      </c>
      <c r="Q1092">
        <f t="shared" si="234"/>
        <v>752.5</v>
      </c>
    </row>
    <row r="1093" spans="1:17" x14ac:dyDescent="0.35">
      <c r="A1093">
        <v>2025</v>
      </c>
      <c r="B1093" s="1">
        <v>150</v>
      </c>
      <c r="C1093" s="1">
        <v>39</v>
      </c>
      <c r="D1093" s="12">
        <f t="shared" si="222"/>
        <v>18.75</v>
      </c>
      <c r="E1093" s="27">
        <f t="shared" si="223"/>
        <v>0.375</v>
      </c>
      <c r="F1093" s="27">
        <f t="shared" si="224"/>
        <v>0.78</v>
      </c>
      <c r="G1093">
        <f t="shared" si="225"/>
        <v>57.75</v>
      </c>
      <c r="H1093">
        <f t="shared" si="226"/>
        <v>1</v>
      </c>
      <c r="I1093">
        <f t="shared" si="227"/>
        <v>-1.1135121109450554</v>
      </c>
      <c r="J1093">
        <f t="shared" si="228"/>
        <v>0.94624726733173525</v>
      </c>
      <c r="K1093">
        <f t="shared" si="229"/>
        <v>0.99935732846337511</v>
      </c>
      <c r="L1093">
        <f t="shared" si="230"/>
        <v>-6.4287813849972714E-4</v>
      </c>
      <c r="M1093">
        <f t="shared" si="231"/>
        <v>0.67532467532467533</v>
      </c>
      <c r="N1093">
        <f t="shared" si="232"/>
        <v>0.32467532467532467</v>
      </c>
      <c r="P1093">
        <f t="shared" si="233"/>
        <v>1041</v>
      </c>
      <c r="Q1093">
        <f t="shared" si="234"/>
        <v>233</v>
      </c>
    </row>
    <row r="1094" spans="1:17" x14ac:dyDescent="0.35">
      <c r="A1094">
        <v>2025</v>
      </c>
      <c r="B1094" s="1">
        <v>201</v>
      </c>
      <c r="C1094" s="1">
        <v>32</v>
      </c>
      <c r="D1094" s="12">
        <f t="shared" si="222"/>
        <v>25.125</v>
      </c>
      <c r="E1094" s="27">
        <f t="shared" si="223"/>
        <v>0.50249999999999995</v>
      </c>
      <c r="F1094" s="27">
        <f t="shared" si="224"/>
        <v>0.64</v>
      </c>
      <c r="G1094">
        <f t="shared" si="225"/>
        <v>57.125</v>
      </c>
      <c r="H1094">
        <f t="shared" si="226"/>
        <v>1</v>
      </c>
      <c r="I1094">
        <f t="shared" si="227"/>
        <v>0.69956466018759711</v>
      </c>
      <c r="J1094">
        <f t="shared" si="228"/>
        <v>0.13747423176702911</v>
      </c>
      <c r="K1094">
        <f t="shared" si="229"/>
        <v>0.99965985325362339</v>
      </c>
      <c r="L1094">
        <f t="shared" si="230"/>
        <v>-3.4020460940280018E-4</v>
      </c>
      <c r="M1094">
        <f t="shared" si="231"/>
        <v>0.56017505470459517</v>
      </c>
      <c r="N1094">
        <f t="shared" si="232"/>
        <v>0.43982494529540483</v>
      </c>
      <c r="P1094">
        <f t="shared" si="233"/>
        <v>219.5</v>
      </c>
      <c r="Q1094">
        <f t="shared" si="234"/>
        <v>564</v>
      </c>
    </row>
    <row r="1095" spans="1:17" x14ac:dyDescent="0.35">
      <c r="A1095">
        <v>2025</v>
      </c>
      <c r="B1095" s="1">
        <v>168</v>
      </c>
      <c r="C1095" s="1">
        <v>36</v>
      </c>
      <c r="D1095" s="12">
        <f t="shared" si="222"/>
        <v>21</v>
      </c>
      <c r="E1095" s="27">
        <f t="shared" si="223"/>
        <v>0.42</v>
      </c>
      <c r="F1095" s="27">
        <f t="shared" si="224"/>
        <v>0.72</v>
      </c>
      <c r="G1095">
        <f t="shared" si="225"/>
        <v>57</v>
      </c>
      <c r="H1095">
        <f t="shared" si="226"/>
        <v>1</v>
      </c>
      <c r="I1095">
        <f t="shared" si="227"/>
        <v>-0.47360266231000164</v>
      </c>
      <c r="J1095">
        <f t="shared" si="228"/>
        <v>0.59963025208971832</v>
      </c>
      <c r="K1095">
        <f t="shared" si="229"/>
        <v>0.99910890059651059</v>
      </c>
      <c r="L1095">
        <f t="shared" si="230"/>
        <v>-8.9149666858218937E-4</v>
      </c>
      <c r="M1095">
        <f t="shared" si="231"/>
        <v>0.63157894736842102</v>
      </c>
      <c r="N1095">
        <f t="shared" si="232"/>
        <v>0.36842105263157893</v>
      </c>
      <c r="P1095">
        <f t="shared" si="233"/>
        <v>767</v>
      </c>
      <c r="Q1095">
        <f t="shared" si="234"/>
        <v>403.5</v>
      </c>
    </row>
    <row r="1096" spans="1:17" x14ac:dyDescent="0.35">
      <c r="A1096">
        <v>2025</v>
      </c>
      <c r="B1096" s="1">
        <v>211</v>
      </c>
      <c r="C1096" s="1">
        <v>30</v>
      </c>
      <c r="D1096" s="12">
        <f t="shared" si="222"/>
        <v>26.375</v>
      </c>
      <c r="E1096" s="27">
        <f t="shared" si="223"/>
        <v>0.52749999999999997</v>
      </c>
      <c r="F1096" s="27">
        <f t="shared" si="224"/>
        <v>0.6</v>
      </c>
      <c r="G1096">
        <f t="shared" si="225"/>
        <v>56.375</v>
      </c>
      <c r="H1096">
        <f t="shared" si="226"/>
        <v>1</v>
      </c>
      <c r="I1096">
        <f t="shared" si="227"/>
        <v>1.0550699094292937</v>
      </c>
      <c r="J1096">
        <f t="shared" si="228"/>
        <v>-9.3603778394315509E-2</v>
      </c>
      <c r="K1096">
        <f t="shared" si="229"/>
        <v>0.99942277214838271</v>
      </c>
      <c r="L1096">
        <f t="shared" si="230"/>
        <v>-5.773945117506313E-4</v>
      </c>
      <c r="M1096">
        <f t="shared" si="231"/>
        <v>0.53215077605321504</v>
      </c>
      <c r="N1096">
        <f t="shared" si="232"/>
        <v>0.46784922394678491</v>
      </c>
      <c r="P1096">
        <f t="shared" si="233"/>
        <v>128.5</v>
      </c>
      <c r="Q1096">
        <f t="shared" si="234"/>
        <v>639</v>
      </c>
    </row>
    <row r="1097" spans="1:17" x14ac:dyDescent="0.35">
      <c r="A1097">
        <v>2025</v>
      </c>
      <c r="B1097" s="1">
        <v>162</v>
      </c>
      <c r="C1097" s="1">
        <v>36</v>
      </c>
      <c r="D1097" s="12">
        <f t="shared" si="222"/>
        <v>20.25</v>
      </c>
      <c r="E1097" s="27">
        <f t="shared" si="223"/>
        <v>0.40500000000000003</v>
      </c>
      <c r="F1097" s="27">
        <f t="shared" si="224"/>
        <v>0.72</v>
      </c>
      <c r="G1097">
        <f t="shared" si="225"/>
        <v>56.25</v>
      </c>
      <c r="H1097">
        <f t="shared" si="226"/>
        <v>1</v>
      </c>
      <c r="I1097">
        <f t="shared" si="227"/>
        <v>-0.68690581185501953</v>
      </c>
      <c r="J1097">
        <f t="shared" si="228"/>
        <v>0.59963025208971832</v>
      </c>
      <c r="K1097">
        <f t="shared" si="229"/>
        <v>0.99773748538271023</v>
      </c>
      <c r="L1097">
        <f t="shared" si="230"/>
        <v>-2.265077970632631E-3</v>
      </c>
      <c r="M1097">
        <f t="shared" si="231"/>
        <v>0.64</v>
      </c>
      <c r="N1097">
        <f t="shared" si="232"/>
        <v>0.36</v>
      </c>
      <c r="P1097">
        <f t="shared" si="233"/>
        <v>876</v>
      </c>
      <c r="Q1097">
        <f t="shared" si="234"/>
        <v>403.5</v>
      </c>
    </row>
    <row r="1098" spans="1:17" x14ac:dyDescent="0.35">
      <c r="A1098">
        <v>2025</v>
      </c>
      <c r="B1098" s="1">
        <v>171</v>
      </c>
      <c r="C1098" s="1">
        <v>34</v>
      </c>
      <c r="D1098" s="12">
        <f t="shared" si="222"/>
        <v>21.375</v>
      </c>
      <c r="E1098" s="27">
        <f t="shared" si="223"/>
        <v>0.42749999999999999</v>
      </c>
      <c r="F1098" s="27">
        <f t="shared" si="224"/>
        <v>0.68</v>
      </c>
      <c r="G1098">
        <f t="shared" si="225"/>
        <v>55.375</v>
      </c>
      <c r="H1098">
        <f t="shared" si="226"/>
        <v>1</v>
      </c>
      <c r="I1098">
        <f t="shared" si="227"/>
        <v>-0.36695108753749267</v>
      </c>
      <c r="J1098">
        <f t="shared" si="228"/>
        <v>0.36855224192837371</v>
      </c>
      <c r="K1098">
        <f t="shared" si="229"/>
        <v>0.99552333962195294</v>
      </c>
      <c r="L1098">
        <f t="shared" si="230"/>
        <v>-4.4867106277032076E-3</v>
      </c>
      <c r="M1098">
        <f t="shared" si="231"/>
        <v>0.61399548532731374</v>
      </c>
      <c r="N1098">
        <f t="shared" si="232"/>
        <v>0.38600451467268621</v>
      </c>
      <c r="P1098">
        <f t="shared" si="233"/>
        <v>700</v>
      </c>
      <c r="Q1098">
        <f t="shared" si="234"/>
        <v>484.5</v>
      </c>
    </row>
    <row r="1099" spans="1:17" x14ac:dyDescent="0.35">
      <c r="A1099">
        <v>2025</v>
      </c>
      <c r="B1099" s="1">
        <v>168</v>
      </c>
      <c r="C1099" s="1">
        <v>33</v>
      </c>
      <c r="D1099" s="12">
        <f t="shared" si="222"/>
        <v>21</v>
      </c>
      <c r="E1099" s="27">
        <f t="shared" si="223"/>
        <v>0.42</v>
      </c>
      <c r="F1099" s="27">
        <f t="shared" si="224"/>
        <v>0.66</v>
      </c>
      <c r="G1099">
        <f t="shared" si="225"/>
        <v>54</v>
      </c>
      <c r="H1099">
        <f t="shared" si="226"/>
        <v>1</v>
      </c>
      <c r="I1099">
        <f t="shared" si="227"/>
        <v>-0.47360266231000164</v>
      </c>
      <c r="J1099">
        <f t="shared" si="228"/>
        <v>0.25301323684770138</v>
      </c>
      <c r="K1099">
        <f t="shared" si="229"/>
        <v>0.98007478841121265</v>
      </c>
      <c r="L1099">
        <f t="shared" si="230"/>
        <v>-2.0126395524019399E-2</v>
      </c>
      <c r="M1099">
        <f t="shared" si="231"/>
        <v>0.61111111111111116</v>
      </c>
      <c r="N1099">
        <f t="shared" si="232"/>
        <v>0.3888888888888889</v>
      </c>
      <c r="P1099">
        <f t="shared" si="233"/>
        <v>767</v>
      </c>
      <c r="Q1099">
        <f t="shared" si="234"/>
        <v>523.5</v>
      </c>
    </row>
    <row r="1100" spans="1:17" x14ac:dyDescent="0.35">
      <c r="A1100">
        <v>2025</v>
      </c>
      <c r="B1100" s="1">
        <v>175</v>
      </c>
      <c r="C1100" s="1">
        <v>32</v>
      </c>
      <c r="D1100" s="12">
        <f t="shared" si="222"/>
        <v>21.875</v>
      </c>
      <c r="E1100" s="27">
        <f t="shared" si="223"/>
        <v>0.4375</v>
      </c>
      <c r="F1100" s="27">
        <f t="shared" si="224"/>
        <v>0.64</v>
      </c>
      <c r="G1100">
        <f t="shared" si="225"/>
        <v>53.875</v>
      </c>
      <c r="H1100">
        <f t="shared" si="226"/>
        <v>1</v>
      </c>
      <c r="I1100">
        <f t="shared" si="227"/>
        <v>-0.22474898784081401</v>
      </c>
      <c r="J1100">
        <f t="shared" si="228"/>
        <v>0.13747423176702911</v>
      </c>
      <c r="K1100">
        <f t="shared" si="229"/>
        <v>0.98096288969770307</v>
      </c>
      <c r="L1100">
        <f t="shared" si="230"/>
        <v>-1.9220649186639877E-2</v>
      </c>
      <c r="M1100">
        <f t="shared" si="231"/>
        <v>0.59396751740139209</v>
      </c>
      <c r="N1100">
        <f t="shared" si="232"/>
        <v>0.40603248259860791</v>
      </c>
      <c r="P1100">
        <f t="shared" si="233"/>
        <v>631.5</v>
      </c>
      <c r="Q1100">
        <f t="shared" si="234"/>
        <v>564</v>
      </c>
    </row>
    <row r="1101" spans="1:17" x14ac:dyDescent="0.35">
      <c r="A1101">
        <v>2025</v>
      </c>
      <c r="B1101" s="1">
        <v>174</v>
      </c>
      <c r="C1101" s="1">
        <v>31</v>
      </c>
      <c r="D1101" s="12">
        <f t="shared" si="222"/>
        <v>21.75</v>
      </c>
      <c r="E1101" s="27">
        <f t="shared" si="223"/>
        <v>0.435</v>
      </c>
      <c r="F1101" s="27">
        <f t="shared" si="224"/>
        <v>0.62</v>
      </c>
      <c r="G1101">
        <f t="shared" si="225"/>
        <v>52.75</v>
      </c>
      <c r="H1101">
        <f t="shared" si="226"/>
        <v>1</v>
      </c>
      <c r="I1101">
        <f t="shared" si="227"/>
        <v>-0.2602995127649837</v>
      </c>
      <c r="J1101">
        <f t="shared" si="228"/>
        <v>2.1935226686356796E-2</v>
      </c>
      <c r="K1101">
        <f t="shared" si="229"/>
        <v>0.93959891790659011</v>
      </c>
      <c r="L1101">
        <f t="shared" si="230"/>
        <v>-6.2302177851309704E-2</v>
      </c>
      <c r="M1101">
        <f t="shared" si="231"/>
        <v>0.58767772511848337</v>
      </c>
      <c r="N1101">
        <f t="shared" si="232"/>
        <v>0.41232227488151657</v>
      </c>
      <c r="P1101">
        <f t="shared" si="233"/>
        <v>653</v>
      </c>
      <c r="Q1101">
        <f t="shared" si="234"/>
        <v>605</v>
      </c>
    </row>
    <row r="1102" spans="1:17" x14ac:dyDescent="0.35">
      <c r="A1102">
        <v>2025</v>
      </c>
      <c r="B1102" s="1">
        <v>196</v>
      </c>
      <c r="C1102" s="1">
        <v>27</v>
      </c>
      <c r="D1102" s="12">
        <f t="shared" si="222"/>
        <v>24.5</v>
      </c>
      <c r="E1102" s="27">
        <f t="shared" si="223"/>
        <v>0.49</v>
      </c>
      <c r="F1102" s="27">
        <f t="shared" si="224"/>
        <v>0.54</v>
      </c>
      <c r="G1102">
        <f t="shared" si="225"/>
        <v>51.5</v>
      </c>
      <c r="H1102">
        <f t="shared" si="226"/>
        <v>1</v>
      </c>
      <c r="I1102">
        <f t="shared" si="227"/>
        <v>0.52181203556674882</v>
      </c>
      <c r="J1102">
        <f t="shared" si="228"/>
        <v>-0.44022079363633243</v>
      </c>
      <c r="K1102">
        <f t="shared" si="229"/>
        <v>0.88051348439502197</v>
      </c>
      <c r="L1102">
        <f t="shared" si="230"/>
        <v>-0.12725003668838636</v>
      </c>
      <c r="M1102">
        <f t="shared" si="231"/>
        <v>0.52427184466019416</v>
      </c>
      <c r="N1102">
        <f t="shared" si="232"/>
        <v>0.47572815533980584</v>
      </c>
      <c r="P1102">
        <f t="shared" si="233"/>
        <v>270</v>
      </c>
      <c r="Q1102">
        <f t="shared" si="234"/>
        <v>752.5</v>
      </c>
    </row>
    <row r="1103" spans="1:17" x14ac:dyDescent="0.35">
      <c r="A1103">
        <v>2025</v>
      </c>
      <c r="B1103" s="1">
        <v>180</v>
      </c>
      <c r="C1103" s="1">
        <v>29</v>
      </c>
      <c r="D1103" s="12">
        <f t="shared" si="222"/>
        <v>22.5</v>
      </c>
      <c r="E1103" s="27">
        <f t="shared" si="223"/>
        <v>0.45</v>
      </c>
      <c r="F1103" s="27">
        <f t="shared" si="224"/>
        <v>0.57999999999999996</v>
      </c>
      <c r="G1103">
        <f t="shared" si="225"/>
        <v>51.5</v>
      </c>
      <c r="H1103">
        <f t="shared" si="226"/>
        <v>1</v>
      </c>
      <c r="I1103">
        <f t="shared" si="227"/>
        <v>-4.6996363219965739E-2</v>
      </c>
      <c r="J1103">
        <f t="shared" si="228"/>
        <v>-0.2091427834749878</v>
      </c>
      <c r="K1103">
        <f t="shared" si="229"/>
        <v>0.83107274086573957</v>
      </c>
      <c r="L1103">
        <f t="shared" si="230"/>
        <v>-0.18503795382311367</v>
      </c>
      <c r="M1103">
        <f t="shared" si="231"/>
        <v>0.56310679611650483</v>
      </c>
      <c r="N1103">
        <f t="shared" si="232"/>
        <v>0.43689320388349512</v>
      </c>
      <c r="P1103">
        <f t="shared" si="233"/>
        <v>528</v>
      </c>
      <c r="Q1103">
        <f t="shared" si="234"/>
        <v>671</v>
      </c>
    </row>
    <row r="1104" spans="1:17" x14ac:dyDescent="0.35">
      <c r="A1104">
        <v>2025</v>
      </c>
      <c r="B1104" s="1">
        <v>192</v>
      </c>
      <c r="C1104" s="1">
        <v>25</v>
      </c>
      <c r="D1104" s="12">
        <f t="shared" si="222"/>
        <v>24</v>
      </c>
      <c r="E1104" s="27">
        <f t="shared" si="223"/>
        <v>0.48</v>
      </c>
      <c r="F1104" s="27">
        <f t="shared" si="224"/>
        <v>0.5</v>
      </c>
      <c r="G1104">
        <f t="shared" si="225"/>
        <v>49</v>
      </c>
      <c r="H1104">
        <f t="shared" si="226"/>
        <v>0</v>
      </c>
      <c r="I1104">
        <f t="shared" si="227"/>
        <v>0.37960993587007014</v>
      </c>
      <c r="J1104">
        <f t="shared" si="228"/>
        <v>-0.67129880379767704</v>
      </c>
      <c r="K1104">
        <f t="shared" si="229"/>
        <v>0.32978783673285061</v>
      </c>
      <c r="L1104">
        <f t="shared" si="230"/>
        <v>-0.40016095513106537</v>
      </c>
      <c r="M1104">
        <f t="shared" si="231"/>
        <v>0.51020408163265307</v>
      </c>
      <c r="N1104">
        <f t="shared" si="232"/>
        <v>0.48979591836734693</v>
      </c>
      <c r="P1104">
        <f t="shared" si="233"/>
        <v>318.5</v>
      </c>
      <c r="Q1104">
        <f t="shared" si="234"/>
        <v>835</v>
      </c>
    </row>
    <row r="1105" spans="1:17" x14ac:dyDescent="0.35">
      <c r="A1105">
        <v>2025</v>
      </c>
      <c r="B1105" s="1">
        <v>202</v>
      </c>
      <c r="C1105" s="1">
        <v>17</v>
      </c>
      <c r="D1105" s="12">
        <f t="shared" si="222"/>
        <v>25.25</v>
      </c>
      <c r="E1105" s="27">
        <f t="shared" si="223"/>
        <v>0.505</v>
      </c>
      <c r="F1105" s="27">
        <f t="shared" si="224"/>
        <v>0.34</v>
      </c>
      <c r="G1105">
        <f t="shared" si="225"/>
        <v>42.25</v>
      </c>
      <c r="H1105">
        <f t="shared" si="226"/>
        <v>0</v>
      </c>
      <c r="I1105">
        <f t="shared" si="227"/>
        <v>0.73511518511176677</v>
      </c>
      <c r="J1105">
        <f t="shared" si="228"/>
        <v>-1.5956108444430555</v>
      </c>
      <c r="K1105">
        <f t="shared" si="229"/>
        <v>5.5761612690277327E-4</v>
      </c>
      <c r="L1105">
        <f t="shared" si="230"/>
        <v>-5.5777165259368307E-4</v>
      </c>
      <c r="M1105">
        <f t="shared" si="231"/>
        <v>0.40236686390532544</v>
      </c>
      <c r="N1105">
        <f t="shared" si="232"/>
        <v>0.59763313609467461</v>
      </c>
      <c r="P1105">
        <f t="shared" si="233"/>
        <v>211</v>
      </c>
      <c r="Q1105">
        <f t="shared" si="234"/>
        <v>1063.5</v>
      </c>
    </row>
    <row r="1106" spans="1:17" x14ac:dyDescent="0.35">
      <c r="A1106">
        <v>2025</v>
      </c>
      <c r="B1106" s="1">
        <v>180</v>
      </c>
      <c r="C1106" s="1">
        <v>12</v>
      </c>
      <c r="D1106" s="12">
        <f t="shared" si="222"/>
        <v>22.5</v>
      </c>
      <c r="E1106" s="27">
        <f t="shared" si="223"/>
        <v>0.45</v>
      </c>
      <c r="F1106" s="27">
        <f t="shared" si="224"/>
        <v>0.24</v>
      </c>
      <c r="G1106">
        <f t="shared" si="225"/>
        <v>34.5</v>
      </c>
      <c r="H1106">
        <f t="shared" si="226"/>
        <v>0</v>
      </c>
      <c r="I1106">
        <f t="shared" si="227"/>
        <v>-4.6996363219965739E-2</v>
      </c>
      <c r="J1106">
        <f t="shared" si="228"/>
        <v>-2.1733058698464167</v>
      </c>
      <c r="K1106">
        <f t="shared" si="229"/>
        <v>9.9441346323615311E-8</v>
      </c>
      <c r="L1106">
        <f t="shared" si="230"/>
        <v>-9.9441351212782776E-8</v>
      </c>
      <c r="M1106">
        <f t="shared" si="231"/>
        <v>0.34782608695652173</v>
      </c>
      <c r="N1106">
        <f t="shared" si="232"/>
        <v>0.65217391304347827</v>
      </c>
      <c r="P1106">
        <f t="shared" si="233"/>
        <v>528</v>
      </c>
      <c r="Q1106">
        <f t="shared" si="234"/>
        <v>1122.5</v>
      </c>
    </row>
    <row r="1107" spans="1:17" x14ac:dyDescent="0.35">
      <c r="A1107">
        <v>2025</v>
      </c>
      <c r="B1107" s="1">
        <v>174</v>
      </c>
      <c r="C1107" s="1">
        <v>35</v>
      </c>
      <c r="D1107" s="12">
        <f t="shared" si="222"/>
        <v>21.75</v>
      </c>
      <c r="E1107" s="27">
        <f t="shared" si="223"/>
        <v>0.435</v>
      </c>
      <c r="F1107" s="27">
        <f t="shared" si="224"/>
        <v>0.7</v>
      </c>
      <c r="G1107">
        <f t="shared" si="225"/>
        <v>56.75</v>
      </c>
      <c r="H1107">
        <f t="shared" si="226"/>
        <v>1</v>
      </c>
      <c r="I1107">
        <f t="shared" si="227"/>
        <v>-0.2602995127649837</v>
      </c>
      <c r="J1107">
        <f t="shared" si="228"/>
        <v>0.48409124700904599</v>
      </c>
      <c r="K1107">
        <f t="shared" si="229"/>
        <v>0.99900635802159254</v>
      </c>
      <c r="L1107">
        <f t="shared" si="230"/>
        <v>-9.9413596785762927E-4</v>
      </c>
      <c r="M1107">
        <f t="shared" si="231"/>
        <v>0.61674008810572689</v>
      </c>
      <c r="N1107">
        <f t="shared" si="232"/>
        <v>0.38325991189427311</v>
      </c>
      <c r="P1107">
        <f t="shared" si="233"/>
        <v>653</v>
      </c>
      <c r="Q1107">
        <f t="shared" si="234"/>
        <v>448.5</v>
      </c>
    </row>
    <row r="1108" spans="1:17" x14ac:dyDescent="0.35">
      <c r="A1108">
        <v>2025</v>
      </c>
      <c r="B1108" s="1">
        <v>188</v>
      </c>
      <c r="C1108" s="1">
        <v>42</v>
      </c>
      <c r="D1108" s="12">
        <f t="shared" si="222"/>
        <v>23.5</v>
      </c>
      <c r="E1108" s="27">
        <f t="shared" si="223"/>
        <v>0.47</v>
      </c>
      <c r="F1108" s="27">
        <f t="shared" si="224"/>
        <v>0.84</v>
      </c>
      <c r="G1108">
        <f t="shared" si="225"/>
        <v>65.5</v>
      </c>
      <c r="H1108">
        <f t="shared" si="226"/>
        <v>1</v>
      </c>
      <c r="I1108">
        <f t="shared" si="227"/>
        <v>0.23740783617339151</v>
      </c>
      <c r="J1108">
        <f t="shared" si="228"/>
        <v>1.2928642825737522</v>
      </c>
      <c r="K1108">
        <f t="shared" si="229"/>
        <v>0.99999992347913091</v>
      </c>
      <c r="L1108">
        <f t="shared" si="230"/>
        <v>-7.6520872013327481E-8</v>
      </c>
      <c r="M1108">
        <f t="shared" si="231"/>
        <v>0.64122137404580148</v>
      </c>
      <c r="N1108">
        <f t="shared" si="232"/>
        <v>0.35877862595419846</v>
      </c>
      <c r="P1108">
        <f t="shared" si="233"/>
        <v>374.5</v>
      </c>
      <c r="Q1108">
        <f t="shared" si="234"/>
        <v>90.5</v>
      </c>
    </row>
    <row r="1109" spans="1:17" x14ac:dyDescent="0.35">
      <c r="A1109">
        <v>2025</v>
      </c>
      <c r="B1109" s="1">
        <v>193</v>
      </c>
      <c r="C1109" s="1">
        <v>36</v>
      </c>
      <c r="D1109" s="12">
        <f t="shared" si="222"/>
        <v>24.125</v>
      </c>
      <c r="E1109" s="27">
        <f t="shared" si="223"/>
        <v>0.48249999999999998</v>
      </c>
      <c r="F1109" s="27">
        <f t="shared" si="224"/>
        <v>0.72</v>
      </c>
      <c r="G1109">
        <f t="shared" si="225"/>
        <v>60.125</v>
      </c>
      <c r="H1109">
        <f t="shared" si="226"/>
        <v>1</v>
      </c>
      <c r="I1109">
        <f t="shared" si="227"/>
        <v>0.41516046079423979</v>
      </c>
      <c r="J1109">
        <f t="shared" si="228"/>
        <v>0.59963025208971832</v>
      </c>
      <c r="K1109">
        <f t="shared" si="229"/>
        <v>0.9999817310055964</v>
      </c>
      <c r="L1109">
        <f t="shared" si="230"/>
        <v>-1.8269161283713717E-5</v>
      </c>
      <c r="M1109">
        <f t="shared" si="231"/>
        <v>0.59875259875259879</v>
      </c>
      <c r="N1109">
        <f t="shared" si="232"/>
        <v>0.40124740124740127</v>
      </c>
      <c r="P1109">
        <f t="shared" si="233"/>
        <v>307</v>
      </c>
      <c r="Q1109">
        <f t="shared" si="234"/>
        <v>403.5</v>
      </c>
    </row>
    <row r="1110" spans="1:17" x14ac:dyDescent="0.35">
      <c r="A1110">
        <v>2025</v>
      </c>
      <c r="B1110" s="1">
        <v>181</v>
      </c>
      <c r="C1110" s="1">
        <v>41</v>
      </c>
      <c r="D1110" s="12">
        <f t="shared" si="222"/>
        <v>22.625</v>
      </c>
      <c r="E1110" s="27">
        <f t="shared" si="223"/>
        <v>0.45250000000000001</v>
      </c>
      <c r="F1110" s="27">
        <f t="shared" si="224"/>
        <v>0.82</v>
      </c>
      <c r="G1110">
        <f t="shared" si="225"/>
        <v>63.625</v>
      </c>
      <c r="H1110">
        <f t="shared" si="226"/>
        <v>1</v>
      </c>
      <c r="I1110">
        <f t="shared" si="227"/>
        <v>-1.1445838295796084E-2</v>
      </c>
      <c r="J1110">
        <f t="shared" si="228"/>
        <v>1.1773252774930798</v>
      </c>
      <c r="K1110">
        <f t="shared" si="229"/>
        <v>0.99999935554115227</v>
      </c>
      <c r="L1110">
        <f t="shared" si="230"/>
        <v>-6.4445905539536952E-7</v>
      </c>
      <c r="M1110">
        <f t="shared" si="231"/>
        <v>0.64440078585461691</v>
      </c>
      <c r="N1110">
        <f t="shared" si="232"/>
        <v>0.35559921414538309</v>
      </c>
      <c r="P1110">
        <f t="shared" si="233"/>
        <v>505</v>
      </c>
      <c r="Q1110">
        <f t="shared" si="234"/>
        <v>129.5</v>
      </c>
    </row>
    <row r="1111" spans="1:17" x14ac:dyDescent="0.35">
      <c r="A1111">
        <v>2025</v>
      </c>
      <c r="B1111" s="1">
        <v>165</v>
      </c>
      <c r="C1111" s="1">
        <v>38</v>
      </c>
      <c r="D1111" s="12">
        <f t="shared" si="222"/>
        <v>20.625</v>
      </c>
      <c r="E1111" s="27">
        <f t="shared" si="223"/>
        <v>0.41249999999999998</v>
      </c>
      <c r="F1111" s="27">
        <f t="shared" si="224"/>
        <v>0.76</v>
      </c>
      <c r="G1111">
        <f t="shared" si="225"/>
        <v>58.625</v>
      </c>
      <c r="H1111">
        <f t="shared" si="226"/>
        <v>1</v>
      </c>
      <c r="I1111">
        <f t="shared" si="227"/>
        <v>-0.58025423708251056</v>
      </c>
      <c r="J1111">
        <f t="shared" si="228"/>
        <v>0.83070826225106287</v>
      </c>
      <c r="K1111">
        <f t="shared" si="229"/>
        <v>0.99982313286972513</v>
      </c>
      <c r="L1111">
        <f t="shared" si="230"/>
        <v>-1.7688277311025339E-4</v>
      </c>
      <c r="M1111">
        <f t="shared" si="231"/>
        <v>0.64818763326226014</v>
      </c>
      <c r="N1111">
        <f t="shared" si="232"/>
        <v>0.35181236673773986</v>
      </c>
      <c r="P1111">
        <f t="shared" si="233"/>
        <v>826.5</v>
      </c>
      <c r="Q1111">
        <f t="shared" si="234"/>
        <v>297.5</v>
      </c>
    </row>
    <row r="1112" spans="1:17" x14ac:dyDescent="0.35">
      <c r="A1112">
        <v>2025</v>
      </c>
      <c r="B1112" s="1">
        <v>183</v>
      </c>
      <c r="C1112" s="1">
        <v>37</v>
      </c>
      <c r="D1112" s="12">
        <f t="shared" si="222"/>
        <v>22.875</v>
      </c>
      <c r="E1112" s="27">
        <f t="shared" si="223"/>
        <v>0.45750000000000002</v>
      </c>
      <c r="F1112" s="27">
        <f t="shared" si="224"/>
        <v>0.74</v>
      </c>
      <c r="G1112">
        <f t="shared" si="225"/>
        <v>59.875</v>
      </c>
      <c r="H1112">
        <f t="shared" si="226"/>
        <v>1</v>
      </c>
      <c r="I1112">
        <f t="shared" si="227"/>
        <v>5.9655211552543233E-2</v>
      </c>
      <c r="J1112">
        <f t="shared" si="228"/>
        <v>0.71516925717039059</v>
      </c>
      <c r="K1112">
        <f t="shared" si="229"/>
        <v>0.99996948344605918</v>
      </c>
      <c r="L1112">
        <f t="shared" si="230"/>
        <v>-3.051701958032347E-5</v>
      </c>
      <c r="M1112">
        <f t="shared" si="231"/>
        <v>0.6179540709812108</v>
      </c>
      <c r="N1112">
        <f t="shared" si="232"/>
        <v>0.38204592901878914</v>
      </c>
      <c r="P1112">
        <f t="shared" si="233"/>
        <v>465</v>
      </c>
      <c r="Q1112">
        <f t="shared" si="234"/>
        <v>351</v>
      </c>
    </row>
    <row r="1113" spans="1:17" x14ac:dyDescent="0.35">
      <c r="A1113">
        <v>2025</v>
      </c>
      <c r="B1113" s="1">
        <v>186</v>
      </c>
      <c r="C1113" s="1">
        <v>36</v>
      </c>
      <c r="D1113" s="12">
        <f t="shared" si="222"/>
        <v>23.25</v>
      </c>
      <c r="E1113" s="27">
        <f t="shared" si="223"/>
        <v>0.46500000000000002</v>
      </c>
      <c r="F1113" s="27">
        <f t="shared" si="224"/>
        <v>0.72</v>
      </c>
      <c r="G1113">
        <f t="shared" si="225"/>
        <v>59.25</v>
      </c>
      <c r="H1113">
        <f t="shared" si="226"/>
        <v>1</v>
      </c>
      <c r="I1113">
        <f t="shared" si="227"/>
        <v>0.16630678632505219</v>
      </c>
      <c r="J1113">
        <f t="shared" si="228"/>
        <v>0.59963025208971832</v>
      </c>
      <c r="K1113">
        <f t="shared" si="229"/>
        <v>0.99994573692265887</v>
      </c>
      <c r="L1113">
        <f t="shared" si="230"/>
        <v>-5.4264549635174648E-5</v>
      </c>
      <c r="M1113">
        <f t="shared" si="231"/>
        <v>0.60759493670886078</v>
      </c>
      <c r="N1113">
        <f t="shared" si="232"/>
        <v>0.39240506329113922</v>
      </c>
      <c r="P1113">
        <f t="shared" si="233"/>
        <v>411.5</v>
      </c>
      <c r="Q1113">
        <f t="shared" si="234"/>
        <v>403.5</v>
      </c>
    </row>
    <row r="1114" spans="1:17" x14ac:dyDescent="0.35">
      <c r="A1114">
        <v>2025</v>
      </c>
      <c r="B1114" s="1">
        <v>190</v>
      </c>
      <c r="C1114" s="1">
        <v>16</v>
      </c>
      <c r="D1114" s="12">
        <f t="shared" si="222"/>
        <v>23.75</v>
      </c>
      <c r="E1114" s="27">
        <f t="shared" si="223"/>
        <v>0.47499999999999998</v>
      </c>
      <c r="F1114" s="27">
        <f t="shared" si="224"/>
        <v>0.32</v>
      </c>
      <c r="G1114">
        <f t="shared" si="225"/>
        <v>39.75</v>
      </c>
      <c r="H1114">
        <f t="shared" si="226"/>
        <v>0</v>
      </c>
      <c r="I1114">
        <f t="shared" si="227"/>
        <v>0.30850888602173082</v>
      </c>
      <c r="J1114">
        <f t="shared" si="228"/>
        <v>-1.7111498495237276</v>
      </c>
      <c r="K1114">
        <f t="shared" si="229"/>
        <v>3.0439018935836139E-5</v>
      </c>
      <c r="L1114">
        <f t="shared" si="230"/>
        <v>-3.0439482212184138E-5</v>
      </c>
      <c r="M1114">
        <f t="shared" si="231"/>
        <v>0.40251572327044027</v>
      </c>
      <c r="N1114">
        <f t="shared" si="232"/>
        <v>0.59748427672955973</v>
      </c>
      <c r="P1114">
        <f t="shared" si="233"/>
        <v>341</v>
      </c>
      <c r="Q1114">
        <f t="shared" si="234"/>
        <v>1079.5</v>
      </c>
    </row>
    <row r="1115" spans="1:17" x14ac:dyDescent="0.35">
      <c r="A1115">
        <v>2025</v>
      </c>
      <c r="B1115" s="1">
        <v>177</v>
      </c>
      <c r="C1115" s="1">
        <v>39</v>
      </c>
      <c r="D1115" s="12">
        <f t="shared" si="222"/>
        <v>22.125</v>
      </c>
      <c r="E1115" s="27">
        <f t="shared" si="223"/>
        <v>0.4425</v>
      </c>
      <c r="F1115" s="27">
        <f t="shared" si="224"/>
        <v>0.78</v>
      </c>
      <c r="G1115">
        <f t="shared" si="225"/>
        <v>61.125</v>
      </c>
      <c r="H1115">
        <f t="shared" si="226"/>
        <v>1</v>
      </c>
      <c r="I1115">
        <f t="shared" si="227"/>
        <v>-0.15364793799247473</v>
      </c>
      <c r="J1115">
        <f t="shared" si="228"/>
        <v>0.94624726733173525</v>
      </c>
      <c r="K1115">
        <f t="shared" si="229"/>
        <v>0.99999034869445791</v>
      </c>
      <c r="L1115">
        <f t="shared" si="230"/>
        <v>-9.6513521162400381E-6</v>
      </c>
      <c r="M1115">
        <f t="shared" si="231"/>
        <v>0.6380368098159509</v>
      </c>
      <c r="N1115">
        <f t="shared" si="232"/>
        <v>0.3619631901840491</v>
      </c>
      <c r="P1115">
        <f t="shared" si="233"/>
        <v>585</v>
      </c>
      <c r="Q1115">
        <f t="shared" si="234"/>
        <v>233</v>
      </c>
    </row>
    <row r="1116" spans="1:17" x14ac:dyDescent="0.35">
      <c r="A1116">
        <v>2025</v>
      </c>
      <c r="B1116" s="1">
        <v>158</v>
      </c>
      <c r="C1116" s="1">
        <v>38</v>
      </c>
      <c r="D1116" s="12">
        <f t="shared" si="222"/>
        <v>19.75</v>
      </c>
      <c r="E1116" s="27">
        <f t="shared" si="223"/>
        <v>0.39500000000000002</v>
      </c>
      <c r="F1116" s="27">
        <f t="shared" si="224"/>
        <v>0.76</v>
      </c>
      <c r="G1116">
        <f t="shared" si="225"/>
        <v>57.75</v>
      </c>
      <c r="H1116">
        <f t="shared" si="226"/>
        <v>1</v>
      </c>
      <c r="I1116">
        <f t="shared" si="227"/>
        <v>-0.82910791155169816</v>
      </c>
      <c r="J1116">
        <f t="shared" si="228"/>
        <v>0.83070826225106287</v>
      </c>
      <c r="K1116">
        <f t="shared" si="229"/>
        <v>0.99947482841634017</v>
      </c>
      <c r="L1116">
        <f t="shared" si="230"/>
        <v>-5.2530953455668381E-4</v>
      </c>
      <c r="M1116">
        <f t="shared" si="231"/>
        <v>0.65800865800865804</v>
      </c>
      <c r="N1116">
        <f t="shared" si="232"/>
        <v>0.34199134199134201</v>
      </c>
      <c r="P1116">
        <f t="shared" si="233"/>
        <v>940.5</v>
      </c>
      <c r="Q1116">
        <f t="shared" si="234"/>
        <v>297.5</v>
      </c>
    </row>
    <row r="1117" spans="1:17" x14ac:dyDescent="0.35">
      <c r="A1117">
        <v>2025</v>
      </c>
      <c r="B1117" s="1">
        <v>186</v>
      </c>
      <c r="C1117" s="1">
        <v>21</v>
      </c>
      <c r="D1117" s="12">
        <f t="shared" si="222"/>
        <v>23.25</v>
      </c>
      <c r="E1117" s="27">
        <f t="shared" si="223"/>
        <v>0.46500000000000002</v>
      </c>
      <c r="F1117" s="27">
        <f t="shared" si="224"/>
        <v>0.42</v>
      </c>
      <c r="G1117">
        <f t="shared" si="225"/>
        <v>44.25</v>
      </c>
      <c r="H1117">
        <f t="shared" si="226"/>
        <v>0</v>
      </c>
      <c r="I1117">
        <f t="shared" si="227"/>
        <v>0.16630678632505219</v>
      </c>
      <c r="J1117">
        <f t="shared" si="228"/>
        <v>-1.1334548241203661</v>
      </c>
      <c r="K1117">
        <f t="shared" si="229"/>
        <v>2.9855302631083204E-3</v>
      </c>
      <c r="L1117">
        <f t="shared" si="230"/>
        <v>-2.9899958488934647E-3</v>
      </c>
      <c r="M1117">
        <f t="shared" si="231"/>
        <v>0.47457627118644069</v>
      </c>
      <c r="N1117">
        <f t="shared" si="232"/>
        <v>0.52542372881355937</v>
      </c>
      <c r="P1117">
        <f t="shared" si="233"/>
        <v>411.5</v>
      </c>
      <c r="Q1117">
        <f t="shared" si="234"/>
        <v>967.5</v>
      </c>
    </row>
    <row r="1118" spans="1:17" x14ac:dyDescent="0.35">
      <c r="A1118">
        <v>2025</v>
      </c>
      <c r="B1118" s="1">
        <v>197</v>
      </c>
      <c r="C1118" s="1">
        <v>36</v>
      </c>
      <c r="D1118" s="12">
        <f t="shared" si="222"/>
        <v>24.625</v>
      </c>
      <c r="E1118" s="27">
        <f t="shared" si="223"/>
        <v>0.49249999999999999</v>
      </c>
      <c r="F1118" s="27">
        <f t="shared" si="224"/>
        <v>0.72</v>
      </c>
      <c r="G1118">
        <f t="shared" si="225"/>
        <v>60.625</v>
      </c>
      <c r="H1118">
        <f t="shared" si="226"/>
        <v>1</v>
      </c>
      <c r="I1118">
        <f t="shared" si="227"/>
        <v>0.55736256049091848</v>
      </c>
      <c r="J1118">
        <f t="shared" si="228"/>
        <v>0.59963025208971832</v>
      </c>
      <c r="K1118">
        <f t="shared" si="229"/>
        <v>0.99999019282786616</v>
      </c>
      <c r="L1118">
        <f t="shared" si="230"/>
        <v>-9.807220224462582E-6</v>
      </c>
      <c r="M1118">
        <f t="shared" si="231"/>
        <v>0.59381443298969072</v>
      </c>
      <c r="N1118">
        <f t="shared" si="232"/>
        <v>0.40618556701030928</v>
      </c>
      <c r="P1118">
        <f t="shared" si="233"/>
        <v>260</v>
      </c>
      <c r="Q1118">
        <f t="shared" si="234"/>
        <v>403.5</v>
      </c>
    </row>
    <row r="1119" spans="1:17" x14ac:dyDescent="0.35">
      <c r="A1119">
        <v>2025</v>
      </c>
      <c r="B1119" s="1">
        <v>88</v>
      </c>
      <c r="C1119" s="1">
        <v>42</v>
      </c>
      <c r="D1119" s="12">
        <f t="shared" si="222"/>
        <v>11</v>
      </c>
      <c r="E1119" s="27">
        <f t="shared" si="223"/>
        <v>0.22</v>
      </c>
      <c r="F1119" s="27">
        <f t="shared" si="224"/>
        <v>0.84</v>
      </c>
      <c r="G1119">
        <f t="shared" si="225"/>
        <v>53</v>
      </c>
      <c r="H1119">
        <f t="shared" si="226"/>
        <v>1</v>
      </c>
      <c r="I1119">
        <f t="shared" si="227"/>
        <v>-3.3176446562435742</v>
      </c>
      <c r="J1119">
        <f t="shared" si="228"/>
        <v>1.2928642825737522</v>
      </c>
      <c r="K1119">
        <f t="shared" si="229"/>
        <v>0.69703254625498223</v>
      </c>
      <c r="L1119">
        <f t="shared" si="230"/>
        <v>-0.36092317454136075</v>
      </c>
      <c r="M1119">
        <f t="shared" si="231"/>
        <v>0.79245283018867929</v>
      </c>
      <c r="N1119">
        <f t="shared" si="232"/>
        <v>0.20754716981132076</v>
      </c>
      <c r="P1119">
        <f t="shared" si="233"/>
        <v>1143</v>
      </c>
      <c r="Q1119">
        <f t="shared" si="234"/>
        <v>90.5</v>
      </c>
    </row>
    <row r="1120" spans="1:17" x14ac:dyDescent="0.35">
      <c r="A1120">
        <v>2025</v>
      </c>
      <c r="B1120" s="1">
        <v>218</v>
      </c>
      <c r="C1120" s="1">
        <v>36</v>
      </c>
      <c r="D1120" s="12">
        <f t="shared" si="222"/>
        <v>27.25</v>
      </c>
      <c r="E1120" s="27">
        <f t="shared" si="223"/>
        <v>0.54500000000000004</v>
      </c>
      <c r="F1120" s="27">
        <f t="shared" si="224"/>
        <v>0.72</v>
      </c>
      <c r="G1120">
        <f t="shared" si="225"/>
        <v>63.25</v>
      </c>
      <c r="H1120">
        <f t="shared" si="226"/>
        <v>1</v>
      </c>
      <c r="I1120">
        <f t="shared" si="227"/>
        <v>1.3039235838984813</v>
      </c>
      <c r="J1120">
        <f t="shared" si="228"/>
        <v>0.59963025208971832</v>
      </c>
      <c r="K1120">
        <f t="shared" si="229"/>
        <v>0.99999962577597434</v>
      </c>
      <c r="L1120">
        <f t="shared" si="230"/>
        <v>-3.7422409567839467E-7</v>
      </c>
      <c r="M1120">
        <f t="shared" si="231"/>
        <v>0.56916996047430835</v>
      </c>
      <c r="N1120">
        <f t="shared" si="232"/>
        <v>0.43083003952569171</v>
      </c>
      <c r="P1120">
        <f t="shared" si="233"/>
        <v>90</v>
      </c>
      <c r="Q1120">
        <f t="shared" si="234"/>
        <v>403.5</v>
      </c>
    </row>
    <row r="1121" spans="1:17" x14ac:dyDescent="0.35">
      <c r="A1121">
        <v>2025</v>
      </c>
      <c r="B1121" s="1">
        <v>199</v>
      </c>
      <c r="C1121" s="1">
        <v>38</v>
      </c>
      <c r="D1121" s="12">
        <f t="shared" si="222"/>
        <v>24.875</v>
      </c>
      <c r="E1121" s="27">
        <f t="shared" si="223"/>
        <v>0.4975</v>
      </c>
      <c r="F1121" s="27">
        <f t="shared" si="224"/>
        <v>0.76</v>
      </c>
      <c r="G1121">
        <f t="shared" si="225"/>
        <v>62.875</v>
      </c>
      <c r="H1121">
        <f t="shared" si="226"/>
        <v>1</v>
      </c>
      <c r="I1121">
        <f t="shared" si="227"/>
        <v>0.62846361033925779</v>
      </c>
      <c r="J1121">
        <f t="shared" si="228"/>
        <v>0.83070826225106287</v>
      </c>
      <c r="K1121">
        <f t="shared" si="229"/>
        <v>0.99999910620042676</v>
      </c>
      <c r="L1121">
        <f t="shared" si="230"/>
        <v>-8.9379997268183603E-7</v>
      </c>
      <c r="M1121">
        <f t="shared" si="231"/>
        <v>0.60437375745526833</v>
      </c>
      <c r="N1121">
        <f t="shared" si="232"/>
        <v>0.39562624254473161</v>
      </c>
      <c r="P1121">
        <f t="shared" si="233"/>
        <v>239</v>
      </c>
      <c r="Q1121">
        <f t="shared" si="234"/>
        <v>297.5</v>
      </c>
    </row>
    <row r="1122" spans="1:17" x14ac:dyDescent="0.35">
      <c r="A1122">
        <v>2025</v>
      </c>
      <c r="B1122" s="1">
        <v>179</v>
      </c>
      <c r="C1122" s="1">
        <v>39</v>
      </c>
      <c r="D1122" s="12">
        <f t="shared" si="222"/>
        <v>22.375</v>
      </c>
      <c r="E1122" s="27">
        <f t="shared" si="223"/>
        <v>0.44750000000000001</v>
      </c>
      <c r="F1122" s="27">
        <f t="shared" si="224"/>
        <v>0.78</v>
      </c>
      <c r="G1122">
        <f t="shared" si="225"/>
        <v>61.375</v>
      </c>
      <c r="H1122">
        <f t="shared" si="226"/>
        <v>1</v>
      </c>
      <c r="I1122">
        <f t="shared" si="227"/>
        <v>-8.2546888144135397E-2</v>
      </c>
      <c r="J1122">
        <f t="shared" si="228"/>
        <v>0.94624726733173525</v>
      </c>
      <c r="K1122">
        <f t="shared" si="229"/>
        <v>0.99999292868920753</v>
      </c>
      <c r="L1122">
        <f t="shared" si="230"/>
        <v>-7.0713357943085E-6</v>
      </c>
      <c r="M1122">
        <f t="shared" si="231"/>
        <v>0.63543788187372707</v>
      </c>
      <c r="N1122">
        <f t="shared" si="232"/>
        <v>0.36456211812627293</v>
      </c>
      <c r="P1122">
        <f t="shared" si="233"/>
        <v>547</v>
      </c>
      <c r="Q1122">
        <f t="shared" si="234"/>
        <v>233</v>
      </c>
    </row>
    <row r="1123" spans="1:17" x14ac:dyDescent="0.35">
      <c r="A1123">
        <v>2025</v>
      </c>
      <c r="B1123" s="1">
        <v>203</v>
      </c>
      <c r="C1123" s="1">
        <v>36</v>
      </c>
      <c r="D1123" s="12">
        <f t="shared" si="222"/>
        <v>25.375</v>
      </c>
      <c r="E1123" s="27">
        <f t="shared" si="223"/>
        <v>0.50749999999999995</v>
      </c>
      <c r="F1123" s="27">
        <f t="shared" si="224"/>
        <v>0.72</v>
      </c>
      <c r="G1123">
        <f t="shared" si="225"/>
        <v>61.375</v>
      </c>
      <c r="H1123">
        <f t="shared" si="226"/>
        <v>1</v>
      </c>
      <c r="I1123">
        <f t="shared" si="227"/>
        <v>0.77066571003593642</v>
      </c>
      <c r="J1123">
        <f t="shared" si="228"/>
        <v>0.59963025208971832</v>
      </c>
      <c r="K1123">
        <f t="shared" si="229"/>
        <v>0.9999961426894729</v>
      </c>
      <c r="L1123">
        <f t="shared" si="230"/>
        <v>-3.8573179665414146E-6</v>
      </c>
      <c r="M1123">
        <f t="shared" si="231"/>
        <v>0.5865580448065173</v>
      </c>
      <c r="N1123">
        <f t="shared" si="232"/>
        <v>0.4134419551934827</v>
      </c>
      <c r="P1123">
        <f t="shared" si="233"/>
        <v>203</v>
      </c>
      <c r="Q1123">
        <f t="shared" si="234"/>
        <v>403.5</v>
      </c>
    </row>
    <row r="1124" spans="1:17" x14ac:dyDescent="0.35">
      <c r="A1124">
        <v>2025</v>
      </c>
      <c r="B1124" s="1">
        <v>178</v>
      </c>
      <c r="C1124" s="1">
        <v>37</v>
      </c>
      <c r="D1124" s="12">
        <f t="shared" si="222"/>
        <v>22.25</v>
      </c>
      <c r="E1124" s="27">
        <f t="shared" si="223"/>
        <v>0.44500000000000001</v>
      </c>
      <c r="F1124" s="27">
        <f t="shared" si="224"/>
        <v>0.74</v>
      </c>
      <c r="G1124">
        <f t="shared" si="225"/>
        <v>59.25</v>
      </c>
      <c r="H1124">
        <f t="shared" si="226"/>
        <v>1</v>
      </c>
      <c r="I1124">
        <f t="shared" si="227"/>
        <v>-0.11809741306830505</v>
      </c>
      <c r="J1124">
        <f t="shared" si="228"/>
        <v>0.71516925717039059</v>
      </c>
      <c r="K1124">
        <f t="shared" si="229"/>
        <v>0.99993358930122755</v>
      </c>
      <c r="L1124">
        <f t="shared" si="230"/>
        <v>-6.6412904060538292E-5</v>
      </c>
      <c r="M1124">
        <f t="shared" si="231"/>
        <v>0.62447257383966248</v>
      </c>
      <c r="N1124">
        <f t="shared" si="232"/>
        <v>0.37552742616033757</v>
      </c>
      <c r="P1124">
        <f t="shared" si="233"/>
        <v>564.5</v>
      </c>
      <c r="Q1124">
        <f t="shared" si="234"/>
        <v>351</v>
      </c>
    </row>
    <row r="1125" spans="1:17" x14ac:dyDescent="0.35">
      <c r="A1125">
        <v>2025</v>
      </c>
      <c r="B1125" s="1">
        <v>190</v>
      </c>
      <c r="C1125" s="1">
        <v>35</v>
      </c>
      <c r="D1125" s="12">
        <f t="shared" si="222"/>
        <v>23.75</v>
      </c>
      <c r="E1125" s="27">
        <f t="shared" si="223"/>
        <v>0.47499999999999998</v>
      </c>
      <c r="F1125" s="27">
        <f t="shared" si="224"/>
        <v>0.7</v>
      </c>
      <c r="G1125">
        <f t="shared" si="225"/>
        <v>58.75</v>
      </c>
      <c r="H1125">
        <f t="shared" si="226"/>
        <v>1</v>
      </c>
      <c r="I1125">
        <f t="shared" si="227"/>
        <v>0.30850888602173082</v>
      </c>
      <c r="J1125">
        <f t="shared" si="228"/>
        <v>0.48409124700904599</v>
      </c>
      <c r="K1125">
        <f t="shared" si="229"/>
        <v>0.99991740994982103</v>
      </c>
      <c r="L1125">
        <f t="shared" si="230"/>
        <v>-8.2593460924956948E-5</v>
      </c>
      <c r="M1125">
        <f t="shared" si="231"/>
        <v>0.5957446808510638</v>
      </c>
      <c r="N1125">
        <f t="shared" si="232"/>
        <v>0.40425531914893614</v>
      </c>
      <c r="P1125">
        <f t="shared" si="233"/>
        <v>341</v>
      </c>
      <c r="Q1125">
        <f t="shared" si="234"/>
        <v>448.5</v>
      </c>
    </row>
    <row r="1126" spans="1:17" x14ac:dyDescent="0.35">
      <c r="A1126">
        <v>2025</v>
      </c>
      <c r="B1126" s="1">
        <v>163</v>
      </c>
      <c r="C1126" s="1">
        <v>38</v>
      </c>
      <c r="D1126" s="12">
        <f t="shared" si="222"/>
        <v>20.375</v>
      </c>
      <c r="E1126" s="27">
        <f t="shared" si="223"/>
        <v>0.40749999999999997</v>
      </c>
      <c r="F1126" s="27">
        <f t="shared" si="224"/>
        <v>0.76</v>
      </c>
      <c r="G1126">
        <f t="shared" si="225"/>
        <v>58.375</v>
      </c>
      <c r="H1126">
        <f t="shared" si="226"/>
        <v>1</v>
      </c>
      <c r="I1126">
        <f t="shared" si="227"/>
        <v>-0.65135528693084987</v>
      </c>
      <c r="J1126">
        <f t="shared" si="228"/>
        <v>0.83070826225106287</v>
      </c>
      <c r="K1126">
        <f t="shared" si="229"/>
        <v>0.9997586171756786</v>
      </c>
      <c r="L1126">
        <f t="shared" si="230"/>
        <v>-2.4141196184429919E-4</v>
      </c>
      <c r="M1126">
        <f t="shared" si="231"/>
        <v>0.65096359743040688</v>
      </c>
      <c r="N1126">
        <f t="shared" si="232"/>
        <v>0.34903640256959317</v>
      </c>
      <c r="P1126">
        <f t="shared" si="233"/>
        <v>860.5</v>
      </c>
      <c r="Q1126">
        <f t="shared" si="234"/>
        <v>297.5</v>
      </c>
    </row>
    <row r="1127" spans="1:17" x14ac:dyDescent="0.35">
      <c r="A1127">
        <v>2025</v>
      </c>
      <c r="B1127" s="1">
        <v>156</v>
      </c>
      <c r="C1127" s="1">
        <v>38</v>
      </c>
      <c r="D1127" s="12">
        <f t="shared" si="222"/>
        <v>19.5</v>
      </c>
      <c r="E1127" s="27">
        <f t="shared" si="223"/>
        <v>0.39</v>
      </c>
      <c r="F1127" s="27">
        <f t="shared" si="224"/>
        <v>0.76</v>
      </c>
      <c r="G1127">
        <f t="shared" si="225"/>
        <v>57.5</v>
      </c>
      <c r="H1127">
        <f t="shared" si="226"/>
        <v>1</v>
      </c>
      <c r="I1127">
        <f t="shared" si="227"/>
        <v>-0.90020896140003748</v>
      </c>
      <c r="J1127">
        <f t="shared" si="228"/>
        <v>0.83070826225106287</v>
      </c>
      <c r="K1127">
        <f t="shared" si="229"/>
        <v>0.99928335302764737</v>
      </c>
      <c r="L1127">
        <f t="shared" si="230"/>
        <v>-7.1690388654597375E-4</v>
      </c>
      <c r="M1127">
        <f t="shared" si="231"/>
        <v>0.66086956521739126</v>
      </c>
      <c r="N1127">
        <f t="shared" si="232"/>
        <v>0.33913043478260868</v>
      </c>
      <c r="P1127">
        <f t="shared" si="233"/>
        <v>968</v>
      </c>
      <c r="Q1127">
        <f t="shared" si="234"/>
        <v>297.5</v>
      </c>
    </row>
    <row r="1128" spans="1:17" x14ac:dyDescent="0.35">
      <c r="A1128">
        <v>2025</v>
      </c>
      <c r="B1128" s="1">
        <v>199</v>
      </c>
      <c r="C1128" s="1">
        <v>30</v>
      </c>
      <c r="D1128" s="12">
        <f t="shared" si="222"/>
        <v>24.875</v>
      </c>
      <c r="E1128" s="27">
        <f t="shared" si="223"/>
        <v>0.4975</v>
      </c>
      <c r="F1128" s="27">
        <f t="shared" si="224"/>
        <v>0.6</v>
      </c>
      <c r="G1128">
        <f t="shared" si="225"/>
        <v>54.875</v>
      </c>
      <c r="H1128">
        <f t="shared" si="226"/>
        <v>1</v>
      </c>
      <c r="I1128">
        <f t="shared" si="227"/>
        <v>0.62846361033925779</v>
      </c>
      <c r="J1128">
        <f t="shared" si="228"/>
        <v>-9.3603778394315509E-2</v>
      </c>
      <c r="K1128">
        <f t="shared" si="229"/>
        <v>0.99628034075043925</v>
      </c>
      <c r="L1128">
        <f t="shared" si="230"/>
        <v>-3.7265943849288038E-3</v>
      </c>
      <c r="M1128">
        <f t="shared" si="231"/>
        <v>0.54669703872437359</v>
      </c>
      <c r="N1128">
        <f t="shared" si="232"/>
        <v>0.45330296127562641</v>
      </c>
      <c r="P1128">
        <f t="shared" si="233"/>
        <v>239</v>
      </c>
      <c r="Q1128">
        <f t="shared" si="234"/>
        <v>639</v>
      </c>
    </row>
    <row r="1129" spans="1:17" x14ac:dyDescent="0.35">
      <c r="A1129">
        <v>2025</v>
      </c>
      <c r="B1129" s="1">
        <v>208</v>
      </c>
      <c r="C1129" s="1">
        <v>25</v>
      </c>
      <c r="D1129" s="12">
        <f t="shared" si="222"/>
        <v>26</v>
      </c>
      <c r="E1129" s="27">
        <f t="shared" si="223"/>
        <v>0.52</v>
      </c>
      <c r="F1129" s="27">
        <f t="shared" si="224"/>
        <v>0.5</v>
      </c>
      <c r="G1129">
        <f t="shared" si="225"/>
        <v>51</v>
      </c>
      <c r="H1129">
        <f t="shared" si="226"/>
        <v>1</v>
      </c>
      <c r="I1129">
        <f t="shared" si="227"/>
        <v>0.94841833465678471</v>
      </c>
      <c r="J1129">
        <f t="shared" si="228"/>
        <v>-0.67129880379767704</v>
      </c>
      <c r="K1129">
        <f t="shared" si="229"/>
        <v>0.85560478624694003</v>
      </c>
      <c r="L1129">
        <f t="shared" si="230"/>
        <v>-0.15594670776552641</v>
      </c>
      <c r="M1129">
        <f t="shared" si="231"/>
        <v>0.49019607843137253</v>
      </c>
      <c r="N1129">
        <f t="shared" si="232"/>
        <v>0.50980392156862742</v>
      </c>
      <c r="P1129">
        <f t="shared" si="233"/>
        <v>160</v>
      </c>
      <c r="Q1129">
        <f t="shared" si="234"/>
        <v>835</v>
      </c>
    </row>
    <row r="1130" spans="1:17" x14ac:dyDescent="0.35">
      <c r="A1130">
        <v>2025</v>
      </c>
      <c r="B1130" s="1">
        <v>194</v>
      </c>
      <c r="C1130" s="1">
        <v>22</v>
      </c>
      <c r="D1130" s="12">
        <f t="shared" si="222"/>
        <v>24.25</v>
      </c>
      <c r="E1130" s="27">
        <f t="shared" si="223"/>
        <v>0.48499999999999999</v>
      </c>
      <c r="F1130" s="27">
        <f t="shared" si="224"/>
        <v>0.44</v>
      </c>
      <c r="G1130">
        <f t="shared" si="225"/>
        <v>46.25</v>
      </c>
      <c r="H1130">
        <f t="shared" si="226"/>
        <v>0</v>
      </c>
      <c r="I1130">
        <f t="shared" si="227"/>
        <v>0.45071098571840945</v>
      </c>
      <c r="J1130">
        <f t="shared" si="228"/>
        <v>-1.017915819039694</v>
      </c>
      <c r="K1130">
        <f t="shared" si="229"/>
        <v>2.8619917872188722E-2</v>
      </c>
      <c r="L1130">
        <f t="shared" si="230"/>
        <v>-2.9037453575735055E-2</v>
      </c>
      <c r="M1130">
        <f t="shared" si="231"/>
        <v>0.4756756756756757</v>
      </c>
      <c r="N1130">
        <f t="shared" si="232"/>
        <v>0.5243243243243243</v>
      </c>
      <c r="P1130">
        <f t="shared" si="233"/>
        <v>293.5</v>
      </c>
      <c r="Q1130">
        <f t="shared" si="234"/>
        <v>936.5</v>
      </c>
    </row>
    <row r="1131" spans="1:17" x14ac:dyDescent="0.35">
      <c r="A1131">
        <v>2025</v>
      </c>
      <c r="B1131" s="1">
        <v>177</v>
      </c>
      <c r="C1131" s="1">
        <v>17</v>
      </c>
      <c r="D1131" s="12">
        <f t="shared" si="222"/>
        <v>22.125</v>
      </c>
      <c r="E1131" s="27">
        <f t="shared" si="223"/>
        <v>0.4425</v>
      </c>
      <c r="F1131" s="27">
        <f t="shared" si="224"/>
        <v>0.34</v>
      </c>
      <c r="G1131">
        <f t="shared" si="225"/>
        <v>39.125</v>
      </c>
      <c r="H1131">
        <f t="shared" si="226"/>
        <v>0</v>
      </c>
      <c r="I1131">
        <f t="shared" si="227"/>
        <v>-0.15364793799247473</v>
      </c>
      <c r="J1131">
        <f t="shared" si="228"/>
        <v>-1.5956108444430555</v>
      </c>
      <c r="K1131">
        <f t="shared" si="229"/>
        <v>1.1428305762955492E-5</v>
      </c>
      <c r="L1131">
        <f t="shared" si="230"/>
        <v>-1.1428371066534355E-5</v>
      </c>
      <c r="M1131">
        <f t="shared" si="231"/>
        <v>0.43450479233226835</v>
      </c>
      <c r="N1131">
        <f t="shared" si="232"/>
        <v>0.56549520766773165</v>
      </c>
      <c r="P1131">
        <f t="shared" si="233"/>
        <v>585</v>
      </c>
      <c r="Q1131">
        <f t="shared" si="234"/>
        <v>1063.5</v>
      </c>
    </row>
    <row r="1132" spans="1:17" x14ac:dyDescent="0.35">
      <c r="A1132">
        <v>2025</v>
      </c>
      <c r="B1132" s="1">
        <v>185</v>
      </c>
      <c r="C1132" s="1">
        <v>15</v>
      </c>
      <c r="D1132" s="12">
        <f t="shared" si="222"/>
        <v>23.125</v>
      </c>
      <c r="E1132" s="27">
        <f t="shared" si="223"/>
        <v>0.46250000000000002</v>
      </c>
      <c r="F1132" s="27">
        <f t="shared" si="224"/>
        <v>0.3</v>
      </c>
      <c r="G1132">
        <f t="shared" si="225"/>
        <v>38.125</v>
      </c>
      <c r="H1132">
        <f t="shared" si="226"/>
        <v>0</v>
      </c>
      <c r="I1132">
        <f t="shared" si="227"/>
        <v>0.13075626140088253</v>
      </c>
      <c r="J1132">
        <f t="shared" si="228"/>
        <v>-1.8266888546044</v>
      </c>
      <c r="K1132">
        <f t="shared" si="229"/>
        <v>4.9330264645480044E-6</v>
      </c>
      <c r="L1132">
        <f t="shared" si="230"/>
        <v>-4.9330386319525911E-6</v>
      </c>
      <c r="M1132">
        <f t="shared" si="231"/>
        <v>0.39344262295081966</v>
      </c>
      <c r="N1132">
        <f t="shared" si="232"/>
        <v>0.60655737704918034</v>
      </c>
      <c r="P1132">
        <f t="shared" si="233"/>
        <v>428.5</v>
      </c>
      <c r="Q1132">
        <f t="shared" si="234"/>
        <v>1094</v>
      </c>
    </row>
    <row r="1133" spans="1:17" x14ac:dyDescent="0.35">
      <c r="A1133">
        <v>2025</v>
      </c>
      <c r="B1133" s="1">
        <v>316</v>
      </c>
      <c r="C1133" s="1">
        <v>39</v>
      </c>
      <c r="D1133" s="12">
        <f t="shared" si="222"/>
        <v>39.5</v>
      </c>
      <c r="E1133" s="27">
        <f t="shared" si="223"/>
        <v>0.79</v>
      </c>
      <c r="F1133" s="27">
        <f t="shared" si="224"/>
        <v>0.78</v>
      </c>
      <c r="G1133">
        <f t="shared" si="225"/>
        <v>78.5</v>
      </c>
      <c r="H1133">
        <f t="shared" si="226"/>
        <v>1</v>
      </c>
      <c r="I1133">
        <f t="shared" si="227"/>
        <v>4.7878750264671073</v>
      </c>
      <c r="J1133">
        <f t="shared" si="228"/>
        <v>0.94624726733173525</v>
      </c>
      <c r="K1133">
        <f t="shared" si="229"/>
        <v>0.999999999999996</v>
      </c>
      <c r="L1133">
        <f t="shared" si="230"/>
        <v>-3.9968028886505714E-15</v>
      </c>
      <c r="M1133">
        <f t="shared" si="231"/>
        <v>0.49681528662420382</v>
      </c>
      <c r="N1133">
        <f t="shared" si="232"/>
        <v>0.50318471337579618</v>
      </c>
      <c r="P1133">
        <f t="shared" si="233"/>
        <v>3</v>
      </c>
      <c r="Q1133">
        <f t="shared" si="234"/>
        <v>233</v>
      </c>
    </row>
    <row r="1134" spans="1:17" x14ac:dyDescent="0.35">
      <c r="A1134">
        <v>2025</v>
      </c>
      <c r="B1134" s="1">
        <v>175</v>
      </c>
      <c r="C1134" s="1">
        <v>40</v>
      </c>
      <c r="D1134" s="12">
        <f t="shared" si="222"/>
        <v>21.875</v>
      </c>
      <c r="E1134" s="27">
        <f t="shared" si="223"/>
        <v>0.4375</v>
      </c>
      <c r="F1134" s="27">
        <f t="shared" si="224"/>
        <v>0.8</v>
      </c>
      <c r="G1134">
        <f t="shared" si="225"/>
        <v>61.875</v>
      </c>
      <c r="H1134">
        <f t="shared" si="226"/>
        <v>1</v>
      </c>
      <c r="I1134">
        <f t="shared" si="227"/>
        <v>-0.22474898784081401</v>
      </c>
      <c r="J1134">
        <f t="shared" si="228"/>
        <v>1.0617862724124074</v>
      </c>
      <c r="K1134">
        <f t="shared" si="229"/>
        <v>0.99999535414805663</v>
      </c>
      <c r="L1134">
        <f t="shared" si="230"/>
        <v>-4.6458627353780891E-6</v>
      </c>
      <c r="M1134">
        <f t="shared" si="231"/>
        <v>0.64646464646464652</v>
      </c>
      <c r="N1134">
        <f t="shared" si="232"/>
        <v>0.35353535353535354</v>
      </c>
      <c r="P1134">
        <f t="shared" si="233"/>
        <v>631.5</v>
      </c>
      <c r="Q1134">
        <f t="shared" si="234"/>
        <v>173</v>
      </c>
    </row>
    <row r="1135" spans="1:17" x14ac:dyDescent="0.35">
      <c r="A1135">
        <v>2025</v>
      </c>
      <c r="B1135" s="1">
        <v>205</v>
      </c>
      <c r="C1135" s="1">
        <v>36</v>
      </c>
      <c r="D1135" s="12">
        <f t="shared" si="222"/>
        <v>25.625</v>
      </c>
      <c r="E1135" s="27">
        <f t="shared" si="223"/>
        <v>0.51249999999999996</v>
      </c>
      <c r="F1135" s="27">
        <f t="shared" si="224"/>
        <v>0.72</v>
      </c>
      <c r="G1135">
        <f t="shared" si="225"/>
        <v>61.625</v>
      </c>
      <c r="H1135">
        <f t="shared" si="226"/>
        <v>1</v>
      </c>
      <c r="I1135">
        <f t="shared" si="227"/>
        <v>0.84176675988427574</v>
      </c>
      <c r="J1135">
        <f t="shared" si="228"/>
        <v>0.59963025208971832</v>
      </c>
      <c r="K1135">
        <f t="shared" si="229"/>
        <v>0.99999717383319864</v>
      </c>
      <c r="L1135">
        <f t="shared" si="230"/>
        <v>-2.8261707949787481E-6</v>
      </c>
      <c r="M1135">
        <f t="shared" si="231"/>
        <v>0.58417849898580121</v>
      </c>
      <c r="N1135">
        <f t="shared" si="232"/>
        <v>0.41582150101419879</v>
      </c>
      <c r="P1135">
        <f t="shared" si="233"/>
        <v>186</v>
      </c>
      <c r="Q1135">
        <f t="shared" si="234"/>
        <v>403.5</v>
      </c>
    </row>
    <row r="1136" spans="1:17" x14ac:dyDescent="0.35">
      <c r="A1136">
        <v>2025</v>
      </c>
      <c r="B1136" s="1">
        <v>176</v>
      </c>
      <c r="C1136" s="1">
        <v>39</v>
      </c>
      <c r="D1136" s="12">
        <f t="shared" si="222"/>
        <v>22</v>
      </c>
      <c r="E1136" s="27">
        <f t="shared" si="223"/>
        <v>0.44</v>
      </c>
      <c r="F1136" s="27">
        <f t="shared" si="224"/>
        <v>0.78</v>
      </c>
      <c r="G1136">
        <f t="shared" si="225"/>
        <v>61</v>
      </c>
      <c r="H1136">
        <f t="shared" si="226"/>
        <v>1</v>
      </c>
      <c r="I1136">
        <f t="shared" si="227"/>
        <v>-0.18919846291664436</v>
      </c>
      <c r="J1136">
        <f t="shared" si="228"/>
        <v>0.94624726733173525</v>
      </c>
      <c r="K1136">
        <f t="shared" si="229"/>
        <v>0.99998872467706246</v>
      </c>
      <c r="L1136">
        <f t="shared" si="230"/>
        <v>-1.1275386504474352E-5</v>
      </c>
      <c r="M1136">
        <f t="shared" si="231"/>
        <v>0.63934426229508201</v>
      </c>
      <c r="N1136">
        <f t="shared" si="232"/>
        <v>0.36065573770491804</v>
      </c>
      <c r="P1136">
        <f t="shared" si="233"/>
        <v>607.5</v>
      </c>
      <c r="Q1136">
        <f t="shared" si="234"/>
        <v>233</v>
      </c>
    </row>
    <row r="1137" spans="1:17" x14ac:dyDescent="0.35">
      <c r="A1137">
        <v>2025</v>
      </c>
      <c r="B1137" s="1">
        <v>172</v>
      </c>
      <c r="C1137" s="1">
        <v>39</v>
      </c>
      <c r="D1137" s="12">
        <f t="shared" si="222"/>
        <v>21.5</v>
      </c>
      <c r="E1137" s="27">
        <f t="shared" si="223"/>
        <v>0.43</v>
      </c>
      <c r="F1137" s="27">
        <f t="shared" si="224"/>
        <v>0.78</v>
      </c>
      <c r="G1137">
        <f t="shared" si="225"/>
        <v>60.5</v>
      </c>
      <c r="H1137">
        <f t="shared" si="226"/>
        <v>1</v>
      </c>
      <c r="I1137">
        <f t="shared" si="227"/>
        <v>-0.33140056261332301</v>
      </c>
      <c r="J1137">
        <f t="shared" si="228"/>
        <v>0.94624726733173525</v>
      </c>
      <c r="K1137">
        <f t="shared" si="229"/>
        <v>0.99997899613182173</v>
      </c>
      <c r="L1137">
        <f t="shared" si="230"/>
        <v>-2.1004088762598916E-5</v>
      </c>
      <c r="M1137">
        <f t="shared" si="231"/>
        <v>0.64462809917355368</v>
      </c>
      <c r="N1137">
        <f t="shared" si="232"/>
        <v>0.35537190082644626</v>
      </c>
      <c r="P1137">
        <f t="shared" si="233"/>
        <v>684</v>
      </c>
      <c r="Q1137">
        <f t="shared" si="234"/>
        <v>233</v>
      </c>
    </row>
    <row r="1138" spans="1:17" x14ac:dyDescent="0.35">
      <c r="A1138">
        <v>2025</v>
      </c>
      <c r="B1138" s="1">
        <v>170</v>
      </c>
      <c r="C1138" s="1">
        <v>37</v>
      </c>
      <c r="D1138" s="12">
        <f t="shared" si="222"/>
        <v>21.25</v>
      </c>
      <c r="E1138" s="27">
        <f t="shared" si="223"/>
        <v>0.42499999999999999</v>
      </c>
      <c r="F1138" s="27">
        <f t="shared" si="224"/>
        <v>0.74</v>
      </c>
      <c r="G1138">
        <f t="shared" si="225"/>
        <v>58.25</v>
      </c>
      <c r="H1138">
        <f t="shared" si="226"/>
        <v>1</v>
      </c>
      <c r="I1138">
        <f t="shared" si="227"/>
        <v>-0.40250161246166233</v>
      </c>
      <c r="J1138">
        <f t="shared" si="228"/>
        <v>0.71516925717039059</v>
      </c>
      <c r="K1138">
        <f t="shared" si="229"/>
        <v>0.99976958229249913</v>
      </c>
      <c r="L1138">
        <f t="shared" si="230"/>
        <v>-2.3044425773934734E-4</v>
      </c>
      <c r="M1138">
        <f t="shared" si="231"/>
        <v>0.63519313304721026</v>
      </c>
      <c r="N1138">
        <f t="shared" si="232"/>
        <v>0.36480686695278969</v>
      </c>
      <c r="P1138">
        <f t="shared" si="233"/>
        <v>720</v>
      </c>
      <c r="Q1138">
        <f t="shared" si="234"/>
        <v>351</v>
      </c>
    </row>
    <row r="1139" spans="1:17" x14ac:dyDescent="0.35">
      <c r="A1139">
        <v>2025</v>
      </c>
      <c r="B1139" s="1">
        <v>152</v>
      </c>
      <c r="C1139" s="1">
        <v>39</v>
      </c>
      <c r="D1139" s="12">
        <f t="shared" si="222"/>
        <v>19</v>
      </c>
      <c r="E1139" s="27">
        <f t="shared" si="223"/>
        <v>0.38</v>
      </c>
      <c r="F1139" s="27">
        <f t="shared" si="224"/>
        <v>0.78</v>
      </c>
      <c r="G1139">
        <f t="shared" si="225"/>
        <v>58</v>
      </c>
      <c r="H1139">
        <f t="shared" si="226"/>
        <v>1</v>
      </c>
      <c r="I1139">
        <f t="shared" si="227"/>
        <v>-1.0424110610967161</v>
      </c>
      <c r="J1139">
        <f t="shared" si="228"/>
        <v>0.94624726733173525</v>
      </c>
      <c r="K1139">
        <f t="shared" si="229"/>
        <v>0.99952904823976885</v>
      </c>
      <c r="L1139">
        <f t="shared" si="230"/>
        <v>-4.7106269284202492E-4</v>
      </c>
      <c r="M1139">
        <f t="shared" si="231"/>
        <v>0.67241379310344829</v>
      </c>
      <c r="N1139">
        <f t="shared" si="232"/>
        <v>0.32758620689655171</v>
      </c>
      <c r="P1139">
        <f t="shared" si="233"/>
        <v>1016</v>
      </c>
      <c r="Q1139">
        <f t="shared" si="234"/>
        <v>233</v>
      </c>
    </row>
    <row r="1140" spans="1:17" x14ac:dyDescent="0.35">
      <c r="A1140">
        <v>2025</v>
      </c>
      <c r="B1140" s="1">
        <v>183</v>
      </c>
      <c r="C1140" s="1">
        <v>32</v>
      </c>
      <c r="D1140" s="12">
        <f t="shared" si="222"/>
        <v>22.875</v>
      </c>
      <c r="E1140" s="27">
        <f t="shared" si="223"/>
        <v>0.45750000000000002</v>
      </c>
      <c r="F1140" s="27">
        <f t="shared" si="224"/>
        <v>0.64</v>
      </c>
      <c r="G1140">
        <f t="shared" si="225"/>
        <v>54.875</v>
      </c>
      <c r="H1140">
        <f t="shared" si="226"/>
        <v>1</v>
      </c>
      <c r="I1140">
        <f t="shared" si="227"/>
        <v>5.9655211552543233E-2</v>
      </c>
      <c r="J1140">
        <f t="shared" si="228"/>
        <v>0.13747423176702911</v>
      </c>
      <c r="K1140">
        <f t="shared" si="229"/>
        <v>0.99443868596053908</v>
      </c>
      <c r="L1140">
        <f t="shared" si="230"/>
        <v>-5.5768357204277925E-3</v>
      </c>
      <c r="M1140">
        <f t="shared" si="231"/>
        <v>0.58314350797266512</v>
      </c>
      <c r="N1140">
        <f t="shared" si="232"/>
        <v>0.41685649202733488</v>
      </c>
      <c r="P1140">
        <f t="shared" si="233"/>
        <v>465</v>
      </c>
      <c r="Q1140">
        <f t="shared" si="234"/>
        <v>564</v>
      </c>
    </row>
    <row r="1141" spans="1:17" x14ac:dyDescent="0.35">
      <c r="A1141">
        <v>2025</v>
      </c>
      <c r="B1141" s="1">
        <v>188</v>
      </c>
      <c r="C1141" s="1">
        <v>28</v>
      </c>
      <c r="D1141" s="12">
        <f t="shared" si="222"/>
        <v>23.5</v>
      </c>
      <c r="E1141" s="27">
        <f t="shared" si="223"/>
        <v>0.47</v>
      </c>
      <c r="F1141" s="27">
        <f t="shared" si="224"/>
        <v>0.56000000000000005</v>
      </c>
      <c r="G1141">
        <f t="shared" si="225"/>
        <v>51.5</v>
      </c>
      <c r="H1141">
        <f t="shared" si="226"/>
        <v>1</v>
      </c>
      <c r="I1141">
        <f t="shared" si="227"/>
        <v>0.23740783617339151</v>
      </c>
      <c r="J1141">
        <f t="shared" si="228"/>
        <v>-0.3246817885556601</v>
      </c>
      <c r="K1141">
        <f t="shared" si="229"/>
        <v>0.85757284133197254</v>
      </c>
      <c r="L1141">
        <f t="shared" si="230"/>
        <v>-0.15364915739002805</v>
      </c>
      <c r="M1141">
        <f t="shared" si="231"/>
        <v>0.5436893203883495</v>
      </c>
      <c r="N1141">
        <f t="shared" si="232"/>
        <v>0.4563106796116505</v>
      </c>
      <c r="P1141">
        <f t="shared" si="233"/>
        <v>374.5</v>
      </c>
      <c r="Q1141">
        <f t="shared" si="234"/>
        <v>709.5</v>
      </c>
    </row>
    <row r="1142" spans="1:17" x14ac:dyDescent="0.35">
      <c r="A1142">
        <v>2025</v>
      </c>
      <c r="B1142" s="1">
        <v>180</v>
      </c>
      <c r="C1142" s="1">
        <v>23</v>
      </c>
      <c r="D1142" s="12">
        <f t="shared" si="222"/>
        <v>22.5</v>
      </c>
      <c r="E1142" s="27">
        <f t="shared" si="223"/>
        <v>0.45</v>
      </c>
      <c r="F1142" s="27">
        <f t="shared" si="224"/>
        <v>0.46</v>
      </c>
      <c r="G1142">
        <f t="shared" si="225"/>
        <v>45.5</v>
      </c>
      <c r="H1142">
        <f t="shared" si="226"/>
        <v>0</v>
      </c>
      <c r="I1142">
        <f t="shared" si="227"/>
        <v>-4.6996363219965739E-2</v>
      </c>
      <c r="J1142">
        <f t="shared" si="228"/>
        <v>-0.90237681395902158</v>
      </c>
      <c r="K1142">
        <f t="shared" si="229"/>
        <v>9.3796310761921822E-3</v>
      </c>
      <c r="L1142">
        <f t="shared" si="230"/>
        <v>-9.423896830830716E-3</v>
      </c>
      <c r="M1142">
        <f t="shared" si="231"/>
        <v>0.50549450549450547</v>
      </c>
      <c r="N1142">
        <f t="shared" si="232"/>
        <v>0.49450549450549453</v>
      </c>
      <c r="P1142">
        <f t="shared" si="233"/>
        <v>528</v>
      </c>
      <c r="Q1142">
        <f t="shared" si="234"/>
        <v>904</v>
      </c>
    </row>
    <row r="1143" spans="1:17" x14ac:dyDescent="0.35">
      <c r="A1143">
        <v>2025</v>
      </c>
      <c r="B1143" s="1">
        <v>173</v>
      </c>
      <c r="C1143" s="1">
        <v>20</v>
      </c>
      <c r="D1143" s="12">
        <f t="shared" si="222"/>
        <v>21.625</v>
      </c>
      <c r="E1143" s="27">
        <f t="shared" si="223"/>
        <v>0.4325</v>
      </c>
      <c r="F1143" s="27">
        <f t="shared" si="224"/>
        <v>0.4</v>
      </c>
      <c r="G1143">
        <f t="shared" si="225"/>
        <v>41.625</v>
      </c>
      <c r="H1143">
        <f t="shared" si="226"/>
        <v>0</v>
      </c>
      <c r="I1143">
        <f t="shared" si="227"/>
        <v>-0.29585003768915336</v>
      </c>
      <c r="J1143">
        <f t="shared" si="228"/>
        <v>-1.2489938292010385</v>
      </c>
      <c r="K1143">
        <f t="shared" si="229"/>
        <v>1.3982407832900906E-4</v>
      </c>
      <c r="L1143">
        <f t="shared" si="230"/>
        <v>-1.3983385462677933E-4</v>
      </c>
      <c r="M1143">
        <f t="shared" si="231"/>
        <v>0.48048048048048048</v>
      </c>
      <c r="N1143">
        <f t="shared" si="232"/>
        <v>0.51951951951951947</v>
      </c>
      <c r="P1143">
        <f t="shared" si="233"/>
        <v>669</v>
      </c>
      <c r="Q1143">
        <f t="shared" si="234"/>
        <v>996</v>
      </c>
    </row>
    <row r="1144" spans="1:17" x14ac:dyDescent="0.35">
      <c r="A1144">
        <v>2025</v>
      </c>
      <c r="B1144" s="1">
        <v>169</v>
      </c>
      <c r="C1144" s="1">
        <v>19</v>
      </c>
      <c r="D1144" s="12">
        <f t="shared" si="222"/>
        <v>21.125</v>
      </c>
      <c r="E1144" s="27">
        <f t="shared" si="223"/>
        <v>0.42249999999999999</v>
      </c>
      <c r="F1144" s="27">
        <f t="shared" si="224"/>
        <v>0.38</v>
      </c>
      <c r="G1144">
        <f t="shared" si="225"/>
        <v>40.125</v>
      </c>
      <c r="H1144">
        <f t="shared" si="226"/>
        <v>0</v>
      </c>
      <c r="I1144">
        <f t="shared" si="227"/>
        <v>-0.43805213738583199</v>
      </c>
      <c r="J1144">
        <f t="shared" si="228"/>
        <v>-1.3645328342817109</v>
      </c>
      <c r="K1144">
        <f t="shared" si="229"/>
        <v>2.6475644631732146E-5</v>
      </c>
      <c r="L1144">
        <f t="shared" si="230"/>
        <v>-2.6475995117828241E-5</v>
      </c>
      <c r="M1144">
        <f>IF(G1144=0, 0,  C1144  / G1144 )</f>
        <v>0.4735202492211838</v>
      </c>
      <c r="N1144">
        <f t="shared" si="232"/>
        <v>0.52647975077881615</v>
      </c>
      <c r="P1144">
        <f t="shared" si="233"/>
        <v>744.5</v>
      </c>
      <c r="Q1144">
        <f t="shared" si="234"/>
        <v>1022</v>
      </c>
    </row>
    <row r="1145" spans="1:17" x14ac:dyDescent="0.35">
      <c r="L1145">
        <f>SUM(L2:L1144)</f>
        <v>-59.524093397030889</v>
      </c>
    </row>
    <row r="1159" spans="5:5" x14ac:dyDescent="0.35">
      <c r="E1159" t="s">
        <v>10</v>
      </c>
    </row>
    <row r="1373" spans="25:25" x14ac:dyDescent="0.35">
      <c r="Y1373" t="s">
        <v>3</v>
      </c>
    </row>
    <row r="1693" spans="3:3" x14ac:dyDescent="0.35">
      <c r="C1693" s="12" t="s">
        <v>2</v>
      </c>
    </row>
    <row r="1736" spans="3:3" x14ac:dyDescent="0.35">
      <c r="C1736" s="12" t="s">
        <v>7</v>
      </c>
    </row>
    <row r="1770" spans="6:6" x14ac:dyDescent="0.35">
      <c r="F1770" t="s">
        <v>12</v>
      </c>
    </row>
    <row r="1802" spans="5:5" x14ac:dyDescent="0.35">
      <c r="E1802" t="s">
        <v>11</v>
      </c>
    </row>
    <row r="1859" spans="8:8" x14ac:dyDescent="0.35">
      <c r="H1859" s="19" t="s">
        <v>3</v>
      </c>
    </row>
    <row r="1873" spans="1:1" x14ac:dyDescent="0.35">
      <c r="A1873" t="s">
        <v>6</v>
      </c>
    </row>
    <row r="1904" spans="1:1" x14ac:dyDescent="0.35">
      <c r="A1904" t="s">
        <v>5</v>
      </c>
    </row>
    <row r="2062" spans="36:36" x14ac:dyDescent="0.35">
      <c r="AJ2062" t="s">
        <v>3</v>
      </c>
    </row>
    <row r="2170" spans="12:12" x14ac:dyDescent="0.35">
      <c r="L2170" t="s">
        <v>5</v>
      </c>
    </row>
    <row r="2243" spans="3:3" x14ac:dyDescent="0.35">
      <c r="C2243" s="12" t="s">
        <v>3</v>
      </c>
    </row>
    <row r="2259" spans="8:8" x14ac:dyDescent="0.35">
      <c r="H2259" t="s">
        <v>3</v>
      </c>
    </row>
    <row r="2871" spans="13:13" x14ac:dyDescent="0.35">
      <c r="M2871" t="s">
        <v>3</v>
      </c>
    </row>
    <row r="3136" spans="4:4" x14ac:dyDescent="0.35">
      <c r="D3136" s="12" t="s">
        <v>5</v>
      </c>
    </row>
    <row r="4626" spans="1:1" x14ac:dyDescent="0.35">
      <c r="A4626" t="s">
        <v>3</v>
      </c>
    </row>
    <row r="53160" spans="3:3" x14ac:dyDescent="0.35">
      <c r="C53160" s="12" t="s">
        <v>3</v>
      </c>
    </row>
  </sheetData>
  <mergeCells count="4">
    <mergeCell ref="X2:AB2"/>
    <mergeCell ref="Y3:AB3"/>
    <mergeCell ref="Z4:AB4"/>
    <mergeCell ref="AJ2:AU2"/>
  </mergeCells>
  <conditionalFormatting sqref="E1:E104857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{BEA7C31D-69AA-43DE-AA0B-9BA987C7D24E}</x14:id>
        </ext>
      </extLst>
    </cfRule>
  </conditionalFormatting>
  <conditionalFormatting sqref="F1:F104857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{7046A75A-115C-40CF-80DF-713B31D2F38B}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EA7C31D-69AA-43DE-AA0B-9BA987C7D2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E1:E1048576</xm:sqref>
        </x14:conditionalFormatting>
        <x14:conditionalFormatting xmlns:xm="http://schemas.microsoft.com/office/excel/2006/main">
          <x14:cfRule type="dataBar" id="{7046A75A-115C-40CF-80DF-713B31D2F3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F1:F1048576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ALIYU MOHAMMED</dc:creator>
  <cp:lastModifiedBy>godswill orugbo</cp:lastModifiedBy>
  <dcterms:created xsi:type="dcterms:W3CDTF">2025-10-28T12:27:06Z</dcterms:created>
  <dcterms:modified xsi:type="dcterms:W3CDTF">2026-03-06T18:09:24Z</dcterms:modified>
</cp:coreProperties>
</file>